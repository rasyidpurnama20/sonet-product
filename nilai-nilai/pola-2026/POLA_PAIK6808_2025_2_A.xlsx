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strike val="0"/>
      <color rgb="FFFFFFFF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showRowColHeaders="1" tabSelected="1" workbookViewId="0">
      <selection activeCell="J55" sqref="J55"/>
    </sheetView>
  </sheetViews>
  <sheetFormatPr baseColWidth="8" defaultRowHeight="14.4" outlineLevelRow="0"/>
  <cols>
    <col width="17.567139" bestFit="1" customWidth="1" min="1" max="1"/>
    <col width="47.131348" bestFit="1" customWidth="1" min="2" max="2"/>
    <col width="10.568848" bestFit="1" customWidth="1" min="3" max="3"/>
    <col width="8.140869" bestFit="1" customWidth="1" min="4" max="4"/>
    <col width="57.700195" bestFit="1" customWidth="1" min="5" max="5"/>
    <col width="45.845947" bestFit="1" customWidth="1" min="6" max="6"/>
    <col width="36.419678" bestFit="1" customWidth="1" min="7" max="7"/>
    <col width="35.2771" bestFit="1" customWidth="1" min="8" max="8"/>
    <col width="35.2771" bestFit="1" customWidth="1" min="9" max="9"/>
    <col width="31.706543" bestFit="1" customWidth="1" min="10" max="10"/>
    <col width="37.705078" bestFit="1" customWidth="1" min="11" max="11"/>
    <col width="35.2771" bestFit="1" customWidth="1" min="12" max="12"/>
    <col width="21.137695" bestFit="1" customWidth="1" min="13" max="13"/>
  </cols>
  <sheetData>
    <row r="1">
      <c r="A1" s="0" t="inlineStr">
        <is>
          <t>Mata Kuliah</t>
        </is>
      </c>
      <c r="B1" s="0" t="inlineStr">
        <is>
          <t>: PAIK6808 - Pengenalan Pola</t>
        </is>
      </c>
    </row>
    <row r="2">
      <c r="A2" s="0" t="inlineStr">
        <is>
          <t>Tahun Ajaran</t>
        </is>
      </c>
      <c r="B2" s="0" t="inlineStr">
        <is>
          <t>: 2025</t>
        </is>
      </c>
      <c r="I2" s="1" t="inlineStr">
        <is>
          <t>NDk5NzY0</t>
        </is>
      </c>
    </row>
    <row r="3">
      <c r="A3" s="0" t="inlineStr">
        <is>
          <t>Semester</t>
        </is>
      </c>
      <c r="B3" s="0" t="inlineStr">
        <is>
          <t>: Genap</t>
        </is>
      </c>
    </row>
    <row r="4">
      <c r="A4" s="0" t="inlineStr">
        <is>
          <t>Kelas</t>
        </is>
      </c>
      <c r="B4" s="0" t="inlineStr">
        <is>
          <t>: A</t>
        </is>
      </c>
    </row>
    <row r="5">
      <c r="A5" s="0" t="inlineStr">
        <is>
          <t>Prodi</t>
        </is>
      </c>
      <c r="B5" s="0" t="inlineStr">
        <is>
          <t>: S1-TEKNIK INFORMATIKA</t>
        </is>
      </c>
    </row>
    <row r="7">
      <c r="A7" s="0" t="inlineStr">
        <is>
          <t>NIM</t>
        </is>
      </c>
      <c r="B7" s="0" t="inlineStr">
        <is>
          <t>Nama Mahasiswa</t>
        </is>
      </c>
      <c r="C7" s="0" t="inlineStr">
        <is>
          <t>Semester</t>
        </is>
      </c>
      <c r="D7" s="0" t="inlineStr">
        <is>
          <t>Status</t>
        </is>
      </c>
      <c r="E7" s="0" t="inlineStr">
        <is>
          <t>Nilai Aktivitas Partisipatif (0,00-100,00) (10%)</t>
        </is>
      </c>
      <c r="F7" s="0" t="inlineStr">
        <is>
          <t>Nilai Hasil Proyek (0,00-100,00) (40%)</t>
        </is>
      </c>
      <c r="G7" s="0" t="inlineStr">
        <is>
          <t>Nilai Tugas (0,00-100,00) (5%)</t>
        </is>
      </c>
      <c r="H7" s="0" t="inlineStr">
        <is>
          <t>Nilai Quiz (0,00-100,00) (5%)</t>
        </is>
      </c>
      <c r="I7" s="0" t="inlineStr">
        <is>
          <t>Nilai UTS (0,00-100,00) (20%)</t>
        </is>
      </c>
      <c r="J7" s="0" t="inlineStr">
        <is>
          <t>Nilai UAS (0,00-100) (20%)</t>
        </is>
      </c>
      <c r="K7" s="0" t="inlineStr">
        <is>
          <t>Nilai Akhir Angka (0,00-100,00)</t>
        </is>
      </c>
      <c r="L7" s="0" t="inlineStr">
        <is>
          <t>Nilai Akhir Huruf (A/B/C/D/E)</t>
        </is>
      </c>
      <c r="M7" s="0" t="inlineStr">
        <is>
          <t>Nilai Bobot (0-4)</t>
        </is>
      </c>
    </row>
    <row r="8">
      <c r="A8" s="0" t="inlineStr">
        <is>
          <t>24060123120002</t>
        </is>
      </c>
      <c r="B8" s="0" t="inlineStr">
        <is>
          <t>BAGUS ATHALLAH</t>
        </is>
      </c>
      <c r="C8" s="0" t="n">
        <v>6</v>
      </c>
      <c r="D8" s="0" t="inlineStr">
        <is>
          <t>BARU</t>
        </is>
      </c>
      <c r="E8" s="3" t="n"/>
      <c r="F8" s="3" t="n">
        <v>84.33</v>
      </c>
      <c r="G8" s="3" t="n"/>
      <c r="H8" s="3" t="n">
        <v>94.43000000000001</v>
      </c>
      <c r="I8" s="3" t="n"/>
      <c r="J8" s="3" t="n"/>
      <c r="K8" s="4">
        <f>ROUND( ((E8*10+F8*40+G8*5+H8*5+I8*20+J8*20) / 100), 2)</f>
        <v/>
      </c>
      <c r="L8" s="4">
        <f>IF(AND(K8&gt;=80, K8&lt;=100), "A", IF(AND(K8&gt;=70, K8&lt;=79.99999999999), "B", IF(AND(K8&gt;=60, K8&lt;=69.9999999999), "C", IF(AND(K8&gt;=51, K8&lt;=59.999999999), "D", IF(AND(K8&gt;=0, K8&lt;=50.999999999), "E",  "E"  )  )  )  )  ) </f>
        <v/>
      </c>
      <c r="M8" s="0">
        <f>IF(AND(K8&gt;=80, K8&lt;=100), "4", IF(AND(K8&gt;=70, K8&lt;=79.99999999999), "3", IF(AND(K8&gt;=60, K8&lt;=69.9999999999), "2", IF(AND(K8&gt;=51, K8&lt;=59.999999999), "1", IF(AND(K8&gt;=0, K8&lt;=50.999999999), "0",  "0"  )  )  )  )  ) </f>
        <v/>
      </c>
    </row>
    <row r="9">
      <c r="A9" s="0" t="inlineStr">
        <is>
          <t>24060123120029</t>
        </is>
      </c>
      <c r="B9" s="0" t="inlineStr">
        <is>
          <t>AISHA</t>
        </is>
      </c>
      <c r="C9" s="0" t="n">
        <v>6</v>
      </c>
      <c r="D9" s="0" t="inlineStr">
        <is>
          <t>BARU</t>
        </is>
      </c>
      <c r="E9" s="3" t="n"/>
      <c r="F9" s="3" t="n">
        <v>85</v>
      </c>
      <c r="G9" s="3" t="n"/>
      <c r="H9" s="3" t="n">
        <v>74.43000000000001</v>
      </c>
      <c r="I9" s="3" t="n"/>
      <c r="J9" s="3" t="n"/>
      <c r="K9" s="4">
        <f>ROUND( ((E9*10+F9*40+G9*5+H9*5+I9*20+J9*20) / 100), 2)</f>
        <v/>
      </c>
      <c r="L9" s="4">
        <f>IF(AND(K9&gt;=80, K9&lt;=100), "A", IF(AND(K9&gt;=70, K9&lt;=79.99999999999), "B", IF(AND(K9&gt;=60, K9&lt;=69.9999999999), "C", IF(AND(K9&gt;=51, K9&lt;=59.999999999), "D", IF(AND(K9&gt;=0, K9&lt;=50.999999999), "E",  "E"  )  )  )  )  ) </f>
        <v/>
      </c>
      <c r="M9" s="0">
        <f>IF(AND(K9&gt;=80, K9&lt;=100), "4", IF(AND(K9&gt;=70, K9&lt;=79.99999999999), "3", IF(AND(K9&gt;=60, K9&lt;=69.9999999999), "2", IF(AND(K9&gt;=51, K9&lt;=59.999999999), "1", IF(AND(K9&gt;=0, K9&lt;=50.999999999), "0",  "0"  )  )  )  )  ) </f>
        <v/>
      </c>
    </row>
    <row r="10">
      <c r="A10" s="0" t="inlineStr">
        <is>
          <t>24060123120030</t>
        </is>
      </c>
      <c r="B10" s="0" t="inlineStr">
        <is>
          <t>ADRIAN ASAREL DEANDRA KRISTIAWAN</t>
        </is>
      </c>
      <c r="C10" s="0" t="n">
        <v>6</v>
      </c>
      <c r="D10" s="0" t="inlineStr">
        <is>
          <t>BARU</t>
        </is>
      </c>
      <c r="E10" s="3" t="n"/>
      <c r="F10" s="3" t="n">
        <v>92.67</v>
      </c>
      <c r="G10" s="3" t="n"/>
      <c r="H10" s="3" t="n">
        <v>82.23</v>
      </c>
      <c r="I10" s="3" t="n"/>
      <c r="J10" s="3" t="n"/>
      <c r="K10" s="4">
        <f>ROUND( ((E10*10+F10*40+G10*5+H10*5+I10*20+J10*20) / 100), 2)</f>
        <v/>
      </c>
      <c r="L10" s="4">
        <f>IF(AND(K10&gt;=80, K10&lt;=100), "A", IF(AND(K10&gt;=70, K10&lt;=79.99999999999), "B", IF(AND(K10&gt;=60, K10&lt;=69.9999999999), "C", IF(AND(K10&gt;=51, K10&lt;=59.999999999), "D", IF(AND(K10&gt;=0, K10&lt;=50.999999999), "E",  "E"  )  )  )  )  ) </f>
        <v/>
      </c>
      <c r="M10" s="0">
        <f>IF(AND(K10&gt;=80, K10&lt;=100), "4", IF(AND(K10&gt;=70, K10&lt;=79.99999999999), "3", IF(AND(K10&gt;=60, K10&lt;=69.9999999999), "2", IF(AND(K10&gt;=51, K10&lt;=59.999999999), "1", IF(AND(K10&gt;=0, K10&lt;=50.999999999), "0",  "0"  )  )  )  )  ) </f>
        <v/>
      </c>
    </row>
    <row r="11">
      <c r="A11" s="0" t="inlineStr">
        <is>
          <t>24060123130051</t>
        </is>
      </c>
      <c r="B11" s="0" t="inlineStr">
        <is>
          <t>BRILIANITA EVA SYAFITRI (&lt; 75%)</t>
        </is>
      </c>
      <c r="C11" s="0" t="n">
        <v>6</v>
      </c>
      <c r="D11" s="0" t="inlineStr">
        <is>
          <t>BARU</t>
        </is>
      </c>
      <c r="E11" s="3" t="n"/>
      <c r="F11" s="3" t="n">
        <v>27.33</v>
      </c>
      <c r="G11" s="3" t="n"/>
      <c r="H11" s="3" t="n">
        <v>0</v>
      </c>
      <c r="I11" s="3" t="n"/>
      <c r="J11" s="4" t="n"/>
      <c r="K11" s="4">
        <f>ROUND( ((E11*10+F11*40+G11*5+H11*5+I11*20+J11*20) / 100), 2)</f>
        <v/>
      </c>
      <c r="L11" s="4">
        <f>IF(AND(K11&gt;=80, K11&lt;=100), "A", IF(AND(K11&gt;=70, K11&lt;=79.99999999999), "B", IF(AND(K11&gt;=60, K11&lt;=69.9999999999), "C", IF(AND(K11&gt;=51, K11&lt;=59.999999999), "D", IF(AND(K11&gt;=0, K11&lt;=50.999999999), "E",  "E"  )  )  )  )  ) </f>
        <v/>
      </c>
      <c r="M11" s="0">
        <f>IF(AND(K11&gt;=80, K11&lt;=100), "4", IF(AND(K11&gt;=70, K11&lt;=79.99999999999), "3", IF(AND(K11&gt;=60, K11&lt;=69.9999999999), "2", IF(AND(K11&gt;=51, K11&lt;=59.999999999), "1", IF(AND(K11&gt;=0, K11&lt;=50.999999999), "0",  "0"  )  )  )  )  ) </f>
        <v/>
      </c>
    </row>
    <row r="12">
      <c r="A12" s="0" t="inlineStr">
        <is>
          <t>24060123130058</t>
        </is>
      </c>
      <c r="B12" s="0" t="inlineStr">
        <is>
          <t>AXEL NATAKESUMA</t>
        </is>
      </c>
      <c r="C12" s="0" t="n">
        <v>6</v>
      </c>
      <c r="D12" s="0" t="inlineStr">
        <is>
          <t>BARU</t>
        </is>
      </c>
      <c r="E12" s="3" t="n"/>
      <c r="F12" s="3" t="n">
        <v>80.67</v>
      </c>
      <c r="G12" s="3" t="n"/>
      <c r="H12" s="3" t="n">
        <v>77.77</v>
      </c>
      <c r="I12" s="3" t="n"/>
      <c r="J12" s="3" t="n"/>
      <c r="K12" s="4">
        <f>ROUND( ((E12*10+F12*40+G12*5+H12*5+I12*20+J12*20) / 100), 2)</f>
        <v/>
      </c>
      <c r="L12" s="4">
        <f>IF(AND(K12&gt;=80, K12&lt;=100), "A", IF(AND(K12&gt;=70, K12&lt;=79.99999999999), "B", IF(AND(K12&gt;=60, K12&lt;=69.9999999999), "C", IF(AND(K12&gt;=51, K12&lt;=59.999999999), "D", IF(AND(K12&gt;=0, K12&lt;=50.999999999), "E",  "E"  )  )  )  )  ) </f>
        <v/>
      </c>
      <c r="M12" s="0">
        <f>IF(AND(K12&gt;=80, K12&lt;=100), "4", IF(AND(K12&gt;=70, K12&lt;=79.99999999999), "3", IF(AND(K12&gt;=60, K12&lt;=69.9999999999), "2", IF(AND(K12&gt;=51, K12&lt;=59.999999999), "1", IF(AND(K12&gt;=0, K12&lt;=50.999999999), "0",  "0"  )  )  )  )  ) </f>
        <v/>
      </c>
    </row>
    <row r="13">
      <c r="A13" s="0" t="inlineStr">
        <is>
          <t>24060123130084</t>
        </is>
      </c>
      <c r="B13" s="0" t="inlineStr">
        <is>
          <t>ASSYIFA HAQQI DUSANTO</t>
        </is>
      </c>
      <c r="C13" s="0" t="n">
        <v>6</v>
      </c>
      <c r="D13" s="0" t="inlineStr">
        <is>
          <t>BARU</t>
        </is>
      </c>
      <c r="E13" s="3" t="n"/>
      <c r="F13" s="3" t="n">
        <v>86.33</v>
      </c>
      <c r="G13" s="3" t="n"/>
      <c r="H13" s="3" t="n">
        <v>37.77</v>
      </c>
      <c r="I13" s="3" t="n"/>
      <c r="J13" s="3" t="n"/>
      <c r="K13" s="4">
        <f>ROUND( ((E13*10+F13*40+G13*5+H13*5+I13*20+J13*20) / 100), 2)</f>
        <v/>
      </c>
      <c r="L13" s="4">
        <f>IF(AND(K13&gt;=80, K13&lt;=100), "A", IF(AND(K13&gt;=70, K13&lt;=79.99999999999), "B", IF(AND(K13&gt;=60, K13&lt;=69.9999999999), "C", IF(AND(K13&gt;=51, K13&lt;=59.999999999), "D", IF(AND(K13&gt;=0, K13&lt;=50.999999999), "E",  "E"  )  )  )  )  ) </f>
        <v/>
      </c>
      <c r="M13" s="0">
        <f>IF(AND(K13&gt;=80, K13&lt;=100), "4", IF(AND(K13&gt;=70, K13&lt;=79.99999999999), "3", IF(AND(K13&gt;=60, K13&lt;=69.9999999999), "2", IF(AND(K13&gt;=51, K13&lt;=59.999999999), "1", IF(AND(K13&gt;=0, K13&lt;=50.999999999), "0",  "0"  )  )  )  )  ) </f>
        <v/>
      </c>
    </row>
    <row r="14">
      <c r="A14" s="0" t="inlineStr">
        <is>
          <t>24060123130093</t>
        </is>
      </c>
      <c r="B14" s="0" t="inlineStr">
        <is>
          <t>ARIB TAUFIQURROHMAN</t>
        </is>
      </c>
      <c r="C14" s="0" t="n">
        <v>6</v>
      </c>
      <c r="D14" s="0" t="inlineStr">
        <is>
          <t>BARU</t>
        </is>
      </c>
      <c r="E14" s="3" t="n"/>
      <c r="F14" s="3" t="n">
        <v>82</v>
      </c>
      <c r="G14" s="3" t="n"/>
      <c r="H14" s="3" t="n">
        <v>91.67</v>
      </c>
      <c r="I14" s="3" t="n"/>
      <c r="J14" s="3" t="n"/>
      <c r="K14" s="4">
        <f>ROUND( ((E14*10+F14*40+G14*5+H14*5+I14*20+J14*20) / 100), 2)</f>
        <v/>
      </c>
      <c r="L14" s="4">
        <f>IF(AND(K14&gt;=80, K14&lt;=100), "A", IF(AND(K14&gt;=70, K14&lt;=79.99999999999), "B", IF(AND(K14&gt;=60, K14&lt;=69.9999999999), "C", IF(AND(K14&gt;=51, K14&lt;=59.999999999), "D", IF(AND(K14&gt;=0, K14&lt;=50.999999999), "E",  "E"  )  )  )  )  ) </f>
        <v/>
      </c>
      <c r="M14" s="0">
        <f>IF(AND(K14&gt;=80, K14&lt;=100), "4", IF(AND(K14&gt;=70, K14&lt;=79.99999999999), "3", IF(AND(K14&gt;=60, K14&lt;=69.9999999999), "2", IF(AND(K14&gt;=51, K14&lt;=59.999999999), "1", IF(AND(K14&gt;=0, K14&lt;=50.999999999), "0",  "0"  )  )  )  )  ) </f>
        <v/>
      </c>
    </row>
    <row r="15">
      <c r="A15" s="0" t="inlineStr">
        <is>
          <t>24060123140201</t>
        </is>
      </c>
      <c r="B15" s="0" t="inlineStr">
        <is>
          <t>ATHIQOTUZ ZULAIVA</t>
        </is>
      </c>
      <c r="C15" s="0" t="n">
        <v>6</v>
      </c>
      <c r="D15" s="0" t="inlineStr">
        <is>
          <t>BARU</t>
        </is>
      </c>
      <c r="E15" s="3" t="n"/>
      <c r="F15" s="3" t="n">
        <v>84</v>
      </c>
      <c r="G15" s="3" t="n"/>
      <c r="H15" s="3" t="n">
        <v>72.2</v>
      </c>
      <c r="I15" s="3" t="n"/>
      <c r="J15" s="3" t="n"/>
      <c r="K15" s="4">
        <f>ROUND( ((E15*10+F15*40+G15*5+H15*5+I15*20+J15*20) / 100), 2)</f>
        <v/>
      </c>
      <c r="L15" s="4">
        <f>IF(AND(K15&gt;=80, K15&lt;=100), "A", IF(AND(K15&gt;=70, K15&lt;=79.99999999999), "B", IF(AND(K15&gt;=60, K15&lt;=69.9999999999), "C", IF(AND(K15&gt;=51, K15&lt;=59.999999999), "D", IF(AND(K15&gt;=0, K15&lt;=50.999999999), "E",  "E"  )  )  )  )  ) </f>
        <v/>
      </c>
      <c r="M15" s="0">
        <f>IF(AND(K15&gt;=80, K15&lt;=100), "4", IF(AND(K15&gt;=70, K15&lt;=79.99999999999), "3", IF(AND(K15&gt;=60, K15&lt;=69.9999999999), "2", IF(AND(K15&gt;=51, K15&lt;=59.999999999), "1", IF(AND(K15&gt;=0, K15&lt;=50.999999999), "0",  "0"  )  )  )  )  ) </f>
        <v/>
      </c>
    </row>
    <row r="16">
      <c r="A16" s="0" t="inlineStr">
        <is>
          <t>24060123120032</t>
        </is>
      </c>
      <c r="B16" s="0" t="inlineStr">
        <is>
          <t>LULU NIKITA SITANGGANG</t>
        </is>
      </c>
      <c r="C16" s="0" t="n">
        <v>6</v>
      </c>
      <c r="D16" s="0" t="inlineStr">
        <is>
          <t>BARU</t>
        </is>
      </c>
      <c r="E16" s="3" t="n"/>
      <c r="F16" s="3" t="n">
        <v>60.67</v>
      </c>
      <c r="G16" s="3" t="n"/>
      <c r="H16" s="3" t="n">
        <v>69.47</v>
      </c>
      <c r="I16" s="3" t="n"/>
      <c r="J16" s="3" t="n"/>
      <c r="K16" s="4">
        <f>ROUND( ((E16*10+F16*40+G16*5+H16*5+I16*20+J16*20) / 100), 2)</f>
        <v/>
      </c>
      <c r="L16" s="4">
        <f>IF(AND(K16&gt;=80, K16&lt;=100), "A", IF(AND(K16&gt;=70, K16&lt;=79.99999999999), "B", IF(AND(K16&gt;=60, K16&lt;=69.9999999999), "C", IF(AND(K16&gt;=51, K16&lt;=59.999999999), "D", IF(AND(K16&gt;=0, K16&lt;=50.999999999), "E",  "E"  )  )  )  )  ) </f>
        <v/>
      </c>
      <c r="M16" s="0">
        <f>IF(AND(K16&gt;=80, K16&lt;=100), "4", IF(AND(K16&gt;=70, K16&lt;=79.99999999999), "3", IF(AND(K16&gt;=60, K16&lt;=69.9999999999), "2", IF(AND(K16&gt;=51, K16&lt;=59.999999999), "1", IF(AND(K16&gt;=0, K16&lt;=50.999999999), "0",  "0"  )  )  )  )  ) </f>
        <v/>
      </c>
    </row>
    <row r="17">
      <c r="A17" s="0" t="inlineStr">
        <is>
          <t>24060123130086</t>
        </is>
      </c>
      <c r="B17" s="0" t="inlineStr">
        <is>
          <t>MUHAMMAD AZKA SUBHAN (&lt; 75%)</t>
        </is>
      </c>
      <c r="C17" s="0" t="n">
        <v>6</v>
      </c>
      <c r="D17" s="0" t="inlineStr">
        <is>
          <t>BARU</t>
        </is>
      </c>
      <c r="E17" s="3" t="n"/>
      <c r="F17" s="3" t="n">
        <v>55.33</v>
      </c>
      <c r="G17" s="3" t="n"/>
      <c r="H17" s="3" t="n">
        <v>48.9</v>
      </c>
      <c r="I17" s="3" t="n"/>
      <c r="J17" s="4" t="n"/>
      <c r="K17" s="4">
        <f>ROUND( ((E17*10+F17*40+G17*5+H17*5+I17*20+J17*20) / 100), 2)</f>
        <v/>
      </c>
      <c r="L17" s="4">
        <f>IF(AND(K17&gt;=80, K17&lt;=100), "A", IF(AND(K17&gt;=70, K17&lt;=79.99999999999), "B", IF(AND(K17&gt;=60, K17&lt;=69.9999999999), "C", IF(AND(K17&gt;=51, K17&lt;=59.999999999), "D", IF(AND(K17&gt;=0, K17&lt;=50.999999999), "E",  "E"  )  )  )  )  ) </f>
        <v/>
      </c>
      <c r="M17" s="0">
        <f>IF(AND(K17&gt;=80, K17&lt;=100), "4", IF(AND(K17&gt;=70, K17&lt;=79.99999999999), "3", IF(AND(K17&gt;=60, K17&lt;=69.9999999999), "2", IF(AND(K17&gt;=51, K17&lt;=59.999999999), "1", IF(AND(K17&gt;=0, K17&lt;=50.999999999), "0",  "0"  )  )  )  )  ) </f>
        <v/>
      </c>
    </row>
    <row r="18">
      <c r="A18" s="0" t="inlineStr">
        <is>
          <t>24060123140139</t>
        </is>
      </c>
      <c r="B18" s="0" t="inlineStr">
        <is>
          <t>MOHAMMAD IZZA HAKIKI (&lt; 75%)</t>
        </is>
      </c>
      <c r="C18" s="0" t="n">
        <v>6</v>
      </c>
      <c r="D18" s="0" t="inlineStr">
        <is>
          <t>BARU</t>
        </is>
      </c>
      <c r="E18" s="3" t="n"/>
      <c r="F18" s="3" t="n">
        <v>29</v>
      </c>
      <c r="G18" s="3" t="n"/>
      <c r="H18" s="3" t="n">
        <v>0</v>
      </c>
      <c r="I18" s="3" t="n"/>
      <c r="J18" s="4" t="n"/>
      <c r="K18" s="4">
        <f>ROUND( ((E18*10+F18*40+G18*5+H18*5+I18*20+J18*20) / 100), 2)</f>
        <v/>
      </c>
      <c r="L18" s="4">
        <f>IF(AND(K18&gt;=80, K18&lt;=100), "A", IF(AND(K18&gt;=70, K18&lt;=79.99999999999), "B", IF(AND(K18&gt;=60, K18&lt;=69.9999999999), "C", IF(AND(K18&gt;=51, K18&lt;=59.999999999), "D", IF(AND(K18&gt;=0, K18&lt;=50.999999999), "E",  "E"  )  )  )  )  ) </f>
        <v/>
      </c>
      <c r="M18" s="0">
        <f>IF(AND(K18&gt;=80, K18&lt;=100), "4", IF(AND(K18&gt;=70, K18&lt;=79.99999999999), "3", IF(AND(K18&gt;=60, K18&lt;=69.9999999999), "2", IF(AND(K18&gt;=51, K18&lt;=59.999999999), "1", IF(AND(K18&gt;=0, K18&lt;=50.999999999), "0",  "0"  )  )  )  )  ) </f>
        <v/>
      </c>
    </row>
    <row r="19">
      <c r="A19" s="0" t="inlineStr">
        <is>
          <t>24060123140204</t>
        </is>
      </c>
      <c r="B19" s="0" t="inlineStr">
        <is>
          <t>MOHAMMAD IMRON ROSYADI</t>
        </is>
      </c>
      <c r="C19" s="0" t="n">
        <v>6</v>
      </c>
      <c r="D19" s="0" t="inlineStr">
        <is>
          <t>BARU</t>
        </is>
      </c>
      <c r="E19" s="3" t="n"/>
      <c r="F19" s="3" t="n">
        <v>90.67</v>
      </c>
      <c r="G19" s="3" t="n"/>
      <c r="H19" s="3" t="n">
        <v>92.2</v>
      </c>
      <c r="I19" s="3" t="n"/>
      <c r="J19" s="3" t="n"/>
      <c r="K19" s="4">
        <f>ROUND( ((E19*10+F19*40+G19*5+H19*5+I19*20+J19*20) / 100), 2)</f>
        <v/>
      </c>
      <c r="L19" s="4">
        <f>IF(AND(K19&gt;=80, K19&lt;=100), "A", IF(AND(K19&gt;=70, K19&lt;=79.99999999999), "B", IF(AND(K19&gt;=60, K19&lt;=69.9999999999), "C", IF(AND(K19&gt;=51, K19&lt;=59.999999999), "D", IF(AND(K19&gt;=0, K19&lt;=50.999999999), "E",  "E"  )  )  )  )  ) </f>
        <v/>
      </c>
      <c r="M19" s="0">
        <f>IF(AND(K19&gt;=80, K19&lt;=100), "4", IF(AND(K19&gt;=70, K19&lt;=79.99999999999), "3", IF(AND(K19&gt;=60, K19&lt;=69.9999999999), "2", IF(AND(K19&gt;=51, K19&lt;=59.999999999), "1", IF(AND(K19&gt;=0, K19&lt;=50.999999999), "0",  "0"  )  )  )  )  ) </f>
        <v/>
      </c>
    </row>
    <row r="20">
      <c r="A20" s="0" t="inlineStr">
        <is>
          <t>24060123120016</t>
        </is>
      </c>
      <c r="B20" s="0" t="inlineStr">
        <is>
          <t>DINA AMELIA (&lt; 75%)</t>
        </is>
      </c>
      <c r="C20" s="0" t="n">
        <v>6</v>
      </c>
      <c r="D20" s="0" t="inlineStr">
        <is>
          <t>BARU</t>
        </is>
      </c>
      <c r="E20" s="3" t="n"/>
      <c r="F20" s="3" t="n">
        <v>27.33</v>
      </c>
      <c r="G20" s="3" t="n"/>
      <c r="H20" s="3" t="n">
        <v>0</v>
      </c>
      <c r="I20" s="3" t="n"/>
      <c r="J20" s="4" t="n"/>
      <c r="K20" s="4">
        <f>ROUND( ((E20*10+F20*40+G20*5+H20*5+I20*20+J20*20) / 100), 2)</f>
        <v/>
      </c>
      <c r="L20" s="4">
        <f>IF(AND(K20&gt;=80, K20&lt;=100), "A", IF(AND(K20&gt;=70, K20&lt;=79.99999999999), "B", IF(AND(K20&gt;=60, K20&lt;=69.9999999999), "C", IF(AND(K20&gt;=51, K20&lt;=59.999999999), "D", IF(AND(K20&gt;=0, K20&lt;=50.999999999), "E",  "E"  )  )  )  )  ) </f>
        <v/>
      </c>
      <c r="M20" s="0">
        <f>IF(AND(K20&gt;=80, K20&lt;=100), "4", IF(AND(K20&gt;=70, K20&lt;=79.99999999999), "3", IF(AND(K20&gt;=60, K20&lt;=69.9999999999), "2", IF(AND(K20&gt;=51, K20&lt;=59.999999999), "1", IF(AND(K20&gt;=0, K20&lt;=50.999999999), "0",  "0"  )  )  )  )  ) </f>
        <v/>
      </c>
    </row>
    <row r="21">
      <c r="A21" s="0" t="inlineStr">
        <is>
          <t>24060123120028</t>
        </is>
      </c>
      <c r="B21" s="0" t="inlineStr">
        <is>
          <t>GEORGE IMANUEL SURYA</t>
        </is>
      </c>
      <c r="C21" s="0" t="n">
        <v>6</v>
      </c>
      <c r="D21" s="0" t="inlineStr">
        <is>
          <t>BARU</t>
        </is>
      </c>
      <c r="E21" s="3" t="n"/>
      <c r="F21" s="3" t="n">
        <v>87.33</v>
      </c>
      <c r="G21" s="3" t="n"/>
      <c r="H21" s="3" t="n">
        <v>47.8</v>
      </c>
      <c r="I21" s="3" t="n"/>
      <c r="J21" s="3" t="n"/>
      <c r="K21" s="4">
        <f>ROUND( ((E21*10+F21*40+G21*5+H21*5+I21*20+J21*20) / 100), 2)</f>
        <v/>
      </c>
      <c r="L21" s="4">
        <f>IF(AND(K21&gt;=80, K21&lt;=100), "A", IF(AND(K21&gt;=70, K21&lt;=79.99999999999), "B", IF(AND(K21&gt;=60, K21&lt;=69.9999999999), "C", IF(AND(K21&gt;=51, K21&lt;=59.999999999), "D", IF(AND(K21&gt;=0, K21&lt;=50.999999999), "E",  "E"  )  )  )  )  ) </f>
        <v/>
      </c>
      <c r="M21" s="0">
        <f>IF(AND(K21&gt;=80, K21&lt;=100), "4", IF(AND(K21&gt;=70, K21&lt;=79.99999999999), "3", IF(AND(K21&gt;=60, K21&lt;=69.9999999999), "2", IF(AND(K21&gt;=51, K21&lt;=59.999999999), "1", IF(AND(K21&gt;=0, K21&lt;=50.999999999), "0",  "0"  )  )  )  )  ) </f>
        <v/>
      </c>
    </row>
    <row r="22">
      <c r="A22" s="0" t="inlineStr">
        <is>
          <t>24060123120040</t>
        </is>
      </c>
      <c r="B22" s="0" t="inlineStr">
        <is>
          <t>DHIMAS LUTHFI ARNANDA</t>
        </is>
      </c>
      <c r="C22" s="0" t="n">
        <v>6</v>
      </c>
      <c r="D22" s="0" t="inlineStr">
        <is>
          <t>BARU</t>
        </is>
      </c>
      <c r="E22" s="3" t="n"/>
      <c r="F22" s="3" t="n">
        <v>89</v>
      </c>
      <c r="G22" s="3" t="n"/>
      <c r="H22" s="3" t="n">
        <v>90.56999999999999</v>
      </c>
      <c r="I22" s="3" t="n"/>
      <c r="J22" s="3" t="n"/>
      <c r="K22" s="4">
        <f>ROUND( ((E22*10+F22*40+G22*5+H22*5+I22*20+J22*20) / 100), 2)</f>
        <v/>
      </c>
      <c r="L22" s="4">
        <f>IF(AND(K22&gt;=80, K22&lt;=100), "A", IF(AND(K22&gt;=70, K22&lt;=79.99999999999), "B", IF(AND(K22&gt;=60, K22&lt;=69.9999999999), "C", IF(AND(K22&gt;=51, K22&lt;=59.999999999), "D", IF(AND(K22&gt;=0, K22&lt;=50.999999999), "E",  "E"  )  )  )  )  ) </f>
        <v/>
      </c>
      <c r="M22" s="0">
        <f>IF(AND(K22&gt;=80, K22&lt;=100), "4", IF(AND(K22&gt;=70, K22&lt;=79.99999999999), "3", IF(AND(K22&gt;=60, K22&lt;=69.9999999999), "2", IF(AND(K22&gt;=51, K22&lt;=59.999999999), "1", IF(AND(K22&gt;=0, K22&lt;=50.999999999), "0",  "0"  )  )  )  )  ) </f>
        <v/>
      </c>
    </row>
    <row r="23">
      <c r="A23" s="0" t="inlineStr">
        <is>
          <t>24060123130073</t>
        </is>
      </c>
      <c r="B23" s="0" t="inlineStr">
        <is>
          <t>DARY IHSAN AMANULLAH (&lt; 75%)</t>
        </is>
      </c>
      <c r="C23" s="0" t="n">
        <v>6</v>
      </c>
      <c r="D23" s="0" t="inlineStr">
        <is>
          <t>BARU</t>
        </is>
      </c>
      <c r="E23" s="3" t="n"/>
      <c r="F23" s="3" t="n">
        <v>28.33</v>
      </c>
      <c r="G23" s="3" t="n"/>
      <c r="H23" s="3" t="n">
        <v>0</v>
      </c>
      <c r="I23" s="3" t="n"/>
      <c r="J23" s="4" t="n"/>
      <c r="K23" s="4">
        <f>ROUND( ((E23*10+F23*40+G23*5+H23*5+I23*20+J23*20) / 100), 2)</f>
        <v/>
      </c>
      <c r="L23" s="4">
        <f>IF(AND(K23&gt;=80, K23&lt;=100), "A", IF(AND(K23&gt;=70, K23&lt;=79.99999999999), "B", IF(AND(K23&gt;=60, K23&lt;=69.9999999999), "C", IF(AND(K23&gt;=51, K23&lt;=59.999999999), "D", IF(AND(K23&gt;=0, K23&lt;=50.999999999), "E",  "E"  )  )  )  )  ) </f>
        <v/>
      </c>
      <c r="M23" s="0">
        <f>IF(AND(K23&gt;=80, K23&lt;=100), "4", IF(AND(K23&gt;=70, K23&lt;=79.99999999999), "3", IF(AND(K23&gt;=60, K23&lt;=69.9999999999), "2", IF(AND(K23&gt;=51, K23&lt;=59.999999999), "1", IF(AND(K23&gt;=0, K23&lt;=50.999999999), "0",  "0"  )  )  )  )  ) </f>
        <v/>
      </c>
    </row>
    <row r="24">
      <c r="A24" s="0" t="inlineStr">
        <is>
          <t>24060123130079</t>
        </is>
      </c>
      <c r="B24" s="0" t="inlineStr">
        <is>
          <t>CHRISTIANO BRYAN BUDIMAN</t>
        </is>
      </c>
      <c r="C24" s="0" t="n">
        <v>6</v>
      </c>
      <c r="D24" s="0" t="inlineStr">
        <is>
          <t>BARU</t>
        </is>
      </c>
      <c r="E24" s="3" t="n"/>
      <c r="F24" s="3" t="n">
        <v>57</v>
      </c>
      <c r="G24" s="3" t="n"/>
      <c r="H24" s="3" t="n">
        <v>86.67</v>
      </c>
      <c r="I24" s="3" t="n"/>
      <c r="J24" s="3" t="n"/>
      <c r="K24" s="4">
        <f>ROUND( ((E24*10+F24*40+G24*5+H24*5+I24*20+J24*20) / 100), 2)</f>
        <v/>
      </c>
      <c r="L24" s="4">
        <f>IF(AND(K24&gt;=80, K24&lt;=100), "A", IF(AND(K24&gt;=70, K24&lt;=79.99999999999), "B", IF(AND(K24&gt;=60, K24&lt;=69.9999999999), "C", IF(AND(K24&gt;=51, K24&lt;=59.999999999), "D", IF(AND(K24&gt;=0, K24&lt;=50.999999999), "E",  "E"  )  )  )  )  ) </f>
        <v/>
      </c>
      <c r="M24" s="0">
        <f>IF(AND(K24&gt;=80, K24&lt;=100), "4", IF(AND(K24&gt;=70, K24&lt;=79.99999999999), "3", IF(AND(K24&gt;=60, K24&lt;=69.9999999999), "2", IF(AND(K24&gt;=51, K24&lt;=59.999999999), "1", IF(AND(K24&gt;=0, K24&lt;=50.999999999), "0",  "0"  )  )  )  )  ) </f>
        <v/>
      </c>
    </row>
    <row r="25">
      <c r="A25" s="0" t="inlineStr">
        <is>
          <t>24060123130080</t>
        </is>
      </c>
      <c r="B25" s="0" t="inlineStr">
        <is>
          <t>DIMAS A ALBANNA ZAIN</t>
        </is>
      </c>
      <c r="C25" s="0" t="n">
        <v>6</v>
      </c>
      <c r="D25" s="0" t="inlineStr">
        <is>
          <t>BARU</t>
        </is>
      </c>
      <c r="E25" s="3" t="n"/>
      <c r="F25" s="3" t="n">
        <v>81</v>
      </c>
      <c r="G25" s="3" t="n"/>
      <c r="H25" s="3" t="n">
        <v>82.77</v>
      </c>
      <c r="I25" s="3" t="n"/>
      <c r="J25" s="3" t="n"/>
      <c r="K25" s="4">
        <f>ROUND( ((E25*10+F25*40+G25*5+H25*5+I25*20+J25*20) / 100), 2)</f>
        <v/>
      </c>
      <c r="L25" s="4">
        <f>IF(AND(K25&gt;=80, K25&lt;=100), "A", IF(AND(K25&gt;=70, K25&lt;=79.99999999999), "B", IF(AND(K25&gt;=60, K25&lt;=69.9999999999), "C", IF(AND(K25&gt;=51, K25&lt;=59.999999999), "D", IF(AND(K25&gt;=0, K25&lt;=50.999999999), "E",  "E"  )  )  )  )  ) </f>
        <v/>
      </c>
      <c r="M25" s="0">
        <f>IF(AND(K25&gt;=80, K25&lt;=100), "4", IF(AND(K25&gt;=70, K25&lt;=79.99999999999), "3", IF(AND(K25&gt;=60, K25&lt;=69.9999999999), "2", IF(AND(K25&gt;=51, K25&lt;=59.999999999), "1", IF(AND(K25&gt;=0, K25&lt;=50.999999999), "0",  "0"  )  )  )  )  ) </f>
        <v/>
      </c>
    </row>
    <row r="26">
      <c r="A26" s="0" t="inlineStr">
        <is>
          <t>24060123130094</t>
        </is>
      </c>
      <c r="B26" s="0" t="inlineStr">
        <is>
          <t>GABRIEL PRAKOSA ARDHI</t>
        </is>
      </c>
      <c r="C26" s="0" t="n">
        <v>6</v>
      </c>
      <c r="D26" s="0" t="inlineStr">
        <is>
          <t>BARU</t>
        </is>
      </c>
      <c r="E26" s="3" t="n"/>
      <c r="F26" s="3" t="n">
        <v>86</v>
      </c>
      <c r="G26" s="3" t="n"/>
      <c r="H26" s="3" t="n">
        <v>51.13</v>
      </c>
      <c r="I26" s="3" t="n"/>
      <c r="J26" s="3" t="n"/>
      <c r="K26" s="4">
        <f>ROUND( ((E26*10+F26*40+G26*5+H26*5+I26*20+J26*20) / 100), 2)</f>
        <v/>
      </c>
      <c r="L26" s="4">
        <f>IF(AND(K26&gt;=80, K26&lt;=100), "A", IF(AND(K26&gt;=70, K26&lt;=79.99999999999), "B", IF(AND(K26&gt;=60, K26&lt;=69.9999999999), "C", IF(AND(K26&gt;=51, K26&lt;=59.999999999), "D", IF(AND(K26&gt;=0, K26&lt;=50.999999999), "E",  "E"  )  )  )  )  ) </f>
        <v/>
      </c>
      <c r="M26" s="0">
        <f>IF(AND(K26&gt;=80, K26&lt;=100), "4", IF(AND(K26&gt;=70, K26&lt;=79.99999999999), "3", IF(AND(K26&gt;=60, K26&lt;=69.9999999999), "2", IF(AND(K26&gt;=51, K26&lt;=59.999999999), "1", IF(AND(K26&gt;=0, K26&lt;=50.999999999), "0",  "0"  )  )  )  )  ) </f>
        <v/>
      </c>
    </row>
    <row r="27">
      <c r="A27" s="0" t="inlineStr">
        <is>
          <t>24060123130098</t>
        </is>
      </c>
      <c r="B27" s="0" t="inlineStr">
        <is>
          <t>FELIS EREN CRISTI MILALA</t>
        </is>
      </c>
      <c r="C27" s="0" t="n">
        <v>6</v>
      </c>
      <c r="D27" s="0" t="inlineStr">
        <is>
          <t>BARU</t>
        </is>
      </c>
      <c r="E27" s="3" t="n"/>
      <c r="F27" s="3" t="n">
        <v>82.33</v>
      </c>
      <c r="G27" s="3" t="n"/>
      <c r="H27" s="3" t="n">
        <v>72.77</v>
      </c>
      <c r="I27" s="3" t="n"/>
      <c r="J27" s="3" t="n"/>
      <c r="K27" s="4">
        <f>ROUND( ((E27*10+F27*40+G27*5+H27*5+I27*20+J27*20) / 100), 2)</f>
        <v/>
      </c>
      <c r="L27" s="4">
        <f>IF(AND(K27&gt;=80, K27&lt;=100), "A", IF(AND(K27&gt;=70, K27&lt;=79.99999999999), "B", IF(AND(K27&gt;=60, K27&lt;=69.9999999999), "C", IF(AND(K27&gt;=51, K27&lt;=59.999999999), "D", IF(AND(K27&gt;=0, K27&lt;=50.999999999), "E",  "E"  )  )  )  )  ) </f>
        <v/>
      </c>
      <c r="M27" s="0">
        <f>IF(AND(K27&gt;=80, K27&lt;=100), "4", IF(AND(K27&gt;=70, K27&lt;=79.99999999999), "3", IF(AND(K27&gt;=60, K27&lt;=69.9999999999), "2", IF(AND(K27&gt;=51, K27&lt;=59.999999999), "1", IF(AND(K27&gt;=0, K27&lt;=50.999999999), "0",  "0"  )  )  )  )  ) </f>
        <v/>
      </c>
    </row>
    <row r="28">
      <c r="A28" s="0" t="inlineStr">
        <is>
          <t>24060123140045</t>
        </is>
      </c>
      <c r="B28" s="0" t="inlineStr">
        <is>
          <t>DEWI LARASATI MUMPUNI</t>
        </is>
      </c>
      <c r="C28" s="0" t="n">
        <v>6</v>
      </c>
      <c r="D28" s="0" t="inlineStr">
        <is>
          <t>BARU</t>
        </is>
      </c>
      <c r="E28" s="3" t="n"/>
      <c r="F28" s="3" t="n">
        <v>58</v>
      </c>
      <c r="G28" s="3" t="n"/>
      <c r="H28" s="3" t="n">
        <v>57.77</v>
      </c>
      <c r="I28" s="3" t="n"/>
      <c r="J28" s="3" t="n"/>
      <c r="K28" s="4">
        <f>ROUND( ((E28*10+F28*40+G28*5+H28*5+I28*20+J28*20) / 100), 2)</f>
        <v/>
      </c>
      <c r="L28" s="4">
        <f>IF(AND(K28&gt;=80, K28&lt;=100), "A", IF(AND(K28&gt;=70, K28&lt;=79.99999999999), "B", IF(AND(K28&gt;=60, K28&lt;=69.9999999999), "C", IF(AND(K28&gt;=51, K28&lt;=59.999999999), "D", IF(AND(K28&gt;=0, K28&lt;=50.999999999), "E",  "E"  )  )  )  )  ) </f>
        <v/>
      </c>
      <c r="M28" s="0">
        <f>IF(AND(K28&gt;=80, K28&lt;=100), "4", IF(AND(K28&gt;=70, K28&lt;=79.99999999999), "3", IF(AND(K28&gt;=60, K28&lt;=69.9999999999), "2", IF(AND(K28&gt;=51, K28&lt;=59.999999999), "1", IF(AND(K28&gt;=0, K28&lt;=50.999999999), "0",  "0"  )  )  )  )  ) </f>
        <v/>
      </c>
    </row>
    <row r="29">
      <c r="A29" s="0" t="inlineStr">
        <is>
          <t>24060123140111</t>
        </is>
      </c>
      <c r="B29" s="0" t="inlineStr">
        <is>
          <t>EVIA AUAMARA UNSA NASYTA</t>
        </is>
      </c>
      <c r="C29" s="0" t="n">
        <v>6</v>
      </c>
      <c r="D29" s="0" t="inlineStr">
        <is>
          <t>BARU</t>
        </is>
      </c>
      <c r="E29" s="3" t="n"/>
      <c r="F29" s="3" t="n">
        <v>86</v>
      </c>
      <c r="G29" s="3" t="n"/>
      <c r="H29" s="3" t="n">
        <v>94.43000000000001</v>
      </c>
      <c r="I29" s="3" t="n"/>
      <c r="J29" s="3" t="n"/>
      <c r="K29" s="4">
        <f>ROUND( ((E29*10+F29*40+G29*5+H29*5+I29*20+J29*20) / 100), 2)</f>
        <v/>
      </c>
      <c r="L29" s="4">
        <f>IF(AND(K29&gt;=80, K29&lt;=100), "A", IF(AND(K29&gt;=70, K29&lt;=79.99999999999), "B", IF(AND(K29&gt;=60, K29&lt;=69.9999999999), "C", IF(AND(K29&gt;=51, K29&lt;=59.999999999), "D", IF(AND(K29&gt;=0, K29&lt;=50.999999999), "E",  "E"  )  )  )  )  ) </f>
        <v/>
      </c>
      <c r="M29" s="0">
        <f>IF(AND(K29&gt;=80, K29&lt;=100), "4", IF(AND(K29&gt;=70, K29&lt;=79.99999999999), "3", IF(AND(K29&gt;=60, K29&lt;=69.9999999999), "2", IF(AND(K29&gt;=51, K29&lt;=59.999999999), "1", IF(AND(K29&gt;=0, K29&lt;=50.999999999), "0",  "0"  )  )  )  )  ) </f>
        <v/>
      </c>
    </row>
    <row r="30">
      <c r="A30" s="0" t="inlineStr">
        <is>
          <t>24060123140147</t>
        </is>
      </c>
      <c r="B30" s="0" t="inlineStr">
        <is>
          <t>ELIZA TALENT SIRAIT (&lt; 75%)</t>
        </is>
      </c>
      <c r="C30" s="0" t="n">
        <v>6</v>
      </c>
      <c r="D30" s="0" t="inlineStr">
        <is>
          <t>BARU</t>
        </is>
      </c>
      <c r="E30" s="3" t="n"/>
      <c r="F30" s="3" t="n">
        <v>26.67</v>
      </c>
      <c r="G30" s="3" t="n"/>
      <c r="H30" s="3" t="n">
        <v>75.56999999999999</v>
      </c>
      <c r="I30" s="3" t="n"/>
      <c r="J30" s="4" t="n"/>
      <c r="K30" s="4">
        <f>ROUND( ((E30*10+F30*40+G30*5+H30*5+I30*20+J30*20) / 100), 2)</f>
        <v/>
      </c>
      <c r="L30" s="4">
        <f>IF(AND(K30&gt;=80, K30&lt;=100), "A", IF(AND(K30&gt;=70, K30&lt;=79.99999999999), "B", IF(AND(K30&gt;=60, K30&lt;=69.9999999999), "C", IF(AND(K30&gt;=51, K30&lt;=59.999999999), "D", IF(AND(K30&gt;=0, K30&lt;=50.999999999), "E",  "E"  )  )  )  )  ) </f>
        <v/>
      </c>
      <c r="M30" s="0">
        <f>IF(AND(K30&gt;=80, K30&lt;=100), "4", IF(AND(K30&gt;=70, K30&lt;=79.99999999999), "3", IF(AND(K30&gt;=60, K30&lt;=69.9999999999), "2", IF(AND(K30&gt;=51, K30&lt;=59.999999999), "1", IF(AND(K30&gt;=0, K30&lt;=50.999999999), "0",  "0"  )  )  )  )  ) </f>
        <v/>
      </c>
    </row>
    <row r="31">
      <c r="A31" s="0" t="inlineStr">
        <is>
          <t>24060123140175</t>
        </is>
      </c>
      <c r="B31" s="0" t="inlineStr">
        <is>
          <t>CIKAL WAHYUNING BACHTIAR</t>
        </is>
      </c>
      <c r="C31" s="0" t="n">
        <v>6</v>
      </c>
      <c r="D31" s="0" t="inlineStr">
        <is>
          <t>BARU</t>
        </is>
      </c>
      <c r="E31" s="3" t="n"/>
      <c r="F31" s="3" t="n">
        <v>85</v>
      </c>
      <c r="G31" s="3" t="n"/>
      <c r="H31" s="3" t="n">
        <v>80</v>
      </c>
      <c r="I31" s="3" t="n"/>
      <c r="J31" s="3" t="n"/>
      <c r="K31" s="4">
        <f>ROUND( ((E31*10+F31*40+G31*5+H31*5+I31*20+J31*20) / 100), 2)</f>
        <v/>
      </c>
      <c r="L31" s="4">
        <f>IF(AND(K31&gt;=80, K31&lt;=100), "A", IF(AND(K31&gt;=70, K31&lt;=79.99999999999), "B", IF(AND(K31&gt;=60, K31&lt;=69.9999999999), "C", IF(AND(K31&gt;=51, K31&lt;=59.999999999), "D", IF(AND(K31&gt;=0, K31&lt;=50.999999999), "E",  "E"  )  )  )  )  ) </f>
        <v/>
      </c>
      <c r="M31" s="0">
        <f>IF(AND(K31&gt;=80, K31&lt;=100), "4", IF(AND(K31&gt;=70, K31&lt;=79.99999999999), "3", IF(AND(K31&gt;=60, K31&lt;=69.9999999999), "2", IF(AND(K31&gt;=51, K31&lt;=59.999999999), "1", IF(AND(K31&gt;=0, K31&lt;=50.999999999), "0",  "0"  )  )  )  )  ) </f>
        <v/>
      </c>
    </row>
    <row r="32">
      <c r="A32" s="0" t="inlineStr">
        <is>
          <t>24060123140211</t>
        </is>
      </c>
      <c r="B32" s="0" t="inlineStr">
        <is>
          <t>FERZA FARRELL WIBOWO</t>
        </is>
      </c>
      <c r="C32" s="0" t="n">
        <v>6</v>
      </c>
      <c r="D32" s="0" t="inlineStr">
        <is>
          <t>BARU</t>
        </is>
      </c>
      <c r="E32" s="3" t="n"/>
      <c r="F32" s="3" t="n">
        <v>52.33</v>
      </c>
      <c r="G32" s="3" t="n"/>
      <c r="H32" s="3" t="n">
        <v>0</v>
      </c>
      <c r="I32" s="3" t="n"/>
      <c r="J32" s="3" t="n"/>
      <c r="K32" s="4">
        <f>ROUND( ((E32*10+F32*40+G32*5+H32*5+I32*20+J32*20) / 100), 2)</f>
        <v/>
      </c>
      <c r="L32" s="4">
        <f>IF(AND(K32&gt;=80, K32&lt;=100), "A", IF(AND(K32&gt;=70, K32&lt;=79.99999999999), "B", IF(AND(K32&gt;=60, K32&lt;=69.9999999999), "C", IF(AND(K32&gt;=51, K32&lt;=59.999999999), "D", IF(AND(K32&gt;=0, K32&lt;=50.999999999), "E",  "E"  )  )  )  )  ) </f>
        <v/>
      </c>
      <c r="M32" s="0">
        <f>IF(AND(K32&gt;=80, K32&lt;=100), "4", IF(AND(K32&gt;=70, K32&lt;=79.99999999999), "3", IF(AND(K32&gt;=60, K32&lt;=69.9999999999), "2", IF(AND(K32&gt;=51, K32&lt;=59.999999999), "1", IF(AND(K32&gt;=0, K32&lt;=50.999999999), "0",  "0"  )  )  )  )  ) </f>
        <v/>
      </c>
    </row>
    <row r="33">
      <c r="A33" s="0" t="inlineStr">
        <is>
          <t>24060123120038</t>
        </is>
      </c>
      <c r="B33" s="0" t="inlineStr">
        <is>
          <t>NAZLA AZZAHRA HERMANA (&lt; 75%)</t>
        </is>
      </c>
      <c r="C33" s="0" t="n">
        <v>6</v>
      </c>
      <c r="D33" s="0" t="inlineStr">
        <is>
          <t>BARU</t>
        </is>
      </c>
      <c r="E33" s="3" t="n"/>
      <c r="F33" s="3" t="n">
        <v>29.33</v>
      </c>
      <c r="G33" s="3" t="n"/>
      <c r="H33" s="3" t="n">
        <v>0</v>
      </c>
      <c r="I33" s="3" t="n"/>
      <c r="J33" s="4" t="n"/>
      <c r="K33" s="4">
        <f>ROUND( ((E33*10+F33*40+G33*5+H33*5+I33*20+J33*20) / 100), 2)</f>
        <v/>
      </c>
      <c r="L33" s="4">
        <f>IF(AND(K33&gt;=80, K33&lt;=100), "A", IF(AND(K33&gt;=70, K33&lt;=79.99999999999), "B", IF(AND(K33&gt;=60, K33&lt;=69.9999999999), "C", IF(AND(K33&gt;=51, K33&lt;=59.999999999), "D", IF(AND(K33&gt;=0, K33&lt;=50.999999999), "E",  "E"  )  )  )  )  ) </f>
        <v/>
      </c>
      <c r="M33" s="0">
        <f>IF(AND(K33&gt;=80, K33&lt;=100), "4", IF(AND(K33&gt;=70, K33&lt;=79.99999999999), "3", IF(AND(K33&gt;=60, K33&lt;=69.9999999999), "2", IF(AND(K33&gt;=51, K33&lt;=59.999999999), "1", IF(AND(K33&gt;=0, K33&lt;=50.999999999), "0",  "0"  )  )  )  )  ) </f>
        <v/>
      </c>
    </row>
    <row r="34">
      <c r="A34" s="0" t="inlineStr">
        <is>
          <t>24060123130067</t>
        </is>
      </c>
      <c r="B34" s="0" t="inlineStr">
        <is>
          <t>NINDYA KIRANA</t>
        </is>
      </c>
      <c r="C34" s="0" t="n">
        <v>6</v>
      </c>
      <c r="D34" s="0" t="inlineStr">
        <is>
          <t>BARU</t>
        </is>
      </c>
      <c r="E34" s="3" t="n"/>
      <c r="F34" s="3" t="n">
        <v>57.67</v>
      </c>
      <c r="G34" s="3" t="n"/>
      <c r="H34" s="3" t="n">
        <v>54.43</v>
      </c>
      <c r="I34" s="3" t="n"/>
      <c r="J34" s="3" t="n"/>
      <c r="K34" s="4">
        <f>ROUND( ((E34*10+F34*40+G34*5+H34*5+I34*20+J34*20) / 100), 2)</f>
        <v/>
      </c>
      <c r="L34" s="4">
        <f>IF(AND(K34&gt;=80, K34&lt;=100), "A", IF(AND(K34&gt;=70, K34&lt;=79.99999999999), "B", IF(AND(K34&gt;=60, K34&lt;=69.9999999999), "C", IF(AND(K34&gt;=51, K34&lt;=59.999999999), "D", IF(AND(K34&gt;=0, K34&lt;=50.999999999), "E",  "E"  )  )  )  )  ) </f>
        <v/>
      </c>
      <c r="M34" s="0">
        <f>IF(AND(K34&gt;=80, K34&lt;=100), "4", IF(AND(K34&gt;=70, K34&lt;=79.99999999999), "3", IF(AND(K34&gt;=60, K34&lt;=69.9999999999), "2", IF(AND(K34&gt;=51, K34&lt;=59.999999999), "1", IF(AND(K34&gt;=0, K34&lt;=50.999999999), "0",  "0"  )  )  )  )  ) </f>
        <v/>
      </c>
    </row>
    <row r="35">
      <c r="A35" s="0" t="inlineStr">
        <is>
          <t>24060123130100</t>
        </is>
      </c>
      <c r="B35" s="0" t="inlineStr">
        <is>
          <t>PATRIOT ANTARAS BANGSA</t>
        </is>
      </c>
      <c r="C35" s="0" t="n">
        <v>6</v>
      </c>
      <c r="D35" s="0" t="inlineStr">
        <is>
          <t>BARU</t>
        </is>
      </c>
      <c r="E35" s="3" t="n"/>
      <c r="F35" s="3" t="n">
        <v>81</v>
      </c>
      <c r="G35" s="3" t="n"/>
      <c r="H35" s="3" t="n">
        <v>25</v>
      </c>
      <c r="I35" s="3" t="n"/>
      <c r="J35" s="3" t="n"/>
      <c r="K35" s="4">
        <f>ROUND( ((E35*10+F35*40+G35*5+H35*5+I35*20+J35*20) / 100), 2)</f>
        <v/>
      </c>
      <c r="L35" s="4">
        <f>IF(AND(K35&gt;=80, K35&lt;=100), "A", IF(AND(K35&gt;=70, K35&lt;=79.99999999999), "B", IF(AND(K35&gt;=60, K35&lt;=69.9999999999), "C", IF(AND(K35&gt;=51, K35&lt;=59.999999999), "D", IF(AND(K35&gt;=0, K35&lt;=50.999999999), "E",  "E"  )  )  )  )  ) </f>
        <v/>
      </c>
      <c r="M35" s="0">
        <f>IF(AND(K35&gt;=80, K35&lt;=100), "4", IF(AND(K35&gt;=70, K35&lt;=79.99999999999), "3", IF(AND(K35&gt;=60, K35&lt;=69.9999999999), "2", IF(AND(K35&gt;=51, K35&lt;=59.999999999), "1", IF(AND(K35&gt;=0, K35&lt;=50.999999999), "0",  "0"  )  )  )  )  ) </f>
        <v/>
      </c>
    </row>
    <row r="36">
      <c r="A36" s="0" t="inlineStr">
        <is>
          <t>24060123140142</t>
        </is>
      </c>
      <c r="B36" s="0" t="inlineStr">
        <is>
          <t>PARISYA LITUHAYU CHANDRAWATI GUNAWARMAN</t>
        </is>
      </c>
      <c r="C36" s="0" t="n">
        <v>6</v>
      </c>
      <c r="D36" s="0" t="inlineStr">
        <is>
          <t>BARU</t>
        </is>
      </c>
      <c r="E36" s="3" t="n"/>
      <c r="F36" s="3" t="n">
        <v>53.33</v>
      </c>
      <c r="G36" s="3" t="n"/>
      <c r="H36" s="3" t="n">
        <v>34.43</v>
      </c>
      <c r="I36" s="3" t="n"/>
      <c r="J36" s="3" t="n"/>
      <c r="K36" s="4">
        <f>ROUND( ((E36*10+F36*40+G36*5+H36*5+I36*20+J36*20) / 100), 2)</f>
        <v/>
      </c>
      <c r="L36" s="4">
        <f>IF(AND(K36&gt;=80, K36&lt;=100), "A", IF(AND(K36&gt;=70, K36&lt;=79.99999999999), "B", IF(AND(K36&gt;=60, K36&lt;=69.9999999999), "C", IF(AND(K36&gt;=51, K36&lt;=59.999999999), "D", IF(AND(K36&gt;=0, K36&lt;=50.999999999), "E",  "E"  )  )  )  )  ) </f>
        <v/>
      </c>
      <c r="M36" s="0">
        <f>IF(AND(K36&gt;=80, K36&lt;=100), "4", IF(AND(K36&gt;=70, K36&lt;=79.99999999999), "3", IF(AND(K36&gt;=60, K36&lt;=69.9999999999), "2", IF(AND(K36&gt;=51, K36&lt;=59.999999999), "1", IF(AND(K36&gt;=0, K36&lt;=50.999999999), "0",  "0"  )  )  )  )  ) </f>
        <v/>
      </c>
    </row>
    <row r="37">
      <c r="A37" s="0" t="inlineStr">
        <is>
          <t>24060123140148</t>
        </is>
      </c>
      <c r="B37" s="0" t="inlineStr">
        <is>
          <t>NICHOLAS GUNAWAN</t>
        </is>
      </c>
      <c r="C37" s="0" t="n">
        <v>6</v>
      </c>
      <c r="D37" s="0" t="inlineStr">
        <is>
          <t>BARU</t>
        </is>
      </c>
      <c r="E37" s="3" t="n"/>
      <c r="F37" s="3" t="n">
        <v>83</v>
      </c>
      <c r="G37" s="3" t="n"/>
      <c r="H37" s="3" t="n">
        <v>90.56999999999999</v>
      </c>
      <c r="I37" s="3" t="n"/>
      <c r="J37" s="3" t="n"/>
      <c r="K37" s="4">
        <f>ROUND( ((E37*10+F37*40+G37*5+H37*5+I37*20+J37*20) / 100), 2)</f>
        <v/>
      </c>
      <c r="L37" s="4">
        <f>IF(AND(K37&gt;=80, K37&lt;=100), "A", IF(AND(K37&gt;=70, K37&lt;=79.99999999999), "B", IF(AND(K37&gt;=60, K37&lt;=69.9999999999), "C", IF(AND(K37&gt;=51, K37&lt;=59.999999999), "D", IF(AND(K37&gt;=0, K37&lt;=50.999999999), "E",  "E"  )  )  )  )  ) </f>
        <v/>
      </c>
      <c r="M37" s="0">
        <f>IF(AND(K37&gt;=80, K37&lt;=100), "4", IF(AND(K37&gt;=70, K37&lt;=79.99999999999), "3", IF(AND(K37&gt;=60, K37&lt;=69.9999999999), "2", IF(AND(K37&gt;=51, K37&lt;=59.999999999), "1", IF(AND(K37&gt;=0, K37&lt;=50.999999999), "0",  "0"  )  )  )  )  ) </f>
        <v/>
      </c>
    </row>
    <row r="38">
      <c r="A38" s="0" t="inlineStr">
        <is>
          <t>24060123120009</t>
        </is>
      </c>
      <c r="B38" s="0" t="inlineStr">
        <is>
          <t>INDAH NURUL JANAH</t>
        </is>
      </c>
      <c r="C38" s="0" t="n">
        <v>6</v>
      </c>
      <c r="D38" s="0" t="inlineStr">
        <is>
          <t>BARU</t>
        </is>
      </c>
      <c r="E38" s="3" t="n"/>
      <c r="F38" s="3" t="n">
        <v>85.67</v>
      </c>
      <c r="G38" s="3" t="n"/>
      <c r="H38" s="3" t="n">
        <v>56.67</v>
      </c>
      <c r="I38" s="3" t="n"/>
      <c r="J38" s="3" t="n"/>
      <c r="K38" s="4">
        <f>ROUND( ((E38*10+F38*40+G38*5+H38*5+I38*20+J38*20) / 100), 2)</f>
        <v/>
      </c>
      <c r="L38" s="4">
        <f>IF(AND(K38&gt;=80, K38&lt;=100), "A", IF(AND(K38&gt;=70, K38&lt;=79.99999999999), "B", IF(AND(K38&gt;=60, K38&lt;=69.9999999999), "C", IF(AND(K38&gt;=51, K38&lt;=59.999999999), "D", IF(AND(K38&gt;=0, K38&lt;=50.999999999), "E",  "E"  )  )  )  )  ) </f>
        <v/>
      </c>
      <c r="M38" s="0">
        <f>IF(AND(K38&gt;=80, K38&lt;=100), "4", IF(AND(K38&gt;=70, K38&lt;=79.99999999999), "3", IF(AND(K38&gt;=60, K38&lt;=69.9999999999), "2", IF(AND(K38&gt;=51, K38&lt;=59.999999999), "1", IF(AND(K38&gt;=0, K38&lt;=50.999999999), "0",  "0"  )  )  )  )  ) </f>
        <v/>
      </c>
    </row>
    <row r="39">
      <c r="A39" s="0" t="inlineStr">
        <is>
          <t>24060123130081</t>
        </is>
      </c>
      <c r="B39" s="0" t="inlineStr">
        <is>
          <t>KEVIN ADI SANTOSO</t>
        </is>
      </c>
      <c r="C39" s="0" t="n">
        <v>6</v>
      </c>
      <c r="D39" s="0" t="inlineStr">
        <is>
          <t>BARU</t>
        </is>
      </c>
      <c r="E39" s="3" t="n"/>
      <c r="F39" s="3" t="n">
        <v>55.67</v>
      </c>
      <c r="G39" s="3" t="n"/>
      <c r="H39" s="3" t="n">
        <v>97.77</v>
      </c>
      <c r="I39" s="3" t="n"/>
      <c r="J39" s="3" t="n"/>
      <c r="K39" s="4">
        <f>ROUND( ((E39*10+F39*40+G39*5+H39*5+I39*20+J39*20) / 100), 2)</f>
        <v/>
      </c>
      <c r="L39" s="4">
        <f>IF(AND(K39&gt;=80, K39&lt;=100), "A", IF(AND(K39&gt;=70, K39&lt;=79.99999999999), "B", IF(AND(K39&gt;=60, K39&lt;=69.9999999999), "C", IF(AND(K39&gt;=51, K39&lt;=59.999999999), "D", IF(AND(K39&gt;=0, K39&lt;=50.999999999), "E",  "E"  )  )  )  )  ) </f>
        <v/>
      </c>
      <c r="M39" s="0">
        <f>IF(AND(K39&gt;=80, K39&lt;=100), "4", IF(AND(K39&gt;=70, K39&lt;=79.99999999999), "3", IF(AND(K39&gt;=60, K39&lt;=69.9999999999), "2", IF(AND(K39&gt;=51, K39&lt;=59.999999999), "1", IF(AND(K39&gt;=0, K39&lt;=50.999999999), "0",  "0"  )  )  )  )  ) </f>
        <v/>
      </c>
    </row>
    <row r="40">
      <c r="A40" s="0" t="inlineStr">
        <is>
          <t>24060123130101</t>
        </is>
      </c>
      <c r="B40" s="0" t="inlineStr">
        <is>
          <t>JIHAN SANIYYA PUDALIBA (&lt; 75%)</t>
        </is>
      </c>
      <c r="C40" s="0" t="n">
        <v>6</v>
      </c>
      <c r="D40" s="0" t="inlineStr">
        <is>
          <t>BARU</t>
        </is>
      </c>
      <c r="E40" s="3" t="n"/>
      <c r="F40" s="3" t="n">
        <v>-3.33</v>
      </c>
      <c r="G40" s="3" t="n"/>
      <c r="H40" s="3" t="n">
        <v>0</v>
      </c>
      <c r="I40" s="3" t="n"/>
      <c r="J40" s="4" t="n"/>
      <c r="K40" s="4">
        <f>ROUND( ((E40*10+F40*40+G40*5+H40*5+I40*20+J40*20) / 100), 2)</f>
        <v/>
      </c>
      <c r="L40" s="4">
        <f>IF(AND(K40&gt;=80, K40&lt;=100), "A", IF(AND(K40&gt;=70, K40&lt;=79.99999999999), "B", IF(AND(K40&gt;=60, K40&lt;=69.9999999999), "C", IF(AND(K40&gt;=51, K40&lt;=59.999999999), "D", IF(AND(K40&gt;=0, K40&lt;=50.999999999), "E",  "E"  )  )  )  )  ) </f>
        <v/>
      </c>
      <c r="M40" s="0">
        <f>IF(AND(K40&gt;=80, K40&lt;=100), "4", IF(AND(K40&gt;=70, K40&lt;=79.99999999999), "3", IF(AND(K40&gt;=60, K40&lt;=69.9999999999), "2", IF(AND(K40&gt;=51, K40&lt;=59.999999999), "1", IF(AND(K40&gt;=0, K40&lt;=50.999999999), "0",  "0"  )  )  )  )  ) </f>
        <v/>
      </c>
    </row>
    <row r="41">
      <c r="A41" s="0" t="inlineStr">
        <is>
          <t>24060123130110</t>
        </is>
      </c>
      <c r="B41" s="0" t="inlineStr">
        <is>
          <t>GUSTI AYU GENTA BHUANA PARAMITHA</t>
        </is>
      </c>
      <c r="C41" s="0" t="n">
        <v>6</v>
      </c>
      <c r="D41" s="0" t="inlineStr">
        <is>
          <t>BARU</t>
        </is>
      </c>
      <c r="E41" s="3" t="n"/>
      <c r="F41" s="3" t="n">
        <v>56.33</v>
      </c>
      <c r="G41" s="3" t="n"/>
      <c r="H41" s="3" t="n">
        <v>93.33</v>
      </c>
      <c r="I41" s="3" t="n"/>
      <c r="J41" s="3" t="n"/>
      <c r="K41" s="4">
        <f>ROUND( ((E41*10+F41*40+G41*5+H41*5+I41*20+J41*20) / 100), 2)</f>
        <v/>
      </c>
      <c r="L41" s="4">
        <f>IF(AND(K41&gt;=80, K41&lt;=100), "A", IF(AND(K41&gt;=70, K41&lt;=79.99999999999), "B", IF(AND(K41&gt;=60, K41&lt;=69.9999999999), "C", IF(AND(K41&gt;=51, K41&lt;=59.999999999), "D", IF(AND(K41&gt;=0, K41&lt;=50.999999999), "E",  "E"  )  )  )  )  ) </f>
        <v/>
      </c>
      <c r="M41" s="0">
        <f>IF(AND(K41&gt;=80, K41&lt;=100), "4", IF(AND(K41&gt;=70, K41&lt;=79.99999999999), "3", IF(AND(K41&gt;=60, K41&lt;=69.9999999999), "2", IF(AND(K41&gt;=51, K41&lt;=59.999999999), "1", IF(AND(K41&gt;=0, K41&lt;=50.999999999), "0",  "0"  )  )  )  )  ) </f>
        <v/>
      </c>
    </row>
    <row r="42">
      <c r="A42" s="0" t="inlineStr">
        <is>
          <t>24060123130112</t>
        </is>
      </c>
      <c r="B42" s="0" t="inlineStr">
        <is>
          <t>GIBRAN AHMAD MAULANA</t>
        </is>
      </c>
      <c r="C42" s="0" t="n">
        <v>6</v>
      </c>
      <c r="D42" s="0" t="inlineStr">
        <is>
          <t>BARU</t>
        </is>
      </c>
      <c r="E42" s="3" t="n"/>
      <c r="F42" s="3" t="n">
        <v>61.67</v>
      </c>
      <c r="G42" s="3" t="n"/>
      <c r="H42" s="3" t="n">
        <v>100</v>
      </c>
      <c r="I42" s="3" t="n"/>
      <c r="J42" s="3" t="n"/>
      <c r="K42" s="4">
        <f>ROUND( ((E42*10+F42*40+G42*5+H42*5+I42*20+J42*20) / 100), 2)</f>
        <v/>
      </c>
      <c r="L42" s="4">
        <f>IF(AND(K42&gt;=80, K42&lt;=100), "A", IF(AND(K42&gt;=70, K42&lt;=79.99999999999), "B", IF(AND(K42&gt;=60, K42&lt;=69.9999999999), "C", IF(AND(K42&gt;=51, K42&lt;=59.999999999), "D", IF(AND(K42&gt;=0, K42&lt;=50.999999999), "E",  "E"  )  )  )  )  ) </f>
        <v/>
      </c>
      <c r="M42" s="0">
        <f>IF(AND(K42&gt;=80, K42&lt;=100), "4", IF(AND(K42&gt;=70, K42&lt;=79.99999999999), "3", IF(AND(K42&gt;=60, K42&lt;=69.9999999999), "2", IF(AND(K42&gt;=51, K42&lt;=59.999999999), "1", IF(AND(K42&gt;=0, K42&lt;=50.999999999), "0",  "0"  )  )  )  )  ) </f>
        <v/>
      </c>
    </row>
    <row r="43">
      <c r="A43" s="0" t="inlineStr">
        <is>
          <t>24060123130114</t>
        </is>
      </c>
      <c r="B43" s="0" t="inlineStr">
        <is>
          <t>TSURAYA OLIVIA</t>
        </is>
      </c>
      <c r="C43" s="0" t="n">
        <v>6</v>
      </c>
      <c r="D43" s="0" t="inlineStr">
        <is>
          <t>BARU</t>
        </is>
      </c>
      <c r="E43" s="3" t="n"/>
      <c r="F43" s="3" t="n">
        <v>50.33</v>
      </c>
      <c r="G43" s="3" t="n"/>
      <c r="H43" s="3" t="n">
        <v>81.09999999999999</v>
      </c>
      <c r="I43" s="3" t="n"/>
      <c r="J43" s="3" t="n"/>
      <c r="K43" s="4">
        <f>ROUND( ((E43*10+F43*40+G43*5+H43*5+I43*20+J43*20) / 100), 2)</f>
        <v/>
      </c>
      <c r="L43" s="4">
        <f>IF(AND(K43&gt;=80, K43&lt;=100), "A", IF(AND(K43&gt;=70, K43&lt;=79.99999999999), "B", IF(AND(K43&gt;=60, K43&lt;=69.9999999999), "C", IF(AND(K43&gt;=51, K43&lt;=59.999999999), "D", IF(AND(K43&gt;=0, K43&lt;=50.999999999), "E",  "E"  )  )  )  )  ) </f>
        <v/>
      </c>
      <c r="M43" s="0">
        <f>IF(AND(K43&gt;=80, K43&lt;=100), "4", IF(AND(K43&gt;=70, K43&lt;=79.99999999999), "3", IF(AND(K43&gt;=60, K43&lt;=69.9999999999), "2", IF(AND(K43&gt;=51, K43&lt;=59.999999999), "1", IF(AND(K43&gt;=0, K43&lt;=50.999999999), "0",  "0"  )  )  )  )  ) </f>
        <v/>
      </c>
    </row>
    <row r="44">
      <c r="A44" s="0" t="inlineStr">
        <is>
          <t>24060123130117</t>
        </is>
      </c>
      <c r="B44" s="0" t="inlineStr">
        <is>
          <t>JULIUS TEGAR AJI PUTRA</t>
        </is>
      </c>
      <c r="C44" s="0" t="n">
        <v>6</v>
      </c>
      <c r="D44" s="0" t="inlineStr">
        <is>
          <t>BARU</t>
        </is>
      </c>
      <c r="E44" s="3" t="n"/>
      <c r="F44" s="3" t="n">
        <v>90</v>
      </c>
      <c r="G44" s="3" t="n"/>
      <c r="H44" s="3" t="n">
        <v>93.33</v>
      </c>
      <c r="I44" s="3" t="n"/>
      <c r="J44" s="3" t="n"/>
      <c r="K44" s="4">
        <f>ROUND( ((E44*10+F44*40+G44*5+H44*5+I44*20+J44*20) / 100), 2)</f>
        <v/>
      </c>
      <c r="L44" s="4">
        <f>IF(AND(K44&gt;=80, K44&lt;=100), "A", IF(AND(K44&gt;=70, K44&lt;=79.99999999999), "B", IF(AND(K44&gt;=60, K44&lt;=69.9999999999), "C", IF(AND(K44&gt;=51, K44&lt;=59.999999999), "D", IF(AND(K44&gt;=0, K44&lt;=50.999999999), "E",  "E"  )  )  )  )  ) </f>
        <v/>
      </c>
      <c r="M44" s="0">
        <f>IF(AND(K44&gt;=80, K44&lt;=100), "4", IF(AND(K44&gt;=70, K44&lt;=79.99999999999), "3", IF(AND(K44&gt;=60, K44&lt;=69.9999999999), "2", IF(AND(K44&gt;=51, K44&lt;=59.999999999), "1", IF(AND(K44&gt;=0, K44&lt;=50.999999999), "0",  "0"  )  )  )  )  ) </f>
        <v/>
      </c>
    </row>
    <row r="45">
      <c r="A45" s="0" t="inlineStr">
        <is>
          <t>24060123140150</t>
        </is>
      </c>
      <c r="B45" s="0" t="inlineStr">
        <is>
          <t>INDRA PURWANTO</t>
        </is>
      </c>
      <c r="C45" s="0" t="n">
        <v>6</v>
      </c>
      <c r="D45" s="0" t="inlineStr">
        <is>
          <t>BARU</t>
        </is>
      </c>
      <c r="E45" s="3" t="n"/>
      <c r="F45" s="3" t="n">
        <v>78</v>
      </c>
      <c r="G45" s="3" t="n"/>
      <c r="H45" s="3" t="n">
        <v>65.56999999999999</v>
      </c>
      <c r="I45" s="3" t="n"/>
      <c r="J45" s="3" t="n"/>
      <c r="K45" s="4">
        <f>ROUND( ((E45*10+F45*40+G45*5+H45*5+I45*20+J45*20) / 100), 2)</f>
        <v/>
      </c>
      <c r="L45" s="4">
        <f>IF(AND(K45&gt;=80, K45&lt;=100), "A", IF(AND(K45&gt;=70, K45&lt;=79.99999999999), "B", IF(AND(K45&gt;=60, K45&lt;=69.9999999999), "C", IF(AND(K45&gt;=51, K45&lt;=59.999999999), "D", IF(AND(K45&gt;=0, K45&lt;=50.999999999), "E",  "E"  )  )  )  )  ) </f>
        <v/>
      </c>
      <c r="M45" s="0">
        <f>IF(AND(K45&gt;=80, K45&lt;=100), "4", IF(AND(K45&gt;=70, K45&lt;=79.99999999999), "3", IF(AND(K45&gt;=60, K45&lt;=69.9999999999), "2", IF(AND(K45&gt;=51, K45&lt;=59.999999999), "1", IF(AND(K45&gt;=0, K45&lt;=50.999999999), "0",  "0"  )  )  )  )  ) </f>
        <v/>
      </c>
    </row>
    <row r="46">
      <c r="A46" s="0" t="inlineStr">
        <is>
          <t>24060123140151</t>
        </is>
      </c>
      <c r="B46" s="0" t="inlineStr">
        <is>
          <t>HAIDAR ALI LAUDZA</t>
        </is>
      </c>
      <c r="C46" s="0" t="n">
        <v>6</v>
      </c>
      <c r="D46" s="0" t="inlineStr">
        <is>
          <t>BARU</t>
        </is>
      </c>
      <c r="E46" s="3" t="n"/>
      <c r="F46" s="3" t="n">
        <v>84.33</v>
      </c>
      <c r="G46" s="3" t="n"/>
      <c r="H46" s="3" t="n">
        <v>88.87</v>
      </c>
      <c r="I46" s="3" t="n"/>
      <c r="J46" s="3" t="n"/>
      <c r="K46" s="4">
        <f>ROUND( ((E46*10+F46*40+G46*5+H46*5+I46*20+J46*20) / 100), 2)</f>
        <v/>
      </c>
      <c r="L46" s="4">
        <f>IF(AND(K46&gt;=80, K46&lt;=100), "A", IF(AND(K46&gt;=70, K46&lt;=79.99999999999), "B", IF(AND(K46&gt;=60, K46&lt;=69.9999999999), "C", IF(AND(K46&gt;=51, K46&lt;=59.999999999), "D", IF(AND(K46&gt;=0, K46&lt;=50.999999999), "E",  "E"  )  )  )  )  ) </f>
        <v/>
      </c>
      <c r="M46" s="0">
        <f>IF(AND(K46&gt;=80, K46&lt;=100), "4", IF(AND(K46&gt;=70, K46&lt;=79.99999999999), "3", IF(AND(K46&gt;=60, K46&lt;=69.9999999999), "2", IF(AND(K46&gt;=51, K46&lt;=59.999999999), "1", IF(AND(K46&gt;=0, K46&lt;=50.999999999), "0",  "0"  )  )  )  )  ) </f>
        <v/>
      </c>
    </row>
    <row r="47">
      <c r="A47" s="0" t="inlineStr">
        <is>
          <t>24060123140152</t>
        </is>
      </c>
      <c r="B47" s="0" t="inlineStr">
        <is>
          <t>KAYIS HILMI FARIH (&lt; 75%)</t>
        </is>
      </c>
      <c r="C47" s="0" t="n">
        <v>6</v>
      </c>
      <c r="D47" s="0" t="inlineStr">
        <is>
          <t>BARU</t>
        </is>
      </c>
      <c r="E47" s="3" t="n"/>
      <c r="F47" s="3" t="n">
        <v>28.67</v>
      </c>
      <c r="G47" s="3" t="n"/>
      <c r="H47" s="3" t="n">
        <v>0</v>
      </c>
      <c r="I47" s="3" t="n"/>
      <c r="J47" s="4" t="n"/>
      <c r="K47" s="4">
        <f>ROUND( ((E47*10+F47*40+G47*5+H47*5+I47*20+J47*20) / 100), 2)</f>
        <v/>
      </c>
      <c r="L47" s="4">
        <f>IF(AND(K47&gt;=80, K47&lt;=100), "A", IF(AND(K47&gt;=70, K47&lt;=79.99999999999), "B", IF(AND(K47&gt;=60, K47&lt;=69.9999999999), "C", IF(AND(K47&gt;=51, K47&lt;=59.999999999), "D", IF(AND(K47&gt;=0, K47&lt;=50.999999999), "E",  "E"  )  )  )  )  ) </f>
        <v/>
      </c>
      <c r="M47" s="0">
        <f>IF(AND(K47&gt;=80, K47&lt;=100), "4", IF(AND(K47&gt;=70, K47&lt;=79.99999999999), "3", IF(AND(K47&gt;=60, K47&lt;=69.9999999999), "2", IF(AND(K47&gt;=51, K47&lt;=59.999999999), "1", IF(AND(K47&gt;=0, K47&lt;=50.999999999), "0",  "0"  )  )  )  )  ) </f>
        <v/>
      </c>
    </row>
    <row r="48">
      <c r="A48" s="0" t="inlineStr">
        <is>
          <t>24060123140166</t>
        </is>
      </c>
      <c r="B48" s="0" t="inlineStr">
        <is>
          <t>KHAIRIYA FATIH IZZUDIN EMARIN</t>
        </is>
      </c>
      <c r="C48" s="0" t="n">
        <v>6</v>
      </c>
      <c r="D48" s="0" t="inlineStr">
        <is>
          <t>BARU</t>
        </is>
      </c>
      <c r="E48" s="3" t="n"/>
      <c r="F48" s="3" t="n">
        <v>83.33</v>
      </c>
      <c r="G48" s="3" t="n"/>
      <c r="H48" s="3" t="n">
        <v>46.67</v>
      </c>
      <c r="I48" s="3" t="n"/>
      <c r="J48" s="3" t="n"/>
      <c r="K48" s="4">
        <f>ROUND( ((E48*10+F48*40+G48*5+H48*5+I48*20+J48*20) / 100), 2)</f>
        <v/>
      </c>
      <c r="L48" s="4">
        <f>IF(AND(K48&gt;=80, K48&lt;=100), "A", IF(AND(K48&gt;=70, K48&lt;=79.99999999999), "B", IF(AND(K48&gt;=60, K48&lt;=69.9999999999), "C", IF(AND(K48&gt;=51, K48&lt;=59.999999999), "D", IF(AND(K48&gt;=0, K48&lt;=50.999999999), "E",  "E"  )  )  )  )  ) </f>
        <v/>
      </c>
      <c r="M48" s="0">
        <f>IF(AND(K48&gt;=80, K48&lt;=100), "4", IF(AND(K48&gt;=70, K48&lt;=79.99999999999), "3", IF(AND(K48&gt;=60, K48&lt;=69.9999999999), "2", IF(AND(K48&gt;=51, K48&lt;=59.999999999), "1", IF(AND(K48&gt;=0, K48&lt;=50.999999999), "0",  "0"  )  )  )  )  ) </f>
        <v/>
      </c>
    </row>
    <row r="49">
      <c r="A49" s="0" t="inlineStr">
        <is>
          <t>24060123140179</t>
        </is>
      </c>
      <c r="B49" s="0" t="inlineStr">
        <is>
          <t>KAILA TALITHA PUTRI</t>
        </is>
      </c>
      <c r="C49" s="0" t="n">
        <v>6</v>
      </c>
      <c r="D49" s="0" t="inlineStr">
        <is>
          <t>BARU</t>
        </is>
      </c>
      <c r="E49" s="3" t="n"/>
      <c r="F49" s="3" t="n">
        <v>59.33</v>
      </c>
      <c r="G49" s="3" t="n"/>
      <c r="H49" s="3" t="n">
        <v>98.90000000000001</v>
      </c>
      <c r="I49" s="3" t="n"/>
      <c r="J49" s="3" t="n"/>
      <c r="K49" s="4">
        <f>ROUND( ((E49*10+F49*40+G49*5+H49*5+I49*20+J49*20) / 100), 2)</f>
        <v/>
      </c>
      <c r="L49" s="4">
        <f>IF(AND(K49&gt;=80, K49&lt;=100), "A", IF(AND(K49&gt;=70, K49&lt;=79.99999999999), "B", IF(AND(K49&gt;=60, K49&lt;=69.9999999999), "C", IF(AND(K49&gt;=51, K49&lt;=59.999999999), "D", IF(AND(K49&gt;=0, K49&lt;=50.999999999), "E",  "E"  )  )  )  )  ) </f>
        <v/>
      </c>
      <c r="M49" s="0">
        <f>IF(AND(K49&gt;=80, K49&lt;=100), "4", IF(AND(K49&gt;=70, K49&lt;=79.99999999999), "3", IF(AND(K49&gt;=60, K49&lt;=69.9999999999), "2", IF(AND(K49&gt;=51, K49&lt;=59.999999999), "1", IF(AND(K49&gt;=0, K49&lt;=50.999999999), "0",  "0"  )  )  )  )  ) </f>
        <v/>
      </c>
    </row>
    <row r="50">
      <c r="A50" s="0" t="inlineStr">
        <is>
          <t>24060123140197</t>
        </is>
      </c>
      <c r="B50" s="0" t="inlineStr">
        <is>
          <t>HADYAN KHOLISH PRASETIO</t>
        </is>
      </c>
      <c r="C50" s="0" t="n">
        <v>6</v>
      </c>
      <c r="D50" s="0" t="inlineStr">
        <is>
          <t>BARU</t>
        </is>
      </c>
      <c r="E50" s="3" t="n"/>
      <c r="F50" s="3" t="n">
        <v>86</v>
      </c>
      <c r="G50" s="3" t="n"/>
      <c r="H50" s="3" t="n">
        <v>67.2</v>
      </c>
      <c r="I50" s="3" t="n"/>
      <c r="J50" s="3" t="n"/>
      <c r="K50" s="4">
        <f>ROUND( ((E50*10+F50*40+G50*5+H50*5+I50*20+J50*20) / 100), 2)</f>
        <v/>
      </c>
      <c r="L50" s="4">
        <f>IF(AND(K50&gt;=80, K50&lt;=100), "A", IF(AND(K50&gt;=70, K50&lt;=79.99999999999), "B", IF(AND(K50&gt;=60, K50&lt;=69.9999999999), "C", IF(AND(K50&gt;=51, K50&lt;=59.999999999), "D", IF(AND(K50&gt;=0, K50&lt;=50.999999999), "E",  "E"  )  )  )  )  ) </f>
        <v/>
      </c>
      <c r="M50" s="0">
        <f>IF(AND(K50&gt;=80, K50&lt;=100), "4", IF(AND(K50&gt;=70, K50&lt;=79.99999999999), "3", IF(AND(K50&gt;=60, K50&lt;=69.9999999999), "2", IF(AND(K50&gt;=51, K50&lt;=59.999999999), "1", IF(AND(K50&gt;=0, K50&lt;=50.999999999), "0",  "0"  )  )  )  )  ) </f>
        <v/>
      </c>
    </row>
    <row r="51">
      <c r="A51" s="0" t="inlineStr">
        <is>
          <t>24060123120023</t>
        </is>
      </c>
      <c r="B51" s="0" t="inlineStr">
        <is>
          <t>NADIA SYIFA KHAIRUNNISA</t>
        </is>
      </c>
      <c r="C51" s="0" t="n">
        <v>6</v>
      </c>
      <c r="D51" s="0" t="inlineStr">
        <is>
          <t>BARU</t>
        </is>
      </c>
      <c r="E51" s="3" t="n"/>
      <c r="F51" s="3" t="n">
        <v>55.67</v>
      </c>
      <c r="G51" s="3" t="n"/>
      <c r="H51" s="3" t="n">
        <v>75.53</v>
      </c>
      <c r="I51" s="3" t="n"/>
      <c r="J51" s="3" t="n"/>
      <c r="K51" s="4">
        <f>ROUND( ((E51*10+F51*40+G51*5+H51*5+I51*20+J51*20) / 100), 2)</f>
        <v/>
      </c>
      <c r="L51" s="4">
        <f>IF(AND(K51&gt;=80, K51&lt;=100), "A", IF(AND(K51&gt;=70, K51&lt;=79.99999999999), "B", IF(AND(K51&gt;=60, K51&lt;=69.9999999999), "C", IF(AND(K51&gt;=51, K51&lt;=59.999999999), "D", IF(AND(K51&gt;=0, K51&lt;=50.999999999), "E",  "E"  )  )  )  )  ) </f>
        <v/>
      </c>
      <c r="M51" s="0">
        <f>IF(AND(K51&gt;=80, K51&lt;=100), "4", IF(AND(K51&gt;=70, K51&lt;=79.99999999999), "3", IF(AND(K51&gt;=60, K51&lt;=69.9999999999), "2", IF(AND(K51&gt;=51, K51&lt;=59.999999999), "1", IF(AND(K51&gt;=0, K51&lt;=50.999999999), "0",  "0"  )  )  )  )  ) </f>
        <v/>
      </c>
    </row>
    <row r="52">
      <c r="A52" s="0" t="inlineStr">
        <is>
          <t>24060123130106</t>
        </is>
      </c>
      <c r="B52" s="0" t="inlineStr">
        <is>
          <t>MUHAMMAD YOGA AMINUDIN</t>
        </is>
      </c>
      <c r="C52" s="0" t="n">
        <v>6</v>
      </c>
      <c r="D52" s="0" t="inlineStr">
        <is>
          <t>BARU</t>
        </is>
      </c>
      <c r="E52" s="3" t="n"/>
      <c r="F52" s="3" t="n">
        <v>31.67</v>
      </c>
      <c r="G52" s="3" t="n"/>
      <c r="H52" s="3" t="n">
        <v>73.90000000000001</v>
      </c>
      <c r="I52" s="3" t="n"/>
      <c r="J52" s="3" t="n"/>
      <c r="K52" s="4">
        <f>ROUND( ((E52*10+F52*40+G52*5+H52*5+I52*20+J52*20) / 100), 2)</f>
        <v/>
      </c>
      <c r="L52" s="4">
        <f>IF(AND(K52&gt;=80, K52&lt;=100), "A", IF(AND(K52&gt;=70, K52&lt;=79.99999999999), "B", IF(AND(K52&gt;=60, K52&lt;=69.9999999999), "C", IF(AND(K52&gt;=51, K52&lt;=59.999999999), "D", IF(AND(K52&gt;=0, K52&lt;=50.999999999), "E",  "E"  )  )  )  )  ) </f>
        <v/>
      </c>
      <c r="M52" s="0">
        <f>IF(AND(K52&gt;=80, K52&lt;=100), "4", IF(AND(K52&gt;=70, K52&lt;=79.99999999999), "3", IF(AND(K52&gt;=60, K52&lt;=69.9999999999), "2", IF(AND(K52&gt;=51, K52&lt;=59.999999999), "1", IF(AND(K52&gt;=0, K52&lt;=50.999999999), "0",  "0"  )  )  )  )  ) </f>
        <v/>
      </c>
    </row>
    <row r="53">
      <c r="A53" s="0" t="inlineStr">
        <is>
          <t>24060123130107</t>
        </is>
      </c>
      <c r="B53" s="0" t="inlineStr">
        <is>
          <t>MUHAMMAD RENNO BAIHAQI</t>
        </is>
      </c>
      <c r="C53" s="0" t="n">
        <v>6</v>
      </c>
      <c r="D53" s="0" t="inlineStr">
        <is>
          <t>BARU</t>
        </is>
      </c>
      <c r="E53" s="3" t="n"/>
      <c r="F53" s="3" t="n">
        <v>21.67</v>
      </c>
      <c r="G53" s="3" t="n"/>
      <c r="H53" s="3" t="n">
        <v>65.53</v>
      </c>
      <c r="I53" s="3" t="n"/>
      <c r="J53" s="3" t="n"/>
      <c r="K53" s="4">
        <f>ROUND( ((E53*10+F53*40+G53*5+H53*5+I53*20+J53*20) / 100), 2)</f>
        <v/>
      </c>
      <c r="L53" s="4">
        <f>IF(AND(K53&gt;=80, K53&lt;=100), "A", IF(AND(K53&gt;=70, K53&lt;=79.99999999999), "B", IF(AND(K53&gt;=60, K53&lt;=69.9999999999), "C", IF(AND(K53&gt;=51, K53&lt;=59.999999999), "D", IF(AND(K53&gt;=0, K53&lt;=50.999999999), "E",  "E"  )  )  )  )  ) </f>
        <v/>
      </c>
      <c r="M53" s="0">
        <f>IF(AND(K53&gt;=80, K53&lt;=100), "4", IF(AND(K53&gt;=70, K53&lt;=79.99999999999), "3", IF(AND(K53&gt;=60, K53&lt;=69.9999999999), "2", IF(AND(K53&gt;=51, K53&lt;=59.999999999), "1", IF(AND(K53&gt;=0, K53&lt;=50.999999999), "0",  "0"  )  )  )  )  ) </f>
        <v/>
      </c>
    </row>
    <row r="54">
      <c r="A54" s="0" t="inlineStr">
        <is>
          <t>24060123120010</t>
        </is>
      </c>
      <c r="B54" s="0" t="inlineStr">
        <is>
          <t>SHOPIA MUDJAHIDAH</t>
        </is>
      </c>
      <c r="C54" s="0" t="n">
        <v>6</v>
      </c>
      <c r="D54" s="0" t="inlineStr">
        <is>
          <t>BARU</t>
        </is>
      </c>
      <c r="E54" s="3" t="n"/>
      <c r="F54" s="3" t="n">
        <v>84.67</v>
      </c>
      <c r="G54" s="3" t="n"/>
      <c r="H54" s="3" t="n">
        <v>76.67</v>
      </c>
      <c r="I54" s="3" t="n"/>
      <c r="J54" s="3" t="n"/>
      <c r="K54" s="4">
        <f>ROUND( ((E54*10+F54*40+G54*5+H54*5+I54*20+J54*20) / 100), 2)</f>
        <v/>
      </c>
      <c r="L54" s="4">
        <f>IF(AND(K54&gt;=80, K54&lt;=100), "A", IF(AND(K54&gt;=70, K54&lt;=79.99999999999), "B", IF(AND(K54&gt;=60, K54&lt;=69.9999999999), "C", IF(AND(K54&gt;=51, K54&lt;=59.999999999), "D", IF(AND(K54&gt;=0, K54&lt;=50.999999999), "E",  "E"  )  )  )  )  ) </f>
        <v/>
      </c>
      <c r="M54" s="0">
        <f>IF(AND(K54&gt;=80, K54&lt;=100), "4", IF(AND(K54&gt;=70, K54&lt;=79.99999999999), "3", IF(AND(K54&gt;=60, K54&lt;=69.9999999999), "2", IF(AND(K54&gt;=51, K54&lt;=59.999999999), "1", IF(AND(K54&gt;=0, K54&lt;=50.999999999), "0",  "0"  )  )  )  )  ) </f>
        <v/>
      </c>
    </row>
    <row r="55">
      <c r="A55" s="0" t="inlineStr">
        <is>
          <t>24060122140184</t>
        </is>
      </c>
      <c r="B55" s="0" t="inlineStr">
        <is>
          <t>RADEN RICO DWIANDA</t>
        </is>
      </c>
      <c r="C55" s="0" t="n">
        <v>8</v>
      </c>
      <c r="D55" s="0" t="inlineStr">
        <is>
          <t>BARU</t>
        </is>
      </c>
      <c r="E55" s="3" t="n"/>
      <c r="F55" s="3" t="n">
        <v>41.67</v>
      </c>
      <c r="G55" s="3" t="n"/>
      <c r="H55" s="3" t="n">
        <v>0</v>
      </c>
      <c r="I55" s="3" t="n"/>
      <c r="J55" s="3" t="n"/>
      <c r="K55" s="4">
        <f>ROUND( ((E55*10+F55*40+G55*5+H55*5+I55*20+J55*20) / 100), 2)</f>
        <v/>
      </c>
      <c r="L55" s="4">
        <f>IF(AND(K55&gt;=80, K55&lt;=100), "A", IF(AND(K55&gt;=70, K55&lt;=79.99999999999), "B", IF(AND(K55&gt;=60, K55&lt;=69.9999999999), "C", IF(AND(K55&gt;=51, K55&lt;=59.999999999), "D", IF(AND(K55&gt;=0, K55&lt;=50.999999999), "E",  "E"  )  )  )  )  ) </f>
        <v/>
      </c>
      <c r="M55" s="0">
        <f>IF(AND(K55&gt;=80, K55&lt;=100), "4", IF(AND(K55&gt;=70, K55&lt;=79.99999999999), "3", IF(AND(K55&gt;=60, K55&lt;=69.9999999999), "2", IF(AND(K55&gt;=51, K55&lt;=59.999999999), "1", IF(AND(K55&gt;=0, K55&lt;=50.999999999), "0",  "0"  )  )  )  )  ) 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SIAP UNDIP</dc:creator>
  <dc:title xmlns:dc="http://purl.org/dc/elements/1.1/">Office 2007 XLSX Test Document</dc:title>
  <dc:description xmlns:dc="http://purl.org/dc/elements/1.1/">Test document for Office 2007 XLSX, generated using PHP classes.</dc:description>
  <dc:subject xmlns:dc="http://purl.org/dc/elements/1.1/">Office 2007 XLSX Test Document</dc:subject>
  <dcterms:created xmlns:dcterms="http://purl.org/dc/terms/" xmlns:xsi="http://www.w3.org/2001/XMLSchema-instance" xsi:type="dcterms:W3CDTF">2026-06-15T07:16:27Z</dcterms:created>
  <dcterms:modified xmlns:dcterms="http://purl.org/dc/terms/" xmlns:xsi="http://www.w3.org/2001/XMLSchema-instance" xsi:type="dcterms:W3CDTF">2026-06-29T20:23:08Z</dcterms:modified>
  <cp:lastModifiedBy>SIAP UNDIP</cp:lastModifiedBy>
  <cp:category>Test result file</cp:category>
  <cp:keywords>office 2007 openxml php</cp:keywords>
</cp:coreProperties>
</file>