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book-undip/Documents/KULIAH/KAMPUS LAIN-LAIN/UTS dan UAS/Genap 2526/3_GTI_15/"/>
    </mc:Choice>
  </mc:AlternateContent>
  <xr:revisionPtr revIDLastSave="0" documentId="13_ncr:1_{1B974301-23F5-8F42-B4AB-C4694C62C7D0}" xr6:coauthVersionLast="47" xr6:coauthVersionMax="47" xr10:uidLastSave="{00000000-0000-0000-0000-000000000000}"/>
  <bookViews>
    <workbookView xWindow="0" yWindow="500" windowWidth="28800" windowHeight="16300" xr2:uid="{00000000-000D-0000-FFFF-FFFF00000000}"/>
  </bookViews>
  <sheets>
    <sheet name="Wo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1" l="1"/>
  <c r="M10" i="1" s="1"/>
  <c r="K9" i="1"/>
  <c r="M9" i="1" s="1"/>
  <c r="K8" i="1"/>
  <c r="M8" i="1" s="1"/>
  <c r="L8" i="1" l="1"/>
  <c r="L10" i="1"/>
  <c r="L9" i="1"/>
</calcChain>
</file>

<file path=xl/sharedStrings.xml><?xml version="1.0" encoding="utf-8"?>
<sst xmlns="http://schemas.openxmlformats.org/spreadsheetml/2006/main" count="33" uniqueCount="31">
  <si>
    <t>Mata Kuliah</t>
  </si>
  <si>
    <t>: PAIK6404 - Grafika dan Komputasi Visual</t>
  </si>
  <si>
    <t>Tahun Ajaran</t>
  </si>
  <si>
    <t>: 2025</t>
  </si>
  <si>
    <t>NDk5MjQ0</t>
  </si>
  <si>
    <t>Semester</t>
  </si>
  <si>
    <t>: Genap</t>
  </si>
  <si>
    <t>Kelas</t>
  </si>
  <si>
    <t>: A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</si>
  <si>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</si>
  <si>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</si>
  <si>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</si>
  <si>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</si>
  <si>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</si>
  <si>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</si>
  <si>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</si>
  <si>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(5%)</t>
  </si>
  <si>
    <t>Nilai Quiz (0,00-100,00) (5%)</t>
  </si>
  <si>
    <t>Nilai UTS (0,00-100,00) (20%)</t>
  </si>
  <si>
    <t>Nilai UAS (0,00-100) (20%)</t>
  </si>
  <si>
    <t>Nilai Akhir Angka (0,00-100,00)</t>
  </si>
  <si>
    <t>Nilai Akhir Huruf (A/B/C/D/E)</t>
  </si>
  <si>
    <t>Nilai Bobot (0-4)</t>
  </si>
  <si>
    <t>24060123130099</t>
  </si>
  <si>
    <t>ABYASA SAIFAJI</t>
  </si>
  <si>
    <t>ULANG</t>
  </si>
  <si>
    <t>24060122140126</t>
  </si>
  <si>
    <t>RADITYA ARYA WICAKSANA</t>
  </si>
  <si>
    <t>PERBAIKAN</t>
  </si>
  <si>
    <t>24060121140176</t>
  </si>
  <si>
    <t>FERNANDA GALIH SAPUTRA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</si>
</sst>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sz val="11"/>
      <color rgb="FFFFFFFF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tabSelected="1" topLeftCell="E1" workbookViewId="0">
      <selection activeCell="I8" sqref="I8:I10"/>
    </sheetView>
  </sheetViews>
  <sheetFormatPr baseColWidth="10" defaultColWidth="8.83203125" defaultRowHeight="15" x14ac:dyDescent="0.2"/>
  <cols>
    <col min="1" max="1" width="17.5" bestFit="1" customWidth="1"/>
    <col min="2" max="2" width="49.33203125" bestFit="1" customWidth="1"/>
    <col min="3" max="3" width="10.5" bestFit="1" customWidth="1"/>
    <col min="4" max="4" width="11.6640625" bestFit="1" customWidth="1"/>
    <col min="5" max="5" width="57.6640625" bestFit="1" customWidth="1"/>
    <col min="6" max="6" width="45.83203125" bestFit="1" customWidth="1"/>
    <col min="7" max="7" width="36.5" bestFit="1" customWidth="1"/>
    <col min="8" max="9" width="35.33203125" bestFit="1" customWidth="1"/>
    <col min="10" max="10" width="31.6640625" bestFit="1" customWidth="1"/>
    <col min="11" max="11" width="37.6640625" bestFit="1" customWidth="1"/>
    <col min="12" max="12" width="35.33203125" bestFit="1" customWidth="1"/>
    <col min="13" max="13" width="21.1640625" bestFit="1" customWidth="1"/>
  </cols>
  <sheetData>
    <row r="1" spans="1:13" x14ac:dyDescent="0.2">
      <c r="A1" t="s">
        <v>0</v>
      </c>
      <c r="B1" t="s">
        <v>1</v>
      </c>
    </row>
    <row r="2" spans="1:13" x14ac:dyDescent="0.2">
      <c r="A2" t="s">
        <v>2</v>
      </c>
      <c r="B2" t="s">
        <v>3</v>
      </c>
      <c r="I2" s="1" t="s">
        <v>4</v>
      </c>
    </row>
    <row r="3" spans="1:13" x14ac:dyDescent="0.2">
      <c r="A3" t="s">
        <v>5</v>
      </c>
      <c r="B3" t="s">
        <v>6</v>
      </c>
    </row>
    <row r="4" spans="1:13" x14ac:dyDescent="0.2">
      <c r="A4" t="s">
        <v>7</v>
      </c>
      <c r="B4" t="s">
        <v>8</v>
      </c>
    </row>
    <row r="5" spans="1:13" x14ac:dyDescent="0.2">
      <c r="A5" t="s">
        <v>9</v>
      </c>
      <c r="B5" t="s">
        <v>10</v>
      </c>
    </row>
    <row r="7" spans="1:13" x14ac:dyDescent="0.2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</row>
    <row r="8" spans="1:13" x14ac:dyDescent="0.2">
      <c r="A8" t="s">
        <v>23</v>
      </c>
      <c r="B8" t="s">
        <v>24</v>
      </c>
      <c r="C8">
        <v>6</v>
      </c>
      <c r="D8" t="s">
        <v>25</v>
      </c>
      <c r="E8" s="3"/>
      <c r="F8" s="3"/>
      <c r="G8" s="3"/>
      <c r="H8" s="3"/>
      <c r="I8" s="3">
        <v>18</v>
      </c>
      <c r="J8" s="3"/>
      <c r="K8" s="2">
        <f>ROUND( ((E8*10+F8*40+G8*5+H8*5+I8*20+J8*20) / 100), 2)</f>
        <v>3.6</v>
      </c>
      <c r="L8" s="2" t="str">
        <f>IF(AND(K8&gt;=80, K8&lt;=100), "A", IF(AND(K8&gt;=70, K8&lt;=79.99999999999), "B", IF(AND(K8&gt;=60, K8&lt;=69.9999999999), "C", IF(AND(K8&gt;=51, K8&lt;=59.999999999), "D", IF(AND(K8&gt;=0, K8&lt;=50.999999999), "E",  "E"  )  )  )  )  )</f>
        <v>E</v>
      </c>
      <c r="M8" t="str">
        <f>IF(AND(K8&gt;=80, K8&lt;=100), "4", IF(AND(K8&gt;=70, K8&lt;=79.99999999999), "3", IF(AND(K8&gt;=60, K8&lt;=69.9999999999), "2", IF(AND(K8&gt;=51, K8&lt;=59.999999999), "1", IF(AND(K8&gt;=0, K8&lt;=50.999999999), "0",  "0"  )  )  )  )  )</f>
        <v>0</v>
      </c>
    </row>
    <row r="9" spans="1:13" x14ac:dyDescent="0.2">
      <c r="A9" t="s">
        <v>26</v>
      </c>
      <c r="B9" t="s">
        <v>27</v>
      </c>
      <c r="C9">
        <v>8</v>
      </c>
      <c r="D9" t="s">
        <v>28</v>
      </c>
      <c r="E9" s="3"/>
      <c r="F9" s="3"/>
      <c r="G9" s="3"/>
      <c r="H9" s="3"/>
      <c r="I9" s="3">
        <v>0</v>
      </c>
      <c r="J9" s="3"/>
      <c r="K9" s="2">
        <f>ROUND( ((E9*10+F9*40+G9*5+H9*5+I9*20+J9*20) / 100), 2)</f>
        <v>0</v>
      </c>
      <c r="L9" s="2" t="str">
        <f>IF(AND(K9&gt;=80, K9&lt;=100), "A", IF(AND(K9&gt;=70, K9&lt;=79.99999999999), "B", IF(AND(K9&gt;=60, K9&lt;=69.9999999999), "C", IF(AND(K9&gt;=51, K9&lt;=59.999999999), "D", IF(AND(K9&gt;=0, K9&lt;=50.999999999), "E",  "E"  )  )  )  )  )</f>
        <v>E</v>
      </c>
      <c r="M9" t="str">
        <f>IF(AND(K9&gt;=80, K9&lt;=100), "4", IF(AND(K9&gt;=70, K9&lt;=79.99999999999), "3", IF(AND(K9&gt;=60, K9&lt;=69.9999999999), "2", IF(AND(K9&gt;=51, K9&lt;=59.999999999), "1", IF(AND(K9&gt;=0, K9&lt;=50.999999999), "0",  "0"  )  )  )  )  )</f>
        <v>0</v>
      </c>
    </row>
    <row r="10" spans="1:13" x14ac:dyDescent="0.2">
      <c r="A10" t="s">
        <v>29</v>
      </c>
      <c r="B10" t="s">
        <v>30</v>
      </c>
      <c r="C10">
        <v>10</v>
      </c>
      <c r="D10" t="s">
        <v>25</v>
      </c>
      <c r="E10" s="3"/>
      <c r="F10" s="3"/>
      <c r="G10" s="3"/>
      <c r="H10" s="3"/>
      <c r="I10" s="3">
        <v>0</v>
      </c>
      <c r="J10" s="3"/>
      <c r="K10" s="2">
        <f>ROUND( ((E10*10+F10*40+G10*5+H10*5+I10*20+J10*20) / 100), 2)</f>
        <v>0</v>
      </c>
      <c r="L10" s="2" t="str">
        <f>IF(AND(K10&gt;=80, K10&lt;=100), "A", IF(AND(K10&gt;=70, K10&lt;=79.99999999999), "B", IF(AND(K10&gt;=60, K10&lt;=69.9999999999), "C", IF(AND(K10&gt;=51, K10&lt;=59.999999999), "D", IF(AND(K10&gt;=0, K10&lt;=50.999999999), "E",  "E"  )  )  )  )  )</f>
        <v>E</v>
      </c>
      <c r="M10" t="str">
        <f>IF(AND(K10&gt;=80, K10&lt;=100), "4", IF(AND(K10&gt;=70, K10&lt;=79.99999999999), "3", IF(AND(K10&gt;=60, K10&lt;=69.9999999999), "2", IF(AND(K10&gt;=51, K10&lt;=59.999999999), "1", IF(AND(K10&gt;=0, K10&lt;=50.999999999), "0",  "0"  )  )  )  )  )</f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SIAP UNDIP</dc:creator>
  <cp:keywords>office 2007 openxml php</cp:keywords>
  <dc:description>Test document for Office 2007 XLSX, generated using PHP classes.</dc:description>
  <cp:lastModifiedBy>Satriawan Rasyid Purnama</cp:lastModifiedBy>
  <dcterms:created xsi:type="dcterms:W3CDTF">2026-06-15T00:27:53Z</dcterms:created>
  <dcterms:modified xsi:type="dcterms:W3CDTF">2026-06-29T16:14:04Z</dcterms:modified>
  <cp:category>Test result file</cp:category>
</cp:coreProperties>
</file>