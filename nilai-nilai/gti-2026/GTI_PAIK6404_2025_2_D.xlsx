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Work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family val="2"/>
      <color rgb="FFFFFFFF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2" fontId="2" fillId="2" borderId="0" applyAlignment="1" applyProtection="1" pivotButton="0" quotePrefix="0" xfId="0">
      <alignment horizontal="center" vertical="center"/>
      <protection locked="0" hidden="0"/>
    </xf>
    <xf numFmtId="2" fontId="2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topLeftCell="E1" workbookViewId="0">
      <selection activeCell="I9" sqref="I9"/>
    </sheetView>
  </sheetViews>
  <sheetFormatPr baseColWidth="10" defaultColWidth="8.83203125" defaultRowHeight="15"/>
  <cols>
    <col width="17.5" bestFit="1" customWidth="1" min="1" max="1"/>
    <col width="49.33203125" bestFit="1" customWidth="1" min="2" max="2"/>
    <col width="10.5" bestFit="1" customWidth="1" min="3" max="3"/>
    <col width="8.1640625" bestFit="1" customWidth="1" min="4" max="4"/>
    <col width="57.6640625" bestFit="1" customWidth="1" min="5" max="5"/>
    <col width="45.83203125" bestFit="1" customWidth="1" min="6" max="6"/>
    <col width="36.5" bestFit="1" customWidth="1" min="7" max="7"/>
    <col width="35.33203125" bestFit="1" customWidth="1" min="8" max="9"/>
    <col width="31.6640625" bestFit="1" customWidth="1" min="10" max="10"/>
    <col width="37.6640625" bestFit="1" customWidth="1" min="11" max="11"/>
    <col width="35.33203125" bestFit="1" customWidth="1" min="12" max="12"/>
    <col width="21.1640625" bestFit="1" customWidth="1" min="13" max="13"/>
  </cols>
  <sheetData>
    <row r="1">
      <c r="A1" t="inlineStr">
        <is>
          <t>Mata Kuliah</t>
        </is>
      </c>
      <c r="B1" t="inlineStr">
        <is>
          <t>: PAIK6404 - Grafika dan Komputasi Visual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NDk5MjQ3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D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(5%)</t>
        </is>
      </c>
      <c r="H7" t="inlineStr">
        <is>
          <t>Nilai Quiz (0,00-100,00) (5%)</t>
        </is>
      </c>
      <c r="I7" t="inlineStr">
        <is>
          <t>Nilai UTS (0,00-100,00) (20%)</t>
        </is>
      </c>
      <c r="J7" t="inlineStr">
        <is>
          <t>Nilai UAS (0,00-100) (20%)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</row>
    <row r="8">
      <c r="A8" t="inlineStr">
        <is>
          <t>24060123140215</t>
        </is>
      </c>
      <c r="B8" t="inlineStr">
        <is>
          <t>NEVLYN ABBEL FIKRI ARDHO (&lt; 75%)</t>
        </is>
      </c>
      <c r="C8" t="n">
        <v>6</v>
      </c>
      <c r="D8" t="inlineStr">
        <is>
          <t>ULANG</t>
        </is>
      </c>
      <c r="E8" s="3" t="n"/>
      <c r="F8" s="3" t="n"/>
      <c r="G8" s="4" t="n">
        <v>85</v>
      </c>
      <c r="H8" s="3" t="n"/>
      <c r="I8" s="3" t="n">
        <v>0</v>
      </c>
      <c r="J8" s="2" t="n"/>
      <c r="K8" s="2">
        <f>ROUND( ((E8*10+F8*40+G8*5+H8*5+I8*20+J8*20) / 100), 2)</f>
        <v/>
      </c>
      <c r="L8" s="2">
        <f>IF(AND(K8&gt;=80, K8&lt;=100), "A", IF(AND(K8&gt;=70, K8&lt;=79.99999999999), "B", IF(AND(K8&gt;=60, K8&lt;=69.9999999999), "C", IF(AND(K8&gt;=51, K8&lt;=59.999999999), "D", IF(AND(K8&gt;=0, K8&lt;=50.999999999), "E",  "E"  )  )  )  )  )</f>
        <v/>
      </c>
      <c r="M8">
        <f>IF(AND(K8&gt;=80, K8&lt;=100), "4", IF(AND(K8&gt;=70, K8&lt;=79.99999999999), "3", IF(AND(K8&gt;=60, K8&lt;=69.9999999999), "2", IF(AND(K8&gt;=51, K8&lt;=59.999999999), "1", IF(AND(K8&gt;=0, K8&lt;=50.999999999), "0",  "0"  )  )  )  )  )</f>
        <v/>
      </c>
    </row>
    <row r="9">
      <c r="A9" t="inlineStr">
        <is>
          <t>24060123120026</t>
        </is>
      </c>
      <c r="B9" t="inlineStr">
        <is>
          <t>JOHAN MIRACLE SIMANJUNTAK</t>
        </is>
      </c>
      <c r="C9" t="n">
        <v>6</v>
      </c>
      <c r="D9" t="inlineStr">
        <is>
          <t>BARU</t>
        </is>
      </c>
      <c r="E9" s="3" t="n"/>
      <c r="F9" s="3" t="n"/>
      <c r="G9" s="5" t="n">
        <v>60</v>
      </c>
      <c r="H9" s="3" t="n"/>
      <c r="I9" s="3" t="n">
        <v>18</v>
      </c>
      <c r="J9" s="3" t="n"/>
      <c r="K9" s="2">
        <f>ROUND( ((E9*10+F9*40+G9*5+H9*5+I9*20+J9*20) / 100), 2)</f>
        <v/>
      </c>
      <c r="L9" s="2">
        <f>IF(AND(K9&gt;=80, K9&lt;=100), "A", IF(AND(K9&gt;=70, K9&lt;=79.99999999999), "B", IF(AND(K9&gt;=60, K9&lt;=69.9999999999), "C", IF(AND(K9&gt;=51, K9&lt;=59.999999999), "D", IF(AND(K9&gt;=0, K9&lt;=50.999999999), "E",  "E"  )  )  )  )  )</f>
        <v/>
      </c>
      <c r="M9">
        <f>IF(AND(K9&gt;=80, K9&lt;=100), "4", IF(AND(K9&gt;=70, K9&lt;=79.99999999999), "3", IF(AND(K9&gt;=60, K9&lt;=69.9999999999), "2", IF(AND(K9&gt;=51, K9&lt;=59.999999999), "1", IF(AND(K9&gt;=0, K9&lt;=50.999999999), "0",  "0"  )  )  )  )  )</f>
        <v/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2026-06-15T00:28:08Z</dcterms:created>
  <dcterms:modified xsi:type="dcterms:W3CDTF">2026-06-29T18:01:32Z</dcterms:modified>
  <cp:lastModifiedBy>Satriawan Rasyid Purnama</cp:lastModifiedBy>
  <cp:category>Test result file</cp:category>
  <cp:keywords>office 2007 openxml php</cp:keywords>
</cp:coreProperties>
</file>