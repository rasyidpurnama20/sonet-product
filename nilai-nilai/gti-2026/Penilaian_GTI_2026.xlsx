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K" sheetId="1" state="visible" r:id="rId1"/>
    <sheet name="GTI A" sheetId="2" state="visible" r:id="rId2"/>
    <sheet name="GTI B" sheetId="3" state="visible" r:id="rId3"/>
    <sheet name="GTI C" sheetId="4" state="visible" r:id="rId4"/>
    <sheet name="GTI D" sheetId="5" state="visible" r:id="rId5"/>
    <sheet name="GTI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833C00"/>
      <sz val="9"/>
    </font>
    <font>
      <name val="Calibri"/>
      <b val="1"/>
      <color rgb="FFFFFFFF"/>
      <sz val="12"/>
    </font>
    <font>
      <name val="Calibri"/>
      <b val="1"/>
      <color rgb="FFFFFFFF"/>
      <sz val="9"/>
    </font>
    <font>
      <name val="Calibri"/>
      <color rgb="FF1F3864"/>
      <sz val="8"/>
    </font>
    <font>
      <name val="Calibri"/>
      <color rgb="FF000000"/>
      <sz val="10"/>
    </font>
    <font>
      <name val="Calibri"/>
      <sz val="10"/>
    </font>
    <font>
      <name val="Calibri"/>
      <b val="1"/>
      <color rgb="FF000000"/>
      <sz val="10"/>
    </font>
    <font>
      <name val="Calibri"/>
      <color rgb="FF0563C1"/>
      <sz val="10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EF4FB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.be/Im8KWkQt2oA" TargetMode="External" Id="rId1" /><Relationship Type="http://schemas.openxmlformats.org/officeDocument/2006/relationships/hyperlink" Target="https://youtu.be/_jsEwoba0yQ" TargetMode="External" Id="rId2" /><Relationship Type="http://schemas.openxmlformats.org/officeDocument/2006/relationships/hyperlink" Target="https://youtu.be/snYwaR38XQ4" TargetMode="External" Id="rId3" /><Relationship Type="http://schemas.openxmlformats.org/officeDocument/2006/relationships/hyperlink" Target="https://youtu.be/Z59d6nk4PAs" TargetMode="External" Id="rId4" /><Relationship Type="http://schemas.openxmlformats.org/officeDocument/2006/relationships/hyperlink" Target="https://youtu.be/oQcXjDnyGJU" TargetMode="External" Id="rId5" /><Relationship Type="http://schemas.openxmlformats.org/officeDocument/2006/relationships/hyperlink" Target="https://youtu.be/f-mvyIQzta4" TargetMode="External" Id="rId6" /><Relationship Type="http://schemas.openxmlformats.org/officeDocument/2006/relationships/hyperlink" Target="https://youtu.be/donL48coYQE" TargetMode="External" Id="rId7" /><Relationship Type="http://schemas.openxmlformats.org/officeDocument/2006/relationships/hyperlink" Target="https://youtu.be/NOa6aFGw6cs" TargetMode="External" Id="rId8" /><Relationship Type="http://schemas.openxmlformats.org/officeDocument/2006/relationships/hyperlink" Target="https://youtu.be/PEcKOSPsxIc" TargetMode="External" Id="rId9" /><Relationship Type="http://schemas.openxmlformats.org/officeDocument/2006/relationships/hyperlink" Target="https://youtu.be/FltKiLTQOOE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youtu.be/8CHXPfwOpLE" TargetMode="External" Id="rId1" /><Relationship Type="http://schemas.openxmlformats.org/officeDocument/2006/relationships/hyperlink" Target="https://youtu.be/ke7Sop09qNc" TargetMode="External" Id="rId2" /><Relationship Type="http://schemas.openxmlformats.org/officeDocument/2006/relationships/hyperlink" Target="https://youtu.be/kPP7qwyveFU" TargetMode="External" Id="rId3" /><Relationship Type="http://schemas.openxmlformats.org/officeDocument/2006/relationships/hyperlink" Target="https://youtu.be/w0AvKSJOdfg" TargetMode="External" Id="rId4" /><Relationship Type="http://schemas.openxmlformats.org/officeDocument/2006/relationships/hyperlink" Target="https://youtu.be/X7-EdNZdfr8" TargetMode="External" Id="rId5" /><Relationship Type="http://schemas.openxmlformats.org/officeDocument/2006/relationships/hyperlink" Target="https://youtu.be/OxwGDezCivo" TargetMode="External" Id="rId6" /><Relationship Type="http://schemas.openxmlformats.org/officeDocument/2006/relationships/hyperlink" Target="https://youtu.be/rWW6hoEYtHc" TargetMode="External" Id="rId7" /><Relationship Type="http://schemas.openxmlformats.org/officeDocument/2006/relationships/hyperlink" Target="https://youtu.be/EqYGuwdQ4b8" TargetMode="External" Id="rId8" /><Relationship Type="http://schemas.openxmlformats.org/officeDocument/2006/relationships/hyperlink" Target="https://youtu.be/rOyCfo1IjeY" TargetMode="External" Id="rId9" /><Relationship Type="http://schemas.openxmlformats.org/officeDocument/2006/relationships/hyperlink" Target="https://youtu.be/VV_jRwETrEY" TargetMode="External" Id="rId10" /><Relationship Type="http://schemas.openxmlformats.org/officeDocument/2006/relationships/hyperlink" Target="https://youtu.be/Q-S8BUXXiSE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s://youtu.be/3wSXNM-3HzA" TargetMode="External" Id="rId1" /><Relationship Type="http://schemas.openxmlformats.org/officeDocument/2006/relationships/hyperlink" Target="https://youtu.be/dBWuYekfPr0" TargetMode="External" Id="rId2" /><Relationship Type="http://schemas.openxmlformats.org/officeDocument/2006/relationships/hyperlink" Target="https://youtu.be/_HqhHM9IX80" TargetMode="External" Id="rId3" /><Relationship Type="http://schemas.openxmlformats.org/officeDocument/2006/relationships/hyperlink" Target="https://youtu.be/KcBhLfcCoas" TargetMode="External" Id="rId4" /><Relationship Type="http://schemas.openxmlformats.org/officeDocument/2006/relationships/hyperlink" Target="https://youtu.be/HQRgEdBYV2k" TargetMode="External" Id="rId5" /><Relationship Type="http://schemas.openxmlformats.org/officeDocument/2006/relationships/hyperlink" Target="https://youtu.be/OrlicuJV3tQ" TargetMode="External" Id="rId6" /><Relationship Type="http://schemas.openxmlformats.org/officeDocument/2006/relationships/hyperlink" Target="https://youtu.be/ewmR8Pro5bg" TargetMode="External" Id="rId7" /><Relationship Type="http://schemas.openxmlformats.org/officeDocument/2006/relationships/hyperlink" Target="https://youtu.be/IpFz4pn92Ow" TargetMode="External" Id="rId8" /><Relationship Type="http://schemas.openxmlformats.org/officeDocument/2006/relationships/hyperlink" Target="https://youtu.be/rEJk762uNYw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youtu.be/u5T9oImjFh8" TargetMode="External" Id="rId1" /><Relationship Type="http://schemas.openxmlformats.org/officeDocument/2006/relationships/hyperlink" Target="https://youtu.be/9r7-SSIk6kQ" TargetMode="External" Id="rId2" /><Relationship Type="http://schemas.openxmlformats.org/officeDocument/2006/relationships/hyperlink" Target="https://youtu.be/zBAv8qhIzN4" TargetMode="External" Id="rId3" /><Relationship Type="http://schemas.openxmlformats.org/officeDocument/2006/relationships/hyperlink" Target="https://youtu.be/3ojOKIl4RUs" TargetMode="External" Id="rId4" /><Relationship Type="http://schemas.openxmlformats.org/officeDocument/2006/relationships/hyperlink" Target="https://youtu.be/18sq-LZdQtc" TargetMode="External" Id="rId5" /><Relationship Type="http://schemas.openxmlformats.org/officeDocument/2006/relationships/hyperlink" Target="https://youtu.be/EYOkbbIlPjc" TargetMode="External" Id="rId6" /><Relationship Type="http://schemas.openxmlformats.org/officeDocument/2006/relationships/hyperlink" Target="https://youtu.be/LGzCdTaglz0" TargetMode="External" Id="rId7" /><Relationship Type="http://schemas.openxmlformats.org/officeDocument/2006/relationships/hyperlink" Target="https://youtu.be/kUmYg1qulW4" TargetMode="External" Id="rId8" /><Relationship Type="http://schemas.openxmlformats.org/officeDocument/2006/relationships/hyperlink" Target="https://youtu.be/6FlXx3K7jj8" TargetMode="External" Id="rId9" /><Relationship Type="http://schemas.openxmlformats.org/officeDocument/2006/relationships/hyperlink" Target="https://youtu.be/5uoeRSHvfQI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youtu.be/uxiIlfewLVs" TargetMode="External" Id="rId1" /><Relationship Type="http://schemas.openxmlformats.org/officeDocument/2006/relationships/hyperlink" Target="https://youtu.be/8rbqDYMV0Bo" TargetMode="External" Id="rId2" /><Relationship Type="http://schemas.openxmlformats.org/officeDocument/2006/relationships/hyperlink" Target="https://youtu.be/IVyrxIBSRz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15" customWidth="1" min="4" max="4"/>
    <col width="55" customWidth="1" min="5" max="5"/>
  </cols>
  <sheetData>
    <row r="1">
      <c r="A1" s="1" t="inlineStr">
        <is>
          <t>RUBRIK PENILAIAN TUGAS BESAR — GRAFIKA &amp; TEKNOLOGI INFORMASI (GTI) 2026</t>
        </is>
      </c>
    </row>
    <row r="2">
      <c r="A2" s="2" t="inlineStr">
        <is>
          <t>Tugas: Video Behind The Scenes (BTS) — Maks 5 Menit — Upload YouTube</t>
        </is>
      </c>
    </row>
    <row r="3" ht="18" customHeight="1">
      <c r="A3" s="3" t="inlineStr">
        <is>
          <t>Kode</t>
        </is>
      </c>
      <c r="B3" s="3" t="inlineStr">
        <is>
          <t>Komponen</t>
        </is>
      </c>
      <c r="C3" s="3" t="inlineStr">
        <is>
          <t>Indikator / Deskripsi</t>
        </is>
      </c>
      <c r="D3" s="3" t="inlineStr">
        <is>
          <t>Bobot (Max)</t>
        </is>
      </c>
      <c r="E3" s="3" t="inlineStr">
        <is>
          <t>Kriteria Penilaian Detail</t>
        </is>
      </c>
    </row>
    <row r="4" ht="70" customHeight="1">
      <c r="A4" s="4" t="inlineStr">
        <is>
          <t>A</t>
        </is>
      </c>
      <c r="B4" s="5" t="inlineStr">
        <is>
          <t>Kualitas Video BTS</t>
        </is>
      </c>
      <c r="C4" s="5" t="inlineStr">
        <is>
          <t>Durasi ≤5 menit, judul format [Nama Projek] BTS ([Nama Panggilan Ketua]), deskripsi berisi nama+NIM semua anggota &amp; cerita singkat, kualitas visual &amp; audio baik</t>
        </is>
      </c>
      <c r="D4" s="6" t="n">
        <v>20</v>
      </c>
      <c r="E4" s="5" t="inlineStr">
        <is>
          <t>18–20: Semua terpenuhi dengan sangat baik
14–17: Sebagian besar terpenuhi, minor kekurangan
10–13: Beberapa komponen kurang
&lt;10: Banyak komponen tidak terpenuhi</t>
        </is>
      </c>
    </row>
    <row r="5" ht="70" customHeight="1">
      <c r="A5" s="7" t="inlineStr">
        <is>
          <t>B</t>
        </is>
      </c>
      <c r="B5" s="8" t="inlineStr">
        <is>
          <t>Representasi Objek 3D</t>
        </is>
      </c>
      <c r="C5" s="8" t="inlineStr">
        <is>
          <t>Teknik representasi objek 3D diterapkan dengan benar (mesh, vertex, edge, face, polygon)</t>
        </is>
      </c>
      <c r="D5" s="6" t="n">
        <v>10</v>
      </c>
      <c r="E5" s="8" t="inlineStr">
        <is>
          <t>9–10: Representasi 3D lengkap &amp; jelas ditunjukkan
7–8: Representasi 3D ditunjukkan, sedikit kurang detail
4–6: Ditunjukkan tapi tidak dijelaskan
1–3: Tidak diterapkan / sangat kurang</t>
        </is>
      </c>
    </row>
    <row r="6" ht="70" customHeight="1">
      <c r="A6" s="4" t="inlineStr">
        <is>
          <t>C</t>
        </is>
      </c>
      <c r="B6" s="5" t="inlineStr">
        <is>
          <t>Proyeksi Orthographic</t>
        </is>
      </c>
      <c r="C6" s="5" t="inlineStr">
        <is>
          <t>Proyeksi orthographic (tampak atas/depan/samping) diterapkan dan dijelaskan secara eksplisit dalam video</t>
        </is>
      </c>
      <c r="D6" s="6" t="n">
        <v>10</v>
      </c>
      <c r="E6" s="5" t="inlineStr">
        <is>
          <t>9–10: Diterapkan dan dijelaskan dengan sangat jelas
7–8: Diterapkan, penjelasan cukup
4–6: Ada tapi penjelasan kurang
1–3: Tidak ada / sangat kurang</t>
        </is>
      </c>
    </row>
    <row r="7" ht="70" customHeight="1">
      <c r="A7" s="7" t="inlineStr">
        <is>
          <t>D</t>
        </is>
      </c>
      <c r="B7" s="8" t="inlineStr">
        <is>
          <t>Proyeksi Perspektif</t>
        </is>
      </c>
      <c r="C7" s="8" t="inlineStr">
        <is>
          <t>Perspektif 1-point, 2-point, atau 3-point diterapkan dan dijelaskan. Poin ekstra jika lebih dari 1 jenis.</t>
        </is>
      </c>
      <c r="D7" s="6" t="n">
        <v>10</v>
      </c>
      <c r="E7" s="8" t="inlineStr">
        <is>
          <t>9–10: Diterapkan &amp; dijelaskan dengan sangat jelas
7–8: Diterapkan, penjelasan cukup
4–6: Ada tapi penjelasan kurang
1–3: Tidak ada / sangat kurang</t>
        </is>
      </c>
    </row>
    <row r="8" ht="70" customHeight="1">
      <c r="A8" s="4" t="inlineStr">
        <is>
          <t>E</t>
        </is>
      </c>
      <c r="B8" s="5" t="inlineStr">
        <is>
          <t>Geometri (Rendering Pipeline)</t>
        </is>
      </c>
      <c r="C8" s="5" t="inlineStr">
        <is>
          <t>Transformasi geometri (translasi, rotasi, skala, shear) diterapkan pada objek 3D dalam proyek</t>
        </is>
      </c>
      <c r="D8" s="6" t="n">
        <v>8</v>
      </c>
      <c r="E8" s="5" t="inlineStr">
        <is>
          <t>7–8: Transformasi lengkap &amp; terlihat jelas
5–6: Transformasi dasar ada
3–4: Sebagian ada
1–2: Tidak ada / tidak jelas</t>
        </is>
      </c>
    </row>
    <row r="9" ht="70" customHeight="1">
      <c r="A9" s="7" t="inlineStr">
        <is>
          <t>F</t>
        </is>
      </c>
      <c r="B9" s="8" t="inlineStr">
        <is>
          <t>Kamera (Rendering Pipeline)</t>
        </is>
      </c>
      <c r="C9" s="8" t="inlineStr">
        <is>
          <t>Setup kamera yang benar: FOV, near/far clipping plane, viewport, posisi/orientasi kamera</t>
        </is>
      </c>
      <c r="D9" s="6" t="n">
        <v>8</v>
      </c>
      <c r="E9" s="8" t="inlineStr">
        <is>
          <t>7–8: Setup kamera lengkap &amp; dijelaskan
5–6: Kamera di-set tapi sebagian kurang
3–4: Ada kamera tapi tidak dijelaskan
1–2: Tidak ada</t>
        </is>
      </c>
    </row>
    <row r="10" ht="70" customHeight="1">
      <c r="A10" s="4" t="inlineStr">
        <is>
          <t>G</t>
        </is>
      </c>
      <c r="B10" s="5" t="inlineStr">
        <is>
          <t>Cahaya (Rendering Pipeline)</t>
        </is>
      </c>
      <c r="C10" s="5" t="inlineStr">
        <is>
          <t>Pencahayaan: ambient, diffuse, specular — minimal 2 jenis diterapkan dan terlihat dalam render</t>
        </is>
      </c>
      <c r="D10" s="6" t="n">
        <v>8</v>
      </c>
      <c r="E10" s="5" t="inlineStr">
        <is>
          <t>7–8: Minimal 2 jenis cahaya, terlihat &amp; dijelaskan
5–6: 1 jenis cahaya, cukup
3–4: Ada cahaya tapi tidak dijelaskan
1–2: Tidak ada</t>
        </is>
      </c>
    </row>
    <row r="11" ht="70" customHeight="1">
      <c r="A11" s="7" t="inlineStr">
        <is>
          <t>H</t>
        </is>
      </c>
      <c r="B11" s="8" t="inlineStr">
        <is>
          <t>Karakteristik Permukaan</t>
        </is>
      </c>
      <c r="C11" s="8" t="inlineStr">
        <is>
          <t>Material / tekstur objek: warna, roughness, metallic, atau tekstur gambar diterapkan</t>
        </is>
      </c>
      <c r="D11" s="6" t="n">
        <v>8</v>
      </c>
      <c r="E11" s="8" t="inlineStr">
        <is>
          <t>7–8: Material kaya &amp; beragam per objek
5–6: Material dasar ada
3–4: Warna polos saja
1–2: Tidak ada material</t>
        </is>
      </c>
    </row>
    <row r="12" ht="70" customHeight="1">
      <c r="A12" s="4" t="inlineStr">
        <is>
          <t>I</t>
        </is>
      </c>
      <c r="B12" s="5" t="inlineStr">
        <is>
          <t>Algoritma Rendering</t>
        </is>
      </c>
      <c r="C12" s="5" t="inlineStr">
        <is>
          <t>Algoritma rendering dijelaskan: wireframe, scanline rasterization, ray tracing, atau lainnya</t>
        </is>
      </c>
      <c r="D12" s="6" t="n">
        <v>8</v>
      </c>
      <c r="E12" s="5" t="inlineStr">
        <is>
          <t>7–8: Algoritma dijelaskan &amp; terlihat dalam video
5–6: Disebutkan tapi kurang detail
3–4: Tersirat tapi tidak eksplisit
1–2: Tidak dijelaskan</t>
        </is>
      </c>
    </row>
    <row r="13" ht="70" customHeight="1">
      <c r="A13" s="7" t="inlineStr">
        <is>
          <t>J</t>
        </is>
      </c>
      <c r="B13" s="8" t="inlineStr">
        <is>
          <t>Shading</t>
        </is>
      </c>
      <c r="C13" s="8" t="inlineStr">
        <is>
          <t>Model shading diterapkan dan dijelaskan: flat shading, Gouraud shading, Phong shading</t>
        </is>
      </c>
      <c r="D13" s="6" t="n">
        <v>10</v>
      </c>
      <c r="E13" s="8" t="inlineStr">
        <is>
          <t>9–10: Shading tepat, terlihat jelas, dijelaskan detail
7–8: Shading ada, penjelasan cukup
4–6: Shading ada tapi tidak dijelaskan
1–3: Tidak ada / tidak jelas</t>
        </is>
      </c>
    </row>
    <row r="14" ht="22" customHeight="1">
      <c r="A14" s="9" t="inlineStr">
        <is>
          <t>TOTAL BOBOT</t>
        </is>
      </c>
      <c r="D14" s="10" t="n">
        <v>100</v>
      </c>
    </row>
  </sheetData>
  <mergeCells count="3">
    <mergeCell ref="A2:E2"/>
    <mergeCell ref="A1:E1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2" customWidth="1" min="4" max="4"/>
    <col width="4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30" customWidth="1" min="18" max="18"/>
  </cols>
  <sheetData>
    <row r="1" ht="22" customHeight="1">
      <c r="A1" s="1" t="inlineStr">
        <is>
          <t>PENILAIAN TUGAS BESAR GTI A — SEMESTER GENAP 2025/2026</t>
        </is>
      </c>
    </row>
    <row r="2" ht="52" customHeight="1">
      <c r="A2" s="11" t="inlineStr">
        <is>
          <t>No. Kelompok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 Video BTS
(max 20)</t>
        </is>
      </c>
      <c r="G2" s="12" t="inlineStr">
        <is>
          <t>Representasi
Objek 3D
(max 10)</t>
        </is>
      </c>
      <c r="H2" s="12" t="inlineStr">
        <is>
          <t>Proyeksi
Orthographic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Karakteristik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</t>
        </is>
      </c>
    </row>
    <row r="3" ht="30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/>
      <c r="Q3" s="15" t="inlineStr"/>
      <c r="R3" s="15" t="inlineStr"/>
    </row>
    <row r="4" ht="18" customHeight="1">
      <c r="A4" s="16" t="n">
        <v>1</v>
      </c>
      <c r="B4" s="17" t="inlineStr">
        <is>
          <t>-</t>
        </is>
      </c>
      <c r="C4" s="17" t="inlineStr">
        <is>
          <t>-</t>
        </is>
      </c>
      <c r="D4" s="17" t="inlineStr">
        <is>
          <t>-</t>
        </is>
      </c>
      <c r="E4" s="17" t="inlineStr">
        <is>
          <t>-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9" t="n"/>
      <c r="Q4" s="19" t="n"/>
      <c r="R4" s="20" t="inlineStr">
        <is>
          <t>Belum mengumpulkan / data tidak tersedia</t>
        </is>
      </c>
    </row>
    <row r="5" ht="18" customHeight="1">
      <c r="A5" s="16" t="n">
        <v>2</v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9" t="n"/>
      <c r="Q5" s="19" t="n"/>
      <c r="R5" s="20" t="inlineStr">
        <is>
          <t>Belum mengumpulkan / data tidak tersedia</t>
        </is>
      </c>
    </row>
    <row r="6" ht="18" customHeight="1">
      <c r="A6" s="21" t="n">
        <v>3</v>
      </c>
      <c r="B6" s="22" t="inlineStr">
        <is>
          <t>24060124130076</t>
        </is>
      </c>
      <c r="C6" s="22" t="inlineStr">
        <is>
          <t>Johan Reinhart Calvin</t>
        </is>
      </c>
      <c r="D6" s="22" t="inlineStr">
        <is>
          <t>-</t>
        </is>
      </c>
      <c r="E6" s="23" t="inlineStr">
        <is>
          <t>https://youtu.be/Im8KWkQt2oA</t>
        </is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>
        <f>SUM(F6:O6)</f>
        <v/>
      </c>
      <c r="Q6" s="26">
        <f>IF(P6="","",IF(P6&gt;=85,"A",IF(P6&gt;=75,"AB",IF(P6&gt;=65,"B",IF(P6&gt;=55,"BC",IF(P6&gt;=45,"C",IF(P6&gt;=35,"D","E")))))))</f>
        <v/>
      </c>
      <c r="R6" s="8" t="inlineStr"/>
    </row>
    <row r="7" ht="18" customHeight="1">
      <c r="A7" s="21" t="n">
        <v>3</v>
      </c>
      <c r="B7" s="22" t="inlineStr">
        <is>
          <t>24060124140198</t>
        </is>
      </c>
      <c r="C7" s="22" t="inlineStr">
        <is>
          <t>Ilham Muhammad Raffi</t>
        </is>
      </c>
      <c r="D7" s="22" t="inlineStr">
        <is>
          <t>-</t>
        </is>
      </c>
      <c r="E7" s="22" t="inlineStr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5">
        <f>SUM(F7:O7)</f>
        <v/>
      </c>
      <c r="Q7" s="26">
        <f>IF(P7="","",IF(P7&gt;=85,"A",IF(P7&gt;=75,"AB",IF(P7&gt;=65,"B",IF(P7&gt;=55,"BC",IF(P7&gt;=45,"C",IF(P7&gt;=35,"D","E")))))))</f>
        <v/>
      </c>
      <c r="R7" s="8" t="inlineStr"/>
    </row>
    <row r="8" ht="18" customHeight="1">
      <c r="A8" s="21" t="n">
        <v>3</v>
      </c>
      <c r="B8" s="22" t="inlineStr">
        <is>
          <t>24060124120046</t>
        </is>
      </c>
      <c r="C8" s="22" t="inlineStr">
        <is>
          <t>Romualdus Yoas Wicaksono</t>
        </is>
      </c>
      <c r="D8" s="22" t="inlineStr">
        <is>
          <t>-</t>
        </is>
      </c>
      <c r="E8" s="22" t="inlineStr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5">
        <f>SUM(F8:O8)</f>
        <v/>
      </c>
      <c r="Q8" s="26">
        <f>IF(P8="","",IF(P8&gt;=85,"A",IF(P8&gt;=75,"AB",IF(P8&gt;=65,"B",IF(P8&gt;=55,"BC",IF(P8&gt;=45,"C",IF(P8&gt;=35,"D","E")))))))</f>
        <v/>
      </c>
      <c r="R8" s="8" t="inlineStr"/>
    </row>
    <row r="9" ht="18" customHeight="1">
      <c r="A9" s="21" t="n">
        <v>3</v>
      </c>
      <c r="B9" s="22" t="inlineStr">
        <is>
          <t>24060124130123</t>
        </is>
      </c>
      <c r="C9" s="22" t="inlineStr">
        <is>
          <t>Muhammad Akmal Fazli Riyadi</t>
        </is>
      </c>
      <c r="D9" s="22" t="inlineStr">
        <is>
          <t>-</t>
        </is>
      </c>
      <c r="E9" s="22" t="inlineStr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5">
        <f>SUM(F9:O9)</f>
        <v/>
      </c>
      <c r="Q9" s="26">
        <f>IF(P9="","",IF(P9&gt;=85,"A",IF(P9&gt;=75,"AB",IF(P9&gt;=65,"B",IF(P9&gt;=55,"BC",IF(P9&gt;=45,"C",IF(P9&gt;=35,"D","E")))))))</f>
        <v/>
      </c>
      <c r="R9" s="8" t="inlineStr"/>
    </row>
    <row r="10" ht="18" customHeight="1">
      <c r="A10" s="27" t="n">
        <v>4</v>
      </c>
      <c r="B10" s="28" t="inlineStr">
        <is>
          <t>24060124130069</t>
        </is>
      </c>
      <c r="C10" s="28" t="inlineStr">
        <is>
          <t>Muhammad Fikri</t>
        </is>
      </c>
      <c r="D10" s="28" t="inlineStr">
        <is>
          <t>-</t>
        </is>
      </c>
      <c r="E10" s="29" t="inlineStr">
        <is>
          <t>https://youtu.be/_jsEwoba0yQ</t>
        </is>
      </c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25">
        <f>SUM(F10:O10)</f>
        <v/>
      </c>
      <c r="Q10" s="26">
        <f>IF(P10="","",IF(P10&gt;=85,"A",IF(P10&gt;=75,"AB",IF(P10&gt;=65,"B",IF(P10&gt;=55,"BC",IF(P10&gt;=45,"C",IF(P10&gt;=35,"D","E")))))))</f>
        <v/>
      </c>
      <c r="R10" s="5" t="inlineStr"/>
    </row>
    <row r="11" ht="18" customHeight="1">
      <c r="A11" s="27" t="n">
        <v>4</v>
      </c>
      <c r="B11" s="28" t="inlineStr">
        <is>
          <t>24060124120011</t>
        </is>
      </c>
      <c r="C11" s="28" t="inlineStr">
        <is>
          <t>Khanza Qaila</t>
        </is>
      </c>
      <c r="D11" s="28" t="inlineStr">
        <is>
          <t>-</t>
        </is>
      </c>
      <c r="E11" s="28" t="inlineStr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25">
        <f>SUM(F11:O11)</f>
        <v/>
      </c>
      <c r="Q11" s="26">
        <f>IF(P11="","",IF(P11&gt;=85,"A",IF(P11&gt;=75,"AB",IF(P11&gt;=65,"B",IF(P11&gt;=55,"BC",IF(P11&gt;=45,"C",IF(P11&gt;=35,"D","E")))))))</f>
        <v/>
      </c>
      <c r="R11" s="5" t="inlineStr"/>
    </row>
    <row r="12" ht="18" customHeight="1">
      <c r="A12" s="27" t="n">
        <v>4</v>
      </c>
      <c r="B12" s="28" t="inlineStr">
        <is>
          <t>24060124140158</t>
        </is>
      </c>
      <c r="C12" s="28" t="inlineStr">
        <is>
          <t>Nayla Husna</t>
        </is>
      </c>
      <c r="D12" s="28" t="inlineStr">
        <is>
          <t>-</t>
        </is>
      </c>
      <c r="E12" s="28" t="inlineStr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25">
        <f>SUM(F12:O12)</f>
        <v/>
      </c>
      <c r="Q12" s="26">
        <f>IF(P12="","",IF(P12&gt;=85,"A",IF(P12&gt;=75,"AB",IF(P12&gt;=65,"B",IF(P12&gt;=55,"BC",IF(P12&gt;=45,"C",IF(P12&gt;=35,"D","E")))))))</f>
        <v/>
      </c>
      <c r="R12" s="5" t="inlineStr"/>
    </row>
    <row r="13" ht="18" customHeight="1">
      <c r="A13" s="21" t="n">
        <v>5</v>
      </c>
      <c r="B13" s="22" t="inlineStr">
        <is>
          <t>24060124120033</t>
        </is>
      </c>
      <c r="C13" s="22" t="inlineStr">
        <is>
          <t>Shalom Kurniawan</t>
        </is>
      </c>
      <c r="D13" s="22" t="inlineStr">
        <is>
          <t>-</t>
        </is>
      </c>
      <c r="E13" s="23" t="inlineStr">
        <is>
          <t>https://youtu.be/snYwaR38XQ4</t>
        </is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5">
        <f>SUM(F13:O13)</f>
        <v/>
      </c>
      <c r="Q13" s="26">
        <f>IF(P13="","",IF(P13&gt;=85,"A",IF(P13&gt;=75,"AB",IF(P13&gt;=65,"B",IF(P13&gt;=55,"BC",IF(P13&gt;=45,"C",IF(P13&gt;=35,"D","E")))))))</f>
        <v/>
      </c>
      <c r="R13" s="8" t="inlineStr"/>
    </row>
    <row r="14" ht="18" customHeight="1">
      <c r="A14" s="21" t="n">
        <v>5</v>
      </c>
      <c r="B14" s="22" t="inlineStr">
        <is>
          <t>24060124120009</t>
        </is>
      </c>
      <c r="C14" s="22" t="inlineStr">
        <is>
          <t>Arsy Thariq Munawar</t>
        </is>
      </c>
      <c r="D14" s="22" t="inlineStr">
        <is>
          <t>-</t>
        </is>
      </c>
      <c r="E14" s="22" t="inlineStr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5">
        <f>SUM(F14:O14)</f>
        <v/>
      </c>
      <c r="Q14" s="26">
        <f>IF(P14="","",IF(P14&gt;=85,"A",IF(P14&gt;=75,"AB",IF(P14&gt;=65,"B",IF(P14&gt;=55,"BC",IF(P14&gt;=45,"C",IF(P14&gt;=35,"D","E")))))))</f>
        <v/>
      </c>
      <c r="R14" s="8" t="inlineStr"/>
    </row>
    <row r="15" ht="18" customHeight="1">
      <c r="A15" s="21" t="n">
        <v>5</v>
      </c>
      <c r="B15" s="22" t="inlineStr">
        <is>
          <t>24060124120035</t>
        </is>
      </c>
      <c r="C15" s="22" t="inlineStr">
        <is>
          <t>Yuma Hazza Yuditama</t>
        </is>
      </c>
      <c r="D15" s="22" t="inlineStr">
        <is>
          <t>-</t>
        </is>
      </c>
      <c r="E15" s="22" t="inlineStr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5">
        <f>SUM(F15:O15)</f>
        <v/>
      </c>
      <c r="Q15" s="26">
        <f>IF(P15="","",IF(P15&gt;=85,"A",IF(P15&gt;=75,"AB",IF(P15&gt;=65,"B",IF(P15&gt;=55,"BC",IF(P15&gt;=45,"C",IF(P15&gt;=35,"D","E")))))))</f>
        <v/>
      </c>
      <c r="R15" s="8" t="inlineStr"/>
    </row>
    <row r="16" ht="18" customHeight="1">
      <c r="A16" s="21" t="n">
        <v>5</v>
      </c>
      <c r="B16" s="22" t="inlineStr">
        <is>
          <t>24060121140176</t>
        </is>
      </c>
      <c r="C16" s="22" t="inlineStr">
        <is>
          <t>Fernanda Galih Saputra</t>
        </is>
      </c>
      <c r="D16" s="22" t="inlineStr">
        <is>
          <t>-</t>
        </is>
      </c>
      <c r="E16" s="22" t="inlineStr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5">
        <f>SUM(F16:O16)</f>
        <v/>
      </c>
      <c r="Q16" s="26">
        <f>IF(P16="","",IF(P16&gt;=85,"A",IF(P16&gt;=75,"AB",IF(P16&gt;=65,"B",IF(P16&gt;=55,"BC",IF(P16&gt;=45,"C",IF(P16&gt;=35,"D","E")))))))</f>
        <v/>
      </c>
      <c r="R16" s="8" t="inlineStr"/>
    </row>
    <row r="17" ht="18" customHeight="1">
      <c r="A17" s="27" t="n">
        <v>6</v>
      </c>
      <c r="B17" s="28" t="inlineStr">
        <is>
          <t>24060124130066</t>
        </is>
      </c>
      <c r="C17" s="28" t="inlineStr">
        <is>
          <t>Silvani Salsabilla</t>
        </is>
      </c>
      <c r="D17" s="28" t="inlineStr">
        <is>
          <t>-</t>
        </is>
      </c>
      <c r="E17" s="29" t="inlineStr">
        <is>
          <t>https://youtu.be/Z59d6nk4PAs</t>
        </is>
      </c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25">
        <f>SUM(F17:O17)</f>
        <v/>
      </c>
      <c r="Q17" s="26">
        <f>IF(P17="","",IF(P17&gt;=85,"A",IF(P17&gt;=75,"AB",IF(P17&gt;=65,"B",IF(P17&gt;=55,"BC",IF(P17&gt;=45,"C",IF(P17&gt;=35,"D","E")))))))</f>
        <v/>
      </c>
      <c r="R17" s="5" t="inlineStr"/>
    </row>
    <row r="18" ht="18" customHeight="1">
      <c r="A18" s="27" t="n">
        <v>6</v>
      </c>
      <c r="B18" s="28" t="inlineStr">
        <is>
          <t>24060124140180</t>
        </is>
      </c>
      <c r="C18" s="28" t="inlineStr">
        <is>
          <t>Eileen Albert Tandrio</t>
        </is>
      </c>
      <c r="D18" s="28" t="inlineStr">
        <is>
          <t>-</t>
        </is>
      </c>
      <c r="E18" s="28" t="inlineStr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25">
        <f>SUM(F18:O18)</f>
        <v/>
      </c>
      <c r="Q18" s="26">
        <f>IF(P18="","",IF(P18&gt;=85,"A",IF(P18&gt;=75,"AB",IF(P18&gt;=65,"B",IF(P18&gt;=55,"BC",IF(P18&gt;=45,"C",IF(P18&gt;=35,"D","E")))))))</f>
        <v/>
      </c>
      <c r="R18" s="5" t="inlineStr"/>
    </row>
    <row r="19" ht="18" customHeight="1">
      <c r="A19" s="27" t="n">
        <v>6</v>
      </c>
      <c r="B19" s="28" t="inlineStr">
        <is>
          <t>24060124140084</t>
        </is>
      </c>
      <c r="C19" s="28" t="inlineStr">
        <is>
          <t>Jessica Laurencia Panjaitan</t>
        </is>
      </c>
      <c r="D19" s="28" t="inlineStr">
        <is>
          <t>-</t>
        </is>
      </c>
      <c r="E19" s="28" t="inlineStr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25">
        <f>SUM(F19:O19)</f>
        <v/>
      </c>
      <c r="Q19" s="26">
        <f>IF(P19="","",IF(P19&gt;=85,"A",IF(P19&gt;=75,"AB",IF(P19&gt;=65,"B",IF(P19&gt;=55,"BC",IF(P19&gt;=45,"C",IF(P19&gt;=35,"D","E")))))))</f>
        <v/>
      </c>
      <c r="R19" s="5" t="inlineStr"/>
    </row>
    <row r="20" ht="18" customHeight="1">
      <c r="A20" s="21" t="n">
        <v>7</v>
      </c>
      <c r="B20" s="22" t="inlineStr">
        <is>
          <t>24060124120037</t>
        </is>
      </c>
      <c r="C20" s="22" t="inlineStr">
        <is>
          <t>Muhammad Fahri</t>
        </is>
      </c>
      <c r="D20" s="22" t="inlineStr">
        <is>
          <t>-</t>
        </is>
      </c>
      <c r="E20" s="23" t="inlineStr">
        <is>
          <t>https://youtu.be/oQcXjDnyGJU</t>
        </is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5">
        <f>SUM(F20:O20)</f>
        <v/>
      </c>
      <c r="Q20" s="26">
        <f>IF(P20="","",IF(P20&gt;=85,"A",IF(P20&gt;=75,"AB",IF(P20&gt;=65,"B",IF(P20&gt;=55,"BC",IF(P20&gt;=45,"C",IF(P20&gt;=35,"D","E")))))))</f>
        <v/>
      </c>
      <c r="R20" s="8" t="inlineStr"/>
    </row>
    <row r="21" ht="18" customHeight="1">
      <c r="A21" s="21" t="n">
        <v>7</v>
      </c>
      <c r="B21" s="22" t="inlineStr">
        <is>
          <t>24060124120029</t>
        </is>
      </c>
      <c r="C21" s="22" t="inlineStr">
        <is>
          <t>Nouvella Rahma Fitrah Legarsi</t>
        </is>
      </c>
      <c r="D21" s="22" t="inlineStr">
        <is>
          <t>-</t>
        </is>
      </c>
      <c r="E21" s="22" t="inlineStr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5">
        <f>SUM(F21:O21)</f>
        <v/>
      </c>
      <c r="Q21" s="26">
        <f>IF(P21="","",IF(P21&gt;=85,"A",IF(P21&gt;=75,"AB",IF(P21&gt;=65,"B",IF(P21&gt;=55,"BC",IF(P21&gt;=45,"C",IF(P21&gt;=35,"D","E")))))))</f>
        <v/>
      </c>
      <c r="R21" s="8" t="inlineStr"/>
    </row>
    <row r="22" ht="18" customHeight="1">
      <c r="A22" s="21" t="n">
        <v>7</v>
      </c>
      <c r="B22" s="22" t="inlineStr">
        <is>
          <t>24060124120040</t>
        </is>
      </c>
      <c r="C22" s="22" t="inlineStr">
        <is>
          <t>Ovilia Suci Ramadhani</t>
        </is>
      </c>
      <c r="D22" s="22" t="inlineStr">
        <is>
          <t>-</t>
        </is>
      </c>
      <c r="E22" s="22" t="inlineStr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5">
        <f>SUM(F22:O22)</f>
        <v/>
      </c>
      <c r="Q22" s="26">
        <f>IF(P22="","",IF(P22&gt;=85,"A",IF(P22&gt;=75,"AB",IF(P22&gt;=65,"B",IF(P22&gt;=55,"BC",IF(P22&gt;=45,"C",IF(P22&gt;=35,"D","E")))))))</f>
        <v/>
      </c>
      <c r="R22" s="8" t="inlineStr"/>
    </row>
    <row r="23" ht="18" customHeight="1">
      <c r="A23" s="21" t="n">
        <v>7</v>
      </c>
      <c r="B23" s="22" t="inlineStr">
        <is>
          <t>24060124130070</t>
        </is>
      </c>
      <c r="C23" s="22" t="inlineStr">
        <is>
          <t>Biyani Andarisky Maratia</t>
        </is>
      </c>
      <c r="D23" s="22" t="inlineStr">
        <is>
          <t>-</t>
        </is>
      </c>
      <c r="E23" s="22" t="inlineStr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5">
        <f>SUM(F23:O23)</f>
        <v/>
      </c>
      <c r="Q23" s="26">
        <f>IF(P23="","",IF(P23&gt;=85,"A",IF(P23&gt;=75,"AB",IF(P23&gt;=65,"B",IF(P23&gt;=55,"BC",IF(P23&gt;=45,"C",IF(P23&gt;=35,"D","E")))))))</f>
        <v/>
      </c>
      <c r="R23" s="8" t="inlineStr"/>
    </row>
    <row r="24" ht="18" customHeight="1">
      <c r="A24" s="27" t="n">
        <v>8</v>
      </c>
      <c r="B24" s="28" t="inlineStr">
        <is>
          <t>24060124120007</t>
        </is>
      </c>
      <c r="C24" s="28" t="inlineStr">
        <is>
          <t>Agung Rama Pramana Putra</t>
        </is>
      </c>
      <c r="D24" s="28" t="inlineStr">
        <is>
          <t>-</t>
        </is>
      </c>
      <c r="E24" s="29" t="inlineStr">
        <is>
          <t>https://youtu.be/f-mvyIQzta4</t>
        </is>
      </c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25">
        <f>SUM(F24:O24)</f>
        <v/>
      </c>
      <c r="Q24" s="26">
        <f>IF(P24="","",IF(P24&gt;=85,"A",IF(P24&gt;=75,"AB",IF(P24&gt;=65,"B",IF(P24&gt;=55,"BC",IF(P24&gt;=45,"C",IF(P24&gt;=35,"D","E")))))))</f>
        <v/>
      </c>
      <c r="R24" s="5" t="inlineStr"/>
    </row>
    <row r="25" ht="18" customHeight="1">
      <c r="A25" s="27" t="n">
        <v>8</v>
      </c>
      <c r="B25" s="28" t="inlineStr">
        <is>
          <t>24060124140194</t>
        </is>
      </c>
      <c r="C25" s="28" t="inlineStr">
        <is>
          <t>Andiny Khaerany Suhartady</t>
        </is>
      </c>
      <c r="D25" s="28" t="inlineStr">
        <is>
          <t>-</t>
        </is>
      </c>
      <c r="E25" s="28" t="inlineStr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25">
        <f>SUM(F25:O25)</f>
        <v/>
      </c>
      <c r="Q25" s="26">
        <f>IF(P25="","",IF(P25&gt;=85,"A",IF(P25&gt;=75,"AB",IF(P25&gt;=65,"B",IF(P25&gt;=55,"BC",IF(P25&gt;=45,"C",IF(P25&gt;=35,"D","E")))))))</f>
        <v/>
      </c>
      <c r="R25" s="5" t="inlineStr"/>
    </row>
    <row r="26" ht="18" customHeight="1">
      <c r="A26" s="27" t="n">
        <v>8</v>
      </c>
      <c r="B26" s="28" t="inlineStr">
        <is>
          <t>24060124140207</t>
        </is>
      </c>
      <c r="C26" s="28" t="inlineStr">
        <is>
          <t>Hadrian Shandhy Yudha</t>
        </is>
      </c>
      <c r="D26" s="28" t="inlineStr">
        <is>
          <t>-</t>
        </is>
      </c>
      <c r="E26" s="28" t="inlineStr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25">
        <f>SUM(F26:O26)</f>
        <v/>
      </c>
      <c r="Q26" s="26">
        <f>IF(P26="","",IF(P26&gt;=85,"A",IF(P26&gt;=75,"AB",IF(P26&gt;=65,"B",IF(P26&gt;=55,"BC",IF(P26&gt;=45,"C",IF(P26&gt;=35,"D","E")))))))</f>
        <v/>
      </c>
      <c r="R26" s="5" t="inlineStr"/>
    </row>
    <row r="27" ht="18" customHeight="1">
      <c r="A27" s="27" t="n">
        <v>8</v>
      </c>
      <c r="B27" s="28" t="inlineStr">
        <is>
          <t>24060124140203</t>
        </is>
      </c>
      <c r="C27" s="28" t="inlineStr">
        <is>
          <t>Mohammad Najib Fitrianto</t>
        </is>
      </c>
      <c r="D27" s="28" t="inlineStr">
        <is>
          <t>-</t>
        </is>
      </c>
      <c r="E27" s="28" t="inlineStr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25">
        <f>SUM(F27:O27)</f>
        <v/>
      </c>
      <c r="Q27" s="26">
        <f>IF(P27="","",IF(P27&gt;=85,"A",IF(P27&gt;=75,"AB",IF(P27&gt;=65,"B",IF(P27&gt;=55,"BC",IF(P27&gt;=45,"C",IF(P27&gt;=35,"D","E")))))))</f>
        <v/>
      </c>
      <c r="R27" s="5" t="inlineStr"/>
    </row>
    <row r="28" ht="18" customHeight="1">
      <c r="A28" s="21" t="n">
        <v>9</v>
      </c>
      <c r="B28" s="22" t="inlineStr">
        <is>
          <t>24060124130108</t>
        </is>
      </c>
      <c r="C28" s="22" t="inlineStr">
        <is>
          <t>Elang Fadila Ahmad</t>
        </is>
      </c>
      <c r="D28" s="22" t="inlineStr">
        <is>
          <t>-</t>
        </is>
      </c>
      <c r="E28" s="23" t="inlineStr">
        <is>
          <t>https://youtu.be/donL48coYQE</t>
        </is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>
        <f>SUM(F28:O28)</f>
        <v/>
      </c>
      <c r="Q28" s="26">
        <f>IF(P28="","",IF(P28&gt;=85,"A",IF(P28&gt;=75,"AB",IF(P28&gt;=65,"B",IF(P28&gt;=55,"BC",IF(P28&gt;=45,"C",IF(P28&gt;=35,"D","E")))))))</f>
        <v/>
      </c>
      <c r="R28" s="8" t="inlineStr"/>
    </row>
    <row r="29" ht="18" customHeight="1">
      <c r="A29" s="21" t="n">
        <v>9</v>
      </c>
      <c r="B29" s="22" t="inlineStr">
        <is>
          <t>24060124130099</t>
        </is>
      </c>
      <c r="C29" s="22" t="inlineStr">
        <is>
          <t>Dehar Zaidan Dzaki Amirullah</t>
        </is>
      </c>
      <c r="D29" s="22" t="inlineStr">
        <is>
          <t>-</t>
        </is>
      </c>
      <c r="E29" s="22" t="inlineStr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5">
        <f>SUM(F29:O29)</f>
        <v/>
      </c>
      <c r="Q29" s="26">
        <f>IF(P29="","",IF(P29&gt;=85,"A",IF(P29&gt;=75,"AB",IF(P29&gt;=65,"B",IF(P29&gt;=55,"BC",IF(P29&gt;=45,"C",IF(P29&gt;=35,"D","E")))))))</f>
        <v/>
      </c>
      <c r="R29" s="8" t="inlineStr"/>
    </row>
    <row r="30" ht="18" customHeight="1">
      <c r="A30" s="21" t="n">
        <v>9</v>
      </c>
      <c r="B30" s="22" t="inlineStr">
        <is>
          <t>24060124130122</t>
        </is>
      </c>
      <c r="C30" s="22" t="inlineStr">
        <is>
          <t>Ridho Tri Saputra</t>
        </is>
      </c>
      <c r="D30" s="22" t="inlineStr">
        <is>
          <t>-</t>
        </is>
      </c>
      <c r="E30" s="22" t="inlineStr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5">
        <f>SUM(F30:O30)</f>
        <v/>
      </c>
      <c r="Q30" s="26">
        <f>IF(P30="","",IF(P30&gt;=85,"A",IF(P30&gt;=75,"AB",IF(P30&gt;=65,"B",IF(P30&gt;=55,"BC",IF(P30&gt;=45,"C",IF(P30&gt;=35,"D","E")))))))</f>
        <v/>
      </c>
      <c r="R30" s="8" t="inlineStr"/>
    </row>
    <row r="31" ht="18" customHeight="1">
      <c r="A31" s="21" t="n">
        <v>9</v>
      </c>
      <c r="B31" s="22" t="inlineStr">
        <is>
          <t>24060124140127</t>
        </is>
      </c>
      <c r="C31" s="22" t="inlineStr">
        <is>
          <t>Axel Anggian Hamonangan Purba</t>
        </is>
      </c>
      <c r="D31" s="22" t="inlineStr">
        <is>
          <t>-</t>
        </is>
      </c>
      <c r="E31" s="22" t="inlineStr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>
        <f>SUM(F31:O31)</f>
        <v/>
      </c>
      <c r="Q31" s="26">
        <f>IF(P31="","",IF(P31&gt;=85,"A",IF(P31&gt;=75,"AB",IF(P31&gt;=65,"B",IF(P31&gt;=55,"BC",IF(P31&gt;=45,"C",IF(P31&gt;=35,"D","E")))))))</f>
        <v/>
      </c>
      <c r="R31" s="8" t="inlineStr"/>
    </row>
    <row r="32" ht="18" customHeight="1">
      <c r="A32" s="27" t="n">
        <v>10</v>
      </c>
      <c r="B32" s="28" t="inlineStr">
        <is>
          <t>24060124140147</t>
        </is>
      </c>
      <c r="C32" s="28" t="inlineStr">
        <is>
          <t>Ammar Rozan Rusyaidan</t>
        </is>
      </c>
      <c r="D32" s="28" t="inlineStr">
        <is>
          <t>-</t>
        </is>
      </c>
      <c r="E32" s="29" t="inlineStr">
        <is>
          <t>https://youtu.be/NOa6aFGw6cs</t>
        </is>
      </c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25">
        <f>SUM(F32:O32)</f>
        <v/>
      </c>
      <c r="Q32" s="26">
        <f>IF(P32="","",IF(P32&gt;=85,"A",IF(P32&gt;=75,"AB",IF(P32&gt;=65,"B",IF(P32&gt;=55,"BC",IF(P32&gt;=45,"C",IF(P32&gt;=35,"D","E")))))))</f>
        <v/>
      </c>
      <c r="R32" s="5" t="inlineStr"/>
    </row>
    <row r="33" ht="18" customHeight="1">
      <c r="A33" s="27" t="n">
        <v>10</v>
      </c>
      <c r="B33" s="28" t="inlineStr">
        <is>
          <t>24060124130089</t>
        </is>
      </c>
      <c r="C33" s="28" t="inlineStr">
        <is>
          <t>Arya Naufal Akmal</t>
        </is>
      </c>
      <c r="D33" s="28" t="inlineStr">
        <is>
          <t>-</t>
        </is>
      </c>
      <c r="E33" s="28" t="inlineStr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25">
        <f>SUM(F33:O33)</f>
        <v/>
      </c>
      <c r="Q33" s="26">
        <f>IF(P33="","",IF(P33&gt;=85,"A",IF(P33&gt;=75,"AB",IF(P33&gt;=65,"B",IF(P33&gt;=55,"BC",IF(P33&gt;=45,"C",IF(P33&gt;=35,"D","E")))))))</f>
        <v/>
      </c>
      <c r="R33" s="5" t="inlineStr"/>
    </row>
    <row r="34" ht="18" customHeight="1">
      <c r="A34" s="27" t="n">
        <v>10</v>
      </c>
      <c r="B34" s="28" t="inlineStr">
        <is>
          <t>24060124120031</t>
        </is>
      </c>
      <c r="C34" s="28" t="inlineStr">
        <is>
          <t>Misbachul Munir</t>
        </is>
      </c>
      <c r="D34" s="28" t="inlineStr">
        <is>
          <t>-</t>
        </is>
      </c>
      <c r="E34" s="28" t="inlineStr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25">
        <f>SUM(F34:O34)</f>
        <v/>
      </c>
      <c r="Q34" s="26">
        <f>IF(P34="","",IF(P34&gt;=85,"A",IF(P34&gt;=75,"AB",IF(P34&gt;=65,"B",IF(P34&gt;=55,"BC",IF(P34&gt;=45,"C",IF(P34&gt;=35,"D","E")))))))</f>
        <v/>
      </c>
      <c r="R34" s="5" t="inlineStr"/>
    </row>
    <row r="35" ht="18" customHeight="1">
      <c r="A35" s="21" t="n">
        <v>11</v>
      </c>
      <c r="B35" s="22" t="inlineStr">
        <is>
          <t>24060124130103</t>
        </is>
      </c>
      <c r="C35" s="22" t="inlineStr">
        <is>
          <t>Dzaki Fathul'Alim Cahyo</t>
        </is>
      </c>
      <c r="D35" s="22" t="inlineStr">
        <is>
          <t>-</t>
        </is>
      </c>
      <c r="E35" s="23" t="inlineStr">
        <is>
          <t>https://youtu.be/PEcKOSPsxIc</t>
        </is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5">
        <f>SUM(F35:O35)</f>
        <v/>
      </c>
      <c r="Q35" s="26">
        <f>IF(P35="","",IF(P35&gt;=85,"A",IF(P35&gt;=75,"AB",IF(P35&gt;=65,"B",IF(P35&gt;=55,"BC",IF(P35&gt;=45,"C",IF(P35&gt;=35,"D","E")))))))</f>
        <v/>
      </c>
      <c r="R35" s="8" t="inlineStr"/>
    </row>
    <row r="36" ht="18" customHeight="1">
      <c r="A36" s="21" t="n">
        <v>11</v>
      </c>
      <c r="B36" s="22" t="inlineStr">
        <is>
          <t>24060124120048</t>
        </is>
      </c>
      <c r="C36" s="22" t="inlineStr">
        <is>
          <t>Daniel Lamganda Tua Gultom</t>
        </is>
      </c>
      <c r="D36" s="22" t="inlineStr">
        <is>
          <t>-</t>
        </is>
      </c>
      <c r="E36" s="22" t="inlineStr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>
        <f>SUM(F36:O36)</f>
        <v/>
      </c>
      <c r="Q36" s="26">
        <f>IF(P36="","",IF(P36&gt;=85,"A",IF(P36&gt;=75,"AB",IF(P36&gt;=65,"B",IF(P36&gt;=55,"BC",IF(P36&gt;=45,"C",IF(P36&gt;=35,"D","E")))))))</f>
        <v/>
      </c>
      <c r="R36" s="8" t="inlineStr"/>
    </row>
    <row r="37" ht="18" customHeight="1">
      <c r="A37" s="21" t="n">
        <v>11</v>
      </c>
      <c r="B37" s="22" t="inlineStr">
        <is>
          <t>24060124120018</t>
        </is>
      </c>
      <c r="C37" s="22" t="inlineStr">
        <is>
          <t>Putri Elizabeth Simanjuntak</t>
        </is>
      </c>
      <c r="D37" s="22" t="inlineStr">
        <is>
          <t>-</t>
        </is>
      </c>
      <c r="E37" s="22" t="inlineStr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5">
        <f>SUM(F37:O37)</f>
        <v/>
      </c>
      <c r="Q37" s="26">
        <f>IF(P37="","",IF(P37&gt;=85,"A",IF(P37&gt;=75,"AB",IF(P37&gt;=65,"B",IF(P37&gt;=55,"BC",IF(P37&gt;=45,"C",IF(P37&gt;=35,"D","E")))))))</f>
        <v/>
      </c>
      <c r="R37" s="8" t="inlineStr"/>
    </row>
    <row r="38" ht="18" customHeight="1">
      <c r="A38" s="16" t="n">
        <v>12</v>
      </c>
      <c r="B38" s="17" t="inlineStr">
        <is>
          <t>-</t>
        </is>
      </c>
      <c r="C38" s="17" t="inlineStr">
        <is>
          <t>-</t>
        </is>
      </c>
      <c r="D38" s="17" t="inlineStr">
        <is>
          <t>-</t>
        </is>
      </c>
      <c r="E38" s="17" t="inlineStr">
        <is>
          <t>-</t>
        </is>
      </c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9" t="n"/>
      <c r="Q38" s="19" t="n"/>
      <c r="R38" s="20" t="inlineStr">
        <is>
          <t>Belum mengumpulkan / data tidak tersedia</t>
        </is>
      </c>
    </row>
    <row r="39" ht="18" customHeight="1">
      <c r="A39" s="21" t="n">
        <v>13</v>
      </c>
      <c r="B39" s="22" t="inlineStr">
        <is>
          <t>24060124140129</t>
        </is>
      </c>
      <c r="C39" s="22" t="inlineStr">
        <is>
          <t>Revanska Athallah Muhammad</t>
        </is>
      </c>
      <c r="D39" s="22" t="inlineStr">
        <is>
          <t>-</t>
        </is>
      </c>
      <c r="E39" s="23" t="inlineStr">
        <is>
          <t>https://youtu.be/FltKiLTQOOE</t>
        </is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5">
        <f>SUM(F39:O39)</f>
        <v/>
      </c>
      <c r="Q39" s="26">
        <f>IF(P39="","",IF(P39&gt;=85,"A",IF(P39&gt;=75,"AB",IF(P39&gt;=65,"B",IF(P39&gt;=55,"BC",IF(P39&gt;=45,"C",IF(P39&gt;=35,"D","E")))))))</f>
        <v/>
      </c>
      <c r="R39" s="8" t="inlineStr"/>
    </row>
    <row r="40" ht="18" customHeight="1">
      <c r="A40" s="21" t="n">
        <v>13</v>
      </c>
      <c r="B40" s="22" t="inlineStr">
        <is>
          <t>24060124130074</t>
        </is>
      </c>
      <c r="C40" s="22" t="inlineStr">
        <is>
          <t>Kiyoshi Akila Tira</t>
        </is>
      </c>
      <c r="D40" s="22" t="inlineStr">
        <is>
          <t>-</t>
        </is>
      </c>
      <c r="E40" s="22" t="inlineStr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5">
        <f>SUM(F40:O40)</f>
        <v/>
      </c>
      <c r="Q40" s="26">
        <f>IF(P40="","",IF(P40&gt;=85,"A",IF(P40&gt;=75,"AB",IF(P40&gt;=65,"B",IF(P40&gt;=55,"BC",IF(P40&gt;=45,"C",IF(P40&gt;=35,"D","E")))))))</f>
        <v/>
      </c>
      <c r="R40" s="8" t="inlineStr"/>
    </row>
    <row r="41" ht="18" customHeight="1">
      <c r="A41" s="21" t="n">
        <v>13</v>
      </c>
      <c r="B41" s="22" t="inlineStr">
        <is>
          <t>24060124130114</t>
        </is>
      </c>
      <c r="C41" s="22" t="inlineStr">
        <is>
          <t>Yustinus Hendi Setyawan</t>
        </is>
      </c>
      <c r="D41" s="22" t="inlineStr">
        <is>
          <t>-</t>
        </is>
      </c>
      <c r="E41" s="22" t="inlineStr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5">
        <f>SUM(F41:O41)</f>
        <v/>
      </c>
      <c r="Q41" s="26">
        <f>IF(P41="","",IF(P41&gt;=85,"A",IF(P41&gt;=75,"AB",IF(P41&gt;=65,"B",IF(P41&gt;=55,"BC",IF(P41&gt;=45,"C",IF(P41&gt;=35,"D","E")))))))</f>
        <v/>
      </c>
      <c r="R41" s="8" t="inlineStr"/>
    </row>
    <row r="43">
      <c r="A43" s="31" t="inlineStr">
        <is>
          <t>SKALA NILAI: A ≥ 85 | AB 75–84 | B 65–74 | BC 55–64 | C 45–54 | D 35–44 | E &lt; 35</t>
        </is>
      </c>
    </row>
  </sheetData>
  <mergeCells count="2">
    <mergeCell ref="A1:R1"/>
    <mergeCell ref="A43:E43"/>
  </mergeCells>
  <hyperlinks>
    <hyperlink xmlns:r="http://schemas.openxmlformats.org/officeDocument/2006/relationships" ref="E6" r:id="rId1"/>
    <hyperlink xmlns:r="http://schemas.openxmlformats.org/officeDocument/2006/relationships" ref="E10" r:id="rId2"/>
    <hyperlink xmlns:r="http://schemas.openxmlformats.org/officeDocument/2006/relationships" ref="E13" r:id="rId3"/>
    <hyperlink xmlns:r="http://schemas.openxmlformats.org/officeDocument/2006/relationships" ref="E17" r:id="rId4"/>
    <hyperlink xmlns:r="http://schemas.openxmlformats.org/officeDocument/2006/relationships" ref="E20" r:id="rId5"/>
    <hyperlink xmlns:r="http://schemas.openxmlformats.org/officeDocument/2006/relationships" ref="E24" r:id="rId6"/>
    <hyperlink xmlns:r="http://schemas.openxmlformats.org/officeDocument/2006/relationships" ref="E28" r:id="rId7"/>
    <hyperlink xmlns:r="http://schemas.openxmlformats.org/officeDocument/2006/relationships" ref="E32" r:id="rId8"/>
    <hyperlink xmlns:r="http://schemas.openxmlformats.org/officeDocument/2006/relationships" ref="E35" r:id="rId9"/>
    <hyperlink xmlns:r="http://schemas.openxmlformats.org/officeDocument/2006/relationships" ref="E39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2" customWidth="1" min="4" max="4"/>
    <col width="4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30" customWidth="1" min="18" max="18"/>
  </cols>
  <sheetData>
    <row r="1" ht="22" customHeight="1">
      <c r="A1" s="1" t="inlineStr">
        <is>
          <t>PENILAIAN TUGAS BESAR GTI B — SEMESTER GENAP 2025/2026</t>
        </is>
      </c>
    </row>
    <row r="2" ht="52" customHeight="1">
      <c r="A2" s="11" t="inlineStr">
        <is>
          <t>No. Kelompok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 Video BTS
(max 20)</t>
        </is>
      </c>
      <c r="G2" s="12" t="inlineStr">
        <is>
          <t>Representasi
Objek 3D
(max 10)</t>
        </is>
      </c>
      <c r="H2" s="12" t="inlineStr">
        <is>
          <t>Proyeksi
Orthographic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Karakteristik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</t>
        </is>
      </c>
    </row>
    <row r="3" ht="30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/>
      <c r="Q3" s="15" t="inlineStr"/>
      <c r="R3" s="15" t="inlineStr"/>
    </row>
    <row r="4" ht="18" customHeight="1">
      <c r="A4" s="21" t="n">
        <v>1</v>
      </c>
      <c r="B4" s="22" t="inlineStr">
        <is>
          <t>24060124140141</t>
        </is>
      </c>
      <c r="C4" s="22" t="inlineStr">
        <is>
          <t>Muchammad Rajib Tafrichan</t>
        </is>
      </c>
      <c r="D4" s="22" t="inlineStr">
        <is>
          <t>Car Drifting Animation</t>
        </is>
      </c>
      <c r="E4" s="23" t="inlineStr">
        <is>
          <t>https://youtu.be/8CHXPfwOpLE</t>
        </is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5">
        <f>SUM(F4:O4)</f>
        <v/>
      </c>
      <c r="Q4" s="26">
        <f>IF(P4="","",IF(P4&gt;=85,"A",IF(P4&gt;=75,"AB",IF(P4&gt;=65,"B",IF(P4&gt;=55,"BC",IF(P4&gt;=45,"C",IF(P4&gt;=35,"D","E")))))))</f>
        <v/>
      </c>
      <c r="R4" s="8" t="inlineStr"/>
    </row>
    <row r="5" ht="18" customHeight="1">
      <c r="A5" s="21" t="n">
        <v>1</v>
      </c>
      <c r="B5" s="22" t="inlineStr">
        <is>
          <t>24060124130121</t>
        </is>
      </c>
      <c r="C5" s="22" t="inlineStr">
        <is>
          <t>Fazl Nizam Priyambodho</t>
        </is>
      </c>
      <c r="D5" s="22" t="inlineStr"/>
      <c r="E5" s="22" t="inlineStr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5">
        <f>SUM(F5:O5)</f>
        <v/>
      </c>
      <c r="Q5" s="26">
        <f>IF(P5="","",IF(P5&gt;=85,"A",IF(P5&gt;=75,"AB",IF(P5&gt;=65,"B",IF(P5&gt;=55,"BC",IF(P5&gt;=45,"C",IF(P5&gt;=35,"D","E")))))))</f>
        <v/>
      </c>
      <c r="R5" s="8" t="inlineStr"/>
    </row>
    <row r="6" ht="18" customHeight="1">
      <c r="A6" s="21" t="n">
        <v>1</v>
      </c>
      <c r="B6" s="22" t="inlineStr">
        <is>
          <t>24060124140140</t>
        </is>
      </c>
      <c r="C6" s="22" t="inlineStr">
        <is>
          <t>Muhammad Ibrahim Alghifari</t>
        </is>
      </c>
      <c r="D6" s="22" t="inlineStr"/>
      <c r="E6" s="22" t="inlineStr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>
        <f>SUM(F6:O6)</f>
        <v/>
      </c>
      <c r="Q6" s="26">
        <f>IF(P6="","",IF(P6&gt;=85,"A",IF(P6&gt;=75,"AB",IF(P6&gt;=65,"B",IF(P6&gt;=55,"BC",IF(P6&gt;=45,"C",IF(P6&gt;=35,"D","E")))))))</f>
        <v/>
      </c>
      <c r="R6" s="8" t="inlineStr"/>
    </row>
    <row r="7" ht="18" customHeight="1">
      <c r="A7" s="21" t="n">
        <v>1</v>
      </c>
      <c r="B7" s="22" t="inlineStr">
        <is>
          <t>24060124140179</t>
        </is>
      </c>
      <c r="C7" s="22" t="inlineStr">
        <is>
          <t>Adam Mulya Rasyid</t>
        </is>
      </c>
      <c r="D7" s="22" t="inlineStr"/>
      <c r="E7" s="22" t="inlineStr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5">
        <f>SUM(F7:O7)</f>
        <v/>
      </c>
      <c r="Q7" s="26">
        <f>IF(P7="","",IF(P7&gt;=85,"A",IF(P7&gt;=75,"AB",IF(P7&gt;=65,"B",IF(P7&gt;=55,"BC",IF(P7&gt;=45,"C",IF(P7&gt;=35,"D","E")))))))</f>
        <v/>
      </c>
      <c r="R7" s="8" t="inlineStr"/>
    </row>
    <row r="8" ht="18" customHeight="1">
      <c r="A8" s="27" t="n">
        <v>2</v>
      </c>
      <c r="B8" s="28" t="inlineStr">
        <is>
          <t>24060124130094</t>
        </is>
      </c>
      <c r="C8" s="28" t="inlineStr">
        <is>
          <t>Moses Morell Yosefan</t>
        </is>
      </c>
      <c r="D8" s="28" t="inlineStr">
        <is>
          <t>Furiosa Riding</t>
        </is>
      </c>
      <c r="E8" s="29" t="inlineStr">
        <is>
          <t>https://youtu.be/ke7Sop09qNc</t>
        </is>
      </c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25">
        <f>SUM(F8:O8)</f>
        <v/>
      </c>
      <c r="Q8" s="26">
        <f>IF(P8="","",IF(P8&gt;=85,"A",IF(P8&gt;=75,"AB",IF(P8&gt;=65,"B",IF(P8&gt;=55,"BC",IF(P8&gt;=45,"C",IF(P8&gt;=35,"D","E")))))))</f>
        <v/>
      </c>
      <c r="R8" s="5" t="inlineStr"/>
    </row>
    <row r="9" ht="18" customHeight="1">
      <c r="A9" s="27" t="n">
        <v>2</v>
      </c>
      <c r="B9" s="28" t="inlineStr">
        <is>
          <t>24060124120017</t>
        </is>
      </c>
      <c r="C9" s="28" t="inlineStr">
        <is>
          <t>Lintang Aulia Nuraini</t>
        </is>
      </c>
      <c r="D9" s="28" t="inlineStr"/>
      <c r="E9" s="28" t="inlineStr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25">
        <f>SUM(F9:O9)</f>
        <v/>
      </c>
      <c r="Q9" s="26">
        <f>IF(P9="","",IF(P9&gt;=85,"A",IF(P9&gt;=75,"AB",IF(P9&gt;=65,"B",IF(P9&gt;=55,"BC",IF(P9&gt;=45,"C",IF(P9&gt;=35,"D","E")))))))</f>
        <v/>
      </c>
      <c r="R9" s="5" t="inlineStr"/>
    </row>
    <row r="10" ht="18" customHeight="1">
      <c r="A10" s="27" t="n">
        <v>2</v>
      </c>
      <c r="B10" s="28" t="inlineStr">
        <is>
          <t>24060124120038</t>
        </is>
      </c>
      <c r="C10" s="28" t="inlineStr">
        <is>
          <t>Alyssa Shane Kurniawan</t>
        </is>
      </c>
      <c r="D10" s="28" t="inlineStr"/>
      <c r="E10" s="28" t="inlineStr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25">
        <f>SUM(F10:O10)</f>
        <v/>
      </c>
      <c r="Q10" s="26">
        <f>IF(P10="","",IF(P10&gt;=85,"A",IF(P10&gt;=75,"AB",IF(P10&gt;=65,"B",IF(P10&gt;=55,"BC",IF(P10&gt;=45,"C",IF(P10&gt;=35,"D","E")))))))</f>
        <v/>
      </c>
      <c r="R10" s="5" t="inlineStr"/>
    </row>
    <row r="11" ht="18" customHeight="1">
      <c r="A11" s="27" t="n">
        <v>2</v>
      </c>
      <c r="B11" s="28" t="inlineStr">
        <is>
          <t>24060124120050</t>
        </is>
      </c>
      <c r="C11" s="28" t="inlineStr">
        <is>
          <t>Olivia Oktaviani</t>
        </is>
      </c>
      <c r="D11" s="28" t="inlineStr"/>
      <c r="E11" s="28" t="inlineStr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25">
        <f>SUM(F11:O11)</f>
        <v/>
      </c>
      <c r="Q11" s="26">
        <f>IF(P11="","",IF(P11&gt;=85,"A",IF(P11&gt;=75,"AB",IF(P11&gt;=65,"B",IF(P11&gt;=55,"BC",IF(P11&gt;=45,"C",IF(P11&gt;=35,"D","E")))))))</f>
        <v/>
      </c>
      <c r="R11" s="5" t="inlineStr"/>
    </row>
    <row r="12" ht="18" customHeight="1">
      <c r="A12" s="21" t="n">
        <v>3</v>
      </c>
      <c r="B12" s="22" t="inlineStr">
        <is>
          <t>24060124140146</t>
        </is>
      </c>
      <c r="C12" s="22" t="inlineStr">
        <is>
          <t>Shafa Aqilla Zahira</t>
        </is>
      </c>
      <c r="D12" s="22" t="inlineStr">
        <is>
          <t>Look Around</t>
        </is>
      </c>
      <c r="E12" s="23" t="inlineStr">
        <is>
          <t>https://youtu.be/kPP7qwyveFU</t>
        </is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5">
        <f>SUM(F12:O12)</f>
        <v/>
      </c>
      <c r="Q12" s="26">
        <f>IF(P12="","",IF(P12&gt;=85,"A",IF(P12&gt;=75,"AB",IF(P12&gt;=65,"B",IF(P12&gt;=55,"BC",IF(P12&gt;=45,"C",IF(P12&gt;=35,"D","E")))))))</f>
        <v/>
      </c>
      <c r="R12" s="8" t="inlineStr"/>
    </row>
    <row r="13" ht="18" customHeight="1">
      <c r="A13" s="21" t="n">
        <v>3</v>
      </c>
      <c r="B13" s="22" t="inlineStr">
        <is>
          <t>24060124130071</t>
        </is>
      </c>
      <c r="C13" s="22" t="inlineStr">
        <is>
          <t>Rafi Anandra Dharmawan</t>
        </is>
      </c>
      <c r="D13" s="22" t="inlineStr"/>
      <c r="E13" s="22" t="inlineStr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5">
        <f>SUM(F13:O13)</f>
        <v/>
      </c>
      <c r="Q13" s="26">
        <f>IF(P13="","",IF(P13&gt;=85,"A",IF(P13&gt;=75,"AB",IF(P13&gt;=65,"B",IF(P13&gt;=55,"BC",IF(P13&gt;=45,"C",IF(P13&gt;=35,"D","E")))))))</f>
        <v/>
      </c>
      <c r="R13" s="8" t="inlineStr"/>
    </row>
    <row r="14" ht="18" customHeight="1">
      <c r="A14" s="21" t="n">
        <v>3</v>
      </c>
      <c r="B14" s="22" t="inlineStr">
        <is>
          <t>24060124130106</t>
        </is>
      </c>
      <c r="C14" s="22" t="inlineStr">
        <is>
          <t>Shofwan Fikrul Huda</t>
        </is>
      </c>
      <c r="D14" s="22" t="inlineStr"/>
      <c r="E14" s="22" t="inlineStr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5">
        <f>SUM(F14:O14)</f>
        <v/>
      </c>
      <c r="Q14" s="26">
        <f>IF(P14="","",IF(P14&gt;=85,"A",IF(P14&gt;=75,"AB",IF(P14&gt;=65,"B",IF(P14&gt;=55,"BC",IF(P14&gt;=45,"C",IF(P14&gt;=35,"D","E")))))))</f>
        <v/>
      </c>
      <c r="R14" s="8" t="inlineStr"/>
    </row>
    <row r="15" ht="18" customHeight="1">
      <c r="A15" s="27" t="n">
        <v>4</v>
      </c>
      <c r="B15" s="28" t="inlineStr">
        <is>
          <t>24060124120002</t>
        </is>
      </c>
      <c r="C15" s="28" t="inlineStr">
        <is>
          <t>Birela Miadeta Purita</t>
        </is>
      </c>
      <c r="D15" s="28" t="inlineStr">
        <is>
          <t>3D TilesRush</t>
        </is>
      </c>
      <c r="E15" s="29" t="inlineStr">
        <is>
          <t>https://youtu.be/w0AvKSJOdfg</t>
        </is>
      </c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25">
        <f>SUM(F15:O15)</f>
        <v/>
      </c>
      <c r="Q15" s="26">
        <f>IF(P15="","",IF(P15&gt;=85,"A",IF(P15&gt;=75,"AB",IF(P15&gt;=65,"B",IF(P15&gt;=55,"BC",IF(P15&gt;=45,"C",IF(P15&gt;=35,"D","E")))))))</f>
        <v/>
      </c>
      <c r="R15" s="5" t="inlineStr"/>
    </row>
    <row r="16" ht="18" customHeight="1">
      <c r="A16" s="27" t="n">
        <v>4</v>
      </c>
      <c r="B16" s="28" t="inlineStr">
        <is>
          <t>24060124120034</t>
        </is>
      </c>
      <c r="C16" s="28" t="inlineStr">
        <is>
          <t>Diah Maulida Pratiwi</t>
        </is>
      </c>
      <c r="D16" s="28" t="inlineStr"/>
      <c r="E16" s="28" t="inlineStr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25">
        <f>SUM(F16:O16)</f>
        <v/>
      </c>
      <c r="Q16" s="26">
        <f>IF(P16="","",IF(P16&gt;=85,"A",IF(P16&gt;=75,"AB",IF(P16&gt;=65,"B",IF(P16&gt;=55,"BC",IF(P16&gt;=45,"C",IF(P16&gt;=35,"D","E")))))))</f>
        <v/>
      </c>
      <c r="R16" s="5" t="inlineStr"/>
    </row>
    <row r="17" ht="18" customHeight="1">
      <c r="A17" s="27" t="n">
        <v>4</v>
      </c>
      <c r="B17" s="28" t="inlineStr">
        <is>
          <t>24060124130081</t>
        </is>
      </c>
      <c r="C17" s="28" t="inlineStr">
        <is>
          <t>Hana Nafi'atul Haq</t>
        </is>
      </c>
      <c r="D17" s="28" t="inlineStr"/>
      <c r="E17" s="28" t="inlineStr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25">
        <f>SUM(F17:O17)</f>
        <v/>
      </c>
      <c r="Q17" s="26">
        <f>IF(P17="","",IF(P17&gt;=85,"A",IF(P17&gt;=75,"AB",IF(P17&gt;=65,"B",IF(P17&gt;=55,"BC",IF(P17&gt;=45,"C",IF(P17&gt;=35,"D","E")))))))</f>
        <v/>
      </c>
      <c r="R17" s="5" t="inlineStr"/>
    </row>
    <row r="18" ht="18" customHeight="1">
      <c r="A18" s="27" t="n">
        <v>4</v>
      </c>
      <c r="B18" s="28" t="inlineStr">
        <is>
          <t>24060124140191</t>
        </is>
      </c>
      <c r="C18" s="28" t="inlineStr">
        <is>
          <t>Arga Yura Danendra</t>
        </is>
      </c>
      <c r="D18" s="28" t="inlineStr"/>
      <c r="E18" s="28" t="inlineStr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25">
        <f>SUM(F18:O18)</f>
        <v/>
      </c>
      <c r="Q18" s="26">
        <f>IF(P18="","",IF(P18&gt;=85,"A",IF(P18&gt;=75,"AB",IF(P18&gt;=65,"B",IF(P18&gt;=55,"BC",IF(P18&gt;=45,"C",IF(P18&gt;=35,"D","E")))))))</f>
        <v/>
      </c>
      <c r="R18" s="5" t="inlineStr"/>
    </row>
    <row r="19" ht="18" customHeight="1">
      <c r="A19" s="21" t="n">
        <v>5</v>
      </c>
      <c r="B19" s="22" t="inlineStr">
        <is>
          <t>24060124120044</t>
        </is>
      </c>
      <c r="C19" s="22" t="inlineStr">
        <is>
          <t>Jordan Tenggara</t>
        </is>
      </c>
      <c r="D19" s="22" t="inlineStr">
        <is>
          <t>Hamsterball Rolling Game</t>
        </is>
      </c>
      <c r="E19" s="23" t="inlineStr">
        <is>
          <t>https://youtu.be/X7-EdNZdfr8</t>
        </is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5">
        <f>SUM(F19:O19)</f>
        <v/>
      </c>
      <c r="Q19" s="26">
        <f>IF(P19="","",IF(P19&gt;=85,"A",IF(P19&gt;=75,"AB",IF(P19&gt;=65,"B",IF(P19&gt;=55,"BC",IF(P19&gt;=45,"C",IF(P19&gt;=35,"D","E")))))))</f>
        <v/>
      </c>
      <c r="R19" s="8" t="inlineStr"/>
    </row>
    <row r="20" ht="18" customHeight="1">
      <c r="A20" s="21" t="n">
        <v>5</v>
      </c>
      <c r="B20" s="22" t="inlineStr">
        <is>
          <t>24060124140157</t>
        </is>
      </c>
      <c r="C20" s="22" t="inlineStr">
        <is>
          <t>Reynaldi Bertinus Hutagaol</t>
        </is>
      </c>
      <c r="D20" s="22" t="inlineStr"/>
      <c r="E20" s="22" t="inlineStr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5">
        <f>SUM(F20:O20)</f>
        <v/>
      </c>
      <c r="Q20" s="26">
        <f>IF(P20="","",IF(P20&gt;=85,"A",IF(P20&gt;=75,"AB",IF(P20&gt;=65,"B",IF(P20&gt;=55,"BC",IF(P20&gt;=45,"C",IF(P20&gt;=35,"D","E")))))))</f>
        <v/>
      </c>
      <c r="R20" s="8" t="inlineStr"/>
    </row>
    <row r="21" ht="18" customHeight="1">
      <c r="A21" s="21" t="n">
        <v>5</v>
      </c>
      <c r="B21" s="22" t="inlineStr">
        <is>
          <t>24060124140193</t>
        </is>
      </c>
      <c r="C21" s="22" t="inlineStr">
        <is>
          <t>Mohammad Banyuputra Eka Pramuditha</t>
        </is>
      </c>
      <c r="D21" s="22" t="inlineStr"/>
      <c r="E21" s="22" t="inlineStr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5">
        <f>SUM(F21:O21)</f>
        <v/>
      </c>
      <c r="Q21" s="26">
        <f>IF(P21="","",IF(P21&gt;=85,"A",IF(P21&gt;=75,"AB",IF(P21&gt;=65,"B",IF(P21&gt;=55,"BC",IF(P21&gt;=45,"C",IF(P21&gt;=35,"D","E")))))))</f>
        <v/>
      </c>
      <c r="R21" s="8" t="inlineStr"/>
    </row>
    <row r="22" ht="18" customHeight="1">
      <c r="A22" s="21" t="n">
        <v>5</v>
      </c>
      <c r="B22" s="22" t="inlineStr">
        <is>
          <t>24060124140128</t>
        </is>
      </c>
      <c r="C22" s="22" t="inlineStr">
        <is>
          <t>Ida Bagus Ngurah Yudistira Kemenuh</t>
        </is>
      </c>
      <c r="D22" s="22" t="inlineStr"/>
      <c r="E22" s="22" t="inlineStr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5">
        <f>SUM(F22:O22)</f>
        <v/>
      </c>
      <c r="Q22" s="26">
        <f>IF(P22="","",IF(P22&gt;=85,"A",IF(P22&gt;=75,"AB",IF(P22&gt;=65,"B",IF(P22&gt;=55,"BC",IF(P22&gt;=45,"C",IF(P22&gt;=35,"D","E")))))))</f>
        <v/>
      </c>
      <c r="R22" s="8" t="inlineStr"/>
    </row>
    <row r="23" ht="18" customHeight="1">
      <c r="A23" s="27" t="n">
        <v>6</v>
      </c>
      <c r="B23" s="28" t="inlineStr">
        <is>
          <t>24060124120043</t>
        </is>
      </c>
      <c r="C23" s="28" t="inlineStr">
        <is>
          <t>Syifa Aeni Mudrikah</t>
        </is>
      </c>
      <c r="D23" s="28" t="inlineStr">
        <is>
          <t>Love Simulator Game</t>
        </is>
      </c>
      <c r="E23" s="29" t="inlineStr">
        <is>
          <t>https://youtu.be/OxwGDezCivo</t>
        </is>
      </c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25">
        <f>SUM(F23:O23)</f>
        <v/>
      </c>
      <c r="Q23" s="26">
        <f>IF(P23="","",IF(P23&gt;=85,"A",IF(P23&gt;=75,"AB",IF(P23&gt;=65,"B",IF(P23&gt;=55,"BC",IF(P23&gt;=45,"C",IF(P23&gt;=35,"D","E")))))))</f>
        <v/>
      </c>
      <c r="R23" s="5" t="inlineStr"/>
    </row>
    <row r="24" ht="18" customHeight="1">
      <c r="A24" s="27" t="n">
        <v>6</v>
      </c>
      <c r="B24" s="28" t="inlineStr">
        <is>
          <t>24060124130101</t>
        </is>
      </c>
      <c r="C24" s="28" t="inlineStr">
        <is>
          <t>Galang Bintang Ramadhan</t>
        </is>
      </c>
      <c r="D24" s="28" t="inlineStr"/>
      <c r="E24" s="28" t="inlineStr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25">
        <f>SUM(F24:O24)</f>
        <v/>
      </c>
      <c r="Q24" s="26">
        <f>IF(P24="","",IF(P24&gt;=85,"A",IF(P24&gt;=75,"AB",IF(P24&gt;=65,"B",IF(P24&gt;=55,"BC",IF(P24&gt;=45,"C",IF(P24&gt;=35,"D","E")))))))</f>
        <v/>
      </c>
      <c r="R24" s="5" t="inlineStr"/>
    </row>
    <row r="25" ht="18" customHeight="1">
      <c r="A25" s="27" t="n">
        <v>6</v>
      </c>
      <c r="B25" s="28" t="inlineStr">
        <is>
          <t>24060124140132</t>
        </is>
      </c>
      <c r="C25" s="28" t="inlineStr">
        <is>
          <t>Puti Shasta Khafiyani</t>
        </is>
      </c>
      <c r="D25" s="28" t="inlineStr"/>
      <c r="E25" s="28" t="inlineStr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25">
        <f>SUM(F25:O25)</f>
        <v/>
      </c>
      <c r="Q25" s="26">
        <f>IF(P25="","",IF(P25&gt;=85,"A",IF(P25&gt;=75,"AB",IF(P25&gt;=65,"B",IF(P25&gt;=55,"BC",IF(P25&gt;=45,"C",IF(P25&gt;=35,"D","E")))))))</f>
        <v/>
      </c>
      <c r="R25" s="5" t="inlineStr"/>
    </row>
    <row r="26" ht="18" customHeight="1">
      <c r="A26" s="27" t="n">
        <v>6</v>
      </c>
      <c r="B26" s="28" t="inlineStr">
        <is>
          <t>24060124140155</t>
        </is>
      </c>
      <c r="C26" s="28" t="inlineStr">
        <is>
          <t>Revalina Salwa Aliya Wicaksono Prabowo</t>
        </is>
      </c>
      <c r="D26" s="28" t="inlineStr"/>
      <c r="E26" s="28" t="inlineStr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25">
        <f>SUM(F26:O26)</f>
        <v/>
      </c>
      <c r="Q26" s="26">
        <f>IF(P26="","",IF(P26&gt;=85,"A",IF(P26&gt;=75,"AB",IF(P26&gt;=65,"B",IF(P26&gt;=55,"BC",IF(P26&gt;=45,"C",IF(P26&gt;=35,"D","E")))))))</f>
        <v/>
      </c>
      <c r="R26" s="5" t="inlineStr"/>
    </row>
    <row r="27" ht="18" customHeight="1">
      <c r="A27" s="21" t="n">
        <v>7</v>
      </c>
      <c r="B27" s="22" t="inlineStr">
        <is>
          <t>24060122130091</t>
        </is>
      </c>
      <c r="C27" s="22" t="inlineStr">
        <is>
          <t>Ananda Bagus Tri Utomo</t>
        </is>
      </c>
      <c r="D27" s="22" t="inlineStr">
        <is>
          <t>Truck Simulator</t>
        </is>
      </c>
      <c r="E27" s="23" t="inlineStr">
        <is>
          <t>https://youtu.be/rWW6hoEYtHc</t>
        </is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5">
        <f>SUM(F27:O27)</f>
        <v/>
      </c>
      <c r="Q27" s="26">
        <f>IF(P27="","",IF(P27&gt;=85,"A",IF(P27&gt;=75,"AB",IF(P27&gt;=65,"B",IF(P27&gt;=55,"BC",IF(P27&gt;=45,"C",IF(P27&gt;=35,"D","E")))))))</f>
        <v/>
      </c>
      <c r="R27" s="8" t="inlineStr"/>
    </row>
    <row r="28" ht="18" customHeight="1">
      <c r="A28" s="21" t="n">
        <v>7</v>
      </c>
      <c r="B28" s="22" t="inlineStr">
        <is>
          <t>24060122140141</t>
        </is>
      </c>
      <c r="C28" s="22" t="inlineStr">
        <is>
          <t>Muhamad Hafidz Zulfikar</t>
        </is>
      </c>
      <c r="D28" s="22" t="inlineStr"/>
      <c r="E28" s="22" t="inlineStr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>
        <f>SUM(F28:O28)</f>
        <v/>
      </c>
      <c r="Q28" s="26">
        <f>IF(P28="","",IF(P28&gt;=85,"A",IF(P28&gt;=75,"AB",IF(P28&gt;=65,"B",IF(P28&gt;=55,"BC",IF(P28&gt;=45,"C",IF(P28&gt;=35,"D","E")))))))</f>
        <v/>
      </c>
      <c r="R28" s="8" t="inlineStr"/>
    </row>
    <row r="29" ht="18" customHeight="1">
      <c r="A29" s="21" t="n">
        <v>7</v>
      </c>
      <c r="B29" s="22" t="inlineStr">
        <is>
          <t>24060122140147</t>
        </is>
      </c>
      <c r="C29" s="22" t="inlineStr">
        <is>
          <t>Nabil Razaki Herman</t>
        </is>
      </c>
      <c r="D29" s="22" t="inlineStr"/>
      <c r="E29" s="22" t="inlineStr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5">
        <f>SUM(F29:O29)</f>
        <v/>
      </c>
      <c r="Q29" s="26">
        <f>IF(P29="","",IF(P29&gt;=85,"A",IF(P29&gt;=75,"AB",IF(P29&gt;=65,"B",IF(P29&gt;=55,"BC",IF(P29&gt;=45,"C",IF(P29&gt;=35,"D","E")))))))</f>
        <v/>
      </c>
      <c r="R29" s="8" t="inlineStr"/>
    </row>
    <row r="30" ht="18" customHeight="1">
      <c r="A30" s="21" t="n">
        <v>7</v>
      </c>
      <c r="B30" s="22" t="inlineStr">
        <is>
          <t>24060122140122</t>
        </is>
      </c>
      <c r="C30" s="22" t="inlineStr">
        <is>
          <t>Rafi Deandra</t>
        </is>
      </c>
      <c r="D30" s="22" t="inlineStr"/>
      <c r="E30" s="22" t="inlineStr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5">
        <f>SUM(F30:O30)</f>
        <v/>
      </c>
      <c r="Q30" s="26">
        <f>IF(P30="","",IF(P30&gt;=85,"A",IF(P30&gt;=75,"AB",IF(P30&gt;=65,"B",IF(P30&gt;=55,"BC",IF(P30&gt;=45,"C",IF(P30&gt;=35,"D","E")))))))</f>
        <v/>
      </c>
      <c r="R30" s="8" t="inlineStr"/>
    </row>
    <row r="31" ht="18" customHeight="1">
      <c r="A31" s="27" t="n">
        <v>8</v>
      </c>
      <c r="B31" s="28" t="inlineStr">
        <is>
          <t>24060124130085</t>
        </is>
      </c>
      <c r="C31" s="28" t="inlineStr">
        <is>
          <t>Raffa Putra Nugroho</t>
        </is>
      </c>
      <c r="D31" s="28" t="inlineStr">
        <is>
          <t>3D Train Simulator</t>
        </is>
      </c>
      <c r="E31" s="29" t="inlineStr">
        <is>
          <t>https://youtu.be/EqYGuwdQ4b8</t>
        </is>
      </c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25">
        <f>SUM(F31:O31)</f>
        <v/>
      </c>
      <c r="Q31" s="26">
        <f>IF(P31="","",IF(P31&gt;=85,"A",IF(P31&gt;=75,"AB",IF(P31&gt;=65,"B",IF(P31&gt;=55,"BC",IF(P31&gt;=45,"C",IF(P31&gt;=35,"D","E")))))))</f>
        <v/>
      </c>
      <c r="R31" s="5" t="inlineStr"/>
    </row>
    <row r="32" ht="18" customHeight="1">
      <c r="A32" s="27" t="n">
        <v>8</v>
      </c>
      <c r="B32" s="28" t="inlineStr">
        <is>
          <t>24060124130077</t>
        </is>
      </c>
      <c r="C32" s="28" t="inlineStr">
        <is>
          <t>Laurensius Brian Prayoga</t>
        </is>
      </c>
      <c r="D32" s="28" t="inlineStr"/>
      <c r="E32" s="28" t="inlineStr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25">
        <f>SUM(F32:O32)</f>
        <v/>
      </c>
      <c r="Q32" s="26">
        <f>IF(P32="","",IF(P32&gt;=85,"A",IF(P32&gt;=75,"AB",IF(P32&gt;=65,"B",IF(P32&gt;=55,"BC",IF(P32&gt;=45,"C",IF(P32&gt;=35,"D","E")))))))</f>
        <v/>
      </c>
      <c r="R32" s="5" t="inlineStr"/>
    </row>
    <row r="33" ht="18" customHeight="1">
      <c r="A33" s="27" t="n">
        <v>8</v>
      </c>
      <c r="B33" s="28" t="inlineStr">
        <is>
          <t>24060124140153</t>
        </is>
      </c>
      <c r="C33" s="28" t="inlineStr">
        <is>
          <t>Iza Yunus Andhika</t>
        </is>
      </c>
      <c r="D33" s="28" t="inlineStr"/>
      <c r="E33" s="28" t="inlineStr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25">
        <f>SUM(F33:O33)</f>
        <v/>
      </c>
      <c r="Q33" s="26">
        <f>IF(P33="","",IF(P33&gt;=85,"A",IF(P33&gt;=75,"AB",IF(P33&gt;=65,"B",IF(P33&gt;=55,"BC",IF(P33&gt;=45,"C",IF(P33&gt;=35,"D","E")))))))</f>
        <v/>
      </c>
      <c r="R33" s="5" t="inlineStr"/>
    </row>
    <row r="34" ht="18" customHeight="1">
      <c r="A34" s="21" t="n">
        <v>9</v>
      </c>
      <c r="B34" s="22" t="inlineStr">
        <is>
          <t>24060124120041</t>
        </is>
      </c>
      <c r="C34" s="22" t="inlineStr">
        <is>
          <t>Nawaal Hanif Mumtaz Arriye</t>
        </is>
      </c>
      <c r="D34" s="22" t="inlineStr">
        <is>
          <t>EZ Flappy Bird Game</t>
        </is>
      </c>
      <c r="E34" s="23" t="inlineStr">
        <is>
          <t>https://youtu.be/rOyCfo1IjeY</t>
        </is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5">
        <f>SUM(F34:O34)</f>
        <v/>
      </c>
      <c r="Q34" s="26">
        <f>IF(P34="","",IF(P34&gt;=85,"A",IF(P34&gt;=75,"AB",IF(P34&gt;=65,"B",IF(P34&gt;=55,"BC",IF(P34&gt;=45,"C",IF(P34&gt;=35,"D","E")))))))</f>
        <v/>
      </c>
      <c r="R34" s="8" t="inlineStr"/>
    </row>
    <row r="35" ht="18" customHeight="1">
      <c r="A35" s="21" t="n">
        <v>9</v>
      </c>
      <c r="B35" s="22" t="inlineStr">
        <is>
          <t>24060124140162</t>
        </is>
      </c>
      <c r="C35" s="22" t="inlineStr">
        <is>
          <t>Galvin Shalahudin Mumtaz</t>
        </is>
      </c>
      <c r="D35" s="22" t="inlineStr"/>
      <c r="E35" s="22" t="inlineStr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5">
        <f>SUM(F35:O35)</f>
        <v/>
      </c>
      <c r="Q35" s="26">
        <f>IF(P35="","",IF(P35&gt;=85,"A",IF(P35&gt;=75,"AB",IF(P35&gt;=65,"B",IF(P35&gt;=55,"BC",IF(P35&gt;=45,"C",IF(P35&gt;=35,"D","E")))))))</f>
        <v/>
      </c>
      <c r="R35" s="8" t="inlineStr"/>
    </row>
    <row r="36" ht="18" customHeight="1">
      <c r="A36" s="21" t="n">
        <v>9</v>
      </c>
      <c r="B36" s="22" t="inlineStr">
        <is>
          <t>24060124120001</t>
        </is>
      </c>
      <c r="C36" s="22" t="inlineStr">
        <is>
          <t>Rizky Saefirdaus</t>
        </is>
      </c>
      <c r="D36" s="22" t="inlineStr"/>
      <c r="E36" s="22" t="inlineStr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>
        <f>SUM(F36:O36)</f>
        <v/>
      </c>
      <c r="Q36" s="26">
        <f>IF(P36="","",IF(P36&gt;=85,"A",IF(P36&gt;=75,"AB",IF(P36&gt;=65,"B",IF(P36&gt;=55,"BC",IF(P36&gt;=45,"C",IF(P36&gt;=35,"D","E")))))))</f>
        <v/>
      </c>
      <c r="R36" s="8" t="inlineStr"/>
    </row>
    <row r="37" ht="18" customHeight="1">
      <c r="A37" s="21" t="n">
        <v>9</v>
      </c>
      <c r="B37" s="22" t="inlineStr">
        <is>
          <t>24060124120027</t>
        </is>
      </c>
      <c r="C37" s="22" t="inlineStr">
        <is>
          <t>Muhammad Nauval Fadli</t>
        </is>
      </c>
      <c r="D37" s="22" t="inlineStr"/>
      <c r="E37" s="22" t="inlineStr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5">
        <f>SUM(F37:O37)</f>
        <v/>
      </c>
      <c r="Q37" s="26">
        <f>IF(P37="","",IF(P37&gt;=85,"A",IF(P37&gt;=75,"AB",IF(P37&gt;=65,"B",IF(P37&gt;=55,"BC",IF(P37&gt;=45,"C",IF(P37&gt;=35,"D","E")))))))</f>
        <v/>
      </c>
      <c r="R37" s="8" t="inlineStr"/>
    </row>
    <row r="38" ht="18" customHeight="1">
      <c r="A38" s="27" t="n">
        <v>10</v>
      </c>
      <c r="B38" s="28" t="inlineStr">
        <is>
          <t>24060124140152</t>
        </is>
      </c>
      <c r="C38" s="28" t="inlineStr">
        <is>
          <t>Adhyaksa Margandatua Banjar Nahor</t>
        </is>
      </c>
      <c r="D38" s="28" t="inlineStr">
        <is>
          <t>Quiz Maze Escape Game</t>
        </is>
      </c>
      <c r="E38" s="29" t="inlineStr">
        <is>
          <t>https://youtu.be/VV_jRwETrEY</t>
        </is>
      </c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25">
        <f>SUM(F38:O38)</f>
        <v/>
      </c>
      <c r="Q38" s="26">
        <f>IF(P38="","",IF(P38&gt;=85,"A",IF(P38&gt;=75,"AB",IF(P38&gt;=65,"B",IF(P38&gt;=55,"BC",IF(P38&gt;=45,"C",IF(P38&gt;=35,"D","E")))))))</f>
        <v/>
      </c>
      <c r="R38" s="5" t="inlineStr"/>
    </row>
    <row r="39" ht="18" customHeight="1">
      <c r="A39" s="27" t="n">
        <v>10</v>
      </c>
      <c r="B39" s="28" t="inlineStr">
        <is>
          <t>24060124140178</t>
        </is>
      </c>
      <c r="C39" s="28" t="inlineStr">
        <is>
          <t>Raaihan Lazuardi</t>
        </is>
      </c>
      <c r="D39" s="28" t="inlineStr"/>
      <c r="E39" s="28" t="inlineStr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25">
        <f>SUM(F39:O39)</f>
        <v/>
      </c>
      <c r="Q39" s="26">
        <f>IF(P39="","",IF(P39&gt;=85,"A",IF(P39&gt;=75,"AB",IF(P39&gt;=65,"B",IF(P39&gt;=55,"BC",IF(P39&gt;=45,"C",IF(P39&gt;=35,"D","E")))))))</f>
        <v/>
      </c>
      <c r="R39" s="5" t="inlineStr"/>
    </row>
    <row r="40" ht="18" customHeight="1">
      <c r="A40" s="27" t="n">
        <v>10</v>
      </c>
      <c r="B40" s="28" t="inlineStr">
        <is>
          <t>24060124140185</t>
        </is>
      </c>
      <c r="C40" s="28" t="inlineStr">
        <is>
          <t>Farhan Muhtarram</t>
        </is>
      </c>
      <c r="D40" s="28" t="inlineStr"/>
      <c r="E40" s="28" t="inlineStr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25">
        <f>SUM(F40:O40)</f>
        <v/>
      </c>
      <c r="Q40" s="26">
        <f>IF(P40="","",IF(P40&gt;=85,"A",IF(P40&gt;=75,"AB",IF(P40&gt;=65,"B",IF(P40&gt;=55,"BC",IF(P40&gt;=45,"C",IF(P40&gt;=35,"D","E")))))))</f>
        <v/>
      </c>
      <c r="R40" s="5" t="inlineStr"/>
    </row>
    <row r="41" ht="18" customHeight="1">
      <c r="A41" s="27" t="n">
        <v>10</v>
      </c>
      <c r="B41" s="28" t="inlineStr">
        <is>
          <t>24060124120025</t>
        </is>
      </c>
      <c r="C41" s="28" t="inlineStr">
        <is>
          <t>Ganendra Satya Sindhunata</t>
        </is>
      </c>
      <c r="D41" s="28" t="inlineStr"/>
      <c r="E41" s="28" t="inlineStr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25">
        <f>SUM(F41:O41)</f>
        <v/>
      </c>
      <c r="Q41" s="26">
        <f>IF(P41="","",IF(P41&gt;=85,"A",IF(P41&gt;=75,"AB",IF(P41&gt;=65,"B",IF(P41&gt;=55,"BC",IF(P41&gt;=45,"C",IF(P41&gt;=35,"D","E")))))))</f>
        <v/>
      </c>
      <c r="R41" s="5" t="inlineStr"/>
    </row>
    <row r="42" ht="18" customHeight="1">
      <c r="A42" s="21" t="n">
        <v>11</v>
      </c>
      <c r="B42" s="22" t="inlineStr">
        <is>
          <t>24060124140187</t>
        </is>
      </c>
      <c r="C42" s="22" t="inlineStr">
        <is>
          <t>Michael Stevano</t>
        </is>
      </c>
      <c r="D42" s="22" t="inlineStr">
        <is>
          <t>Tower Stacker Game</t>
        </is>
      </c>
      <c r="E42" s="23" t="inlineStr">
        <is>
          <t>https://youtu.be/Q-S8BUXXiSE</t>
        </is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5">
        <f>SUM(F42:O42)</f>
        <v/>
      </c>
      <c r="Q42" s="26">
        <f>IF(P42="","",IF(P42&gt;=85,"A",IF(P42&gt;=75,"AB",IF(P42&gt;=65,"B",IF(P42&gt;=55,"BC",IF(P42&gt;=45,"C",IF(P42&gt;=35,"D","E")))))))</f>
        <v/>
      </c>
      <c r="R42" s="8" t="inlineStr"/>
    </row>
    <row r="44">
      <c r="A44" s="31" t="inlineStr">
        <is>
          <t>SKALA NILAI: A ≥ 85 | AB 75–84 | B 65–74 | BC 55–64 | C 45–54 | D 35–44 | E &lt; 35</t>
        </is>
      </c>
    </row>
  </sheetData>
  <mergeCells count="2">
    <mergeCell ref="A44:E44"/>
    <mergeCell ref="A1:R1"/>
  </mergeCells>
  <hyperlinks>
    <hyperlink xmlns:r="http://schemas.openxmlformats.org/officeDocument/2006/relationships" ref="E4" r:id="rId1"/>
    <hyperlink xmlns:r="http://schemas.openxmlformats.org/officeDocument/2006/relationships" ref="E8" r:id="rId2"/>
    <hyperlink xmlns:r="http://schemas.openxmlformats.org/officeDocument/2006/relationships" ref="E12" r:id="rId3"/>
    <hyperlink xmlns:r="http://schemas.openxmlformats.org/officeDocument/2006/relationships" ref="E15" r:id="rId4"/>
    <hyperlink xmlns:r="http://schemas.openxmlformats.org/officeDocument/2006/relationships" ref="E19" r:id="rId5"/>
    <hyperlink xmlns:r="http://schemas.openxmlformats.org/officeDocument/2006/relationships" ref="E23" r:id="rId6"/>
    <hyperlink xmlns:r="http://schemas.openxmlformats.org/officeDocument/2006/relationships" ref="E27" r:id="rId7"/>
    <hyperlink xmlns:r="http://schemas.openxmlformats.org/officeDocument/2006/relationships" ref="E31" r:id="rId8"/>
    <hyperlink xmlns:r="http://schemas.openxmlformats.org/officeDocument/2006/relationships" ref="E34" r:id="rId9"/>
    <hyperlink xmlns:r="http://schemas.openxmlformats.org/officeDocument/2006/relationships" ref="E38" r:id="rId10"/>
    <hyperlink xmlns:r="http://schemas.openxmlformats.org/officeDocument/2006/relationships" ref="E4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2" customWidth="1" min="4" max="4"/>
    <col width="4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30" customWidth="1" min="18" max="18"/>
  </cols>
  <sheetData>
    <row r="1" ht="22" customHeight="1">
      <c r="A1" s="1" t="inlineStr">
        <is>
          <t>PENILAIAN TUGAS BESAR GTI C — SEMESTER GENAP 2025/2026</t>
        </is>
      </c>
    </row>
    <row r="2" ht="52" customHeight="1">
      <c r="A2" s="11" t="inlineStr">
        <is>
          <t>No. Kelompok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 Video BTS
(max 20)</t>
        </is>
      </c>
      <c r="G2" s="12" t="inlineStr">
        <is>
          <t>Representasi
Objek 3D
(max 10)</t>
        </is>
      </c>
      <c r="H2" s="12" t="inlineStr">
        <is>
          <t>Proyeksi
Orthographic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Karakteristik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</t>
        </is>
      </c>
    </row>
    <row r="3" ht="30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/>
      <c r="Q3" s="15" t="inlineStr"/>
      <c r="R3" s="15" t="inlineStr"/>
    </row>
    <row r="4" ht="18" customHeight="1">
      <c r="A4" s="16" t="n">
        <v>1</v>
      </c>
      <c r="B4" s="17" t="inlineStr">
        <is>
          <t>-</t>
        </is>
      </c>
      <c r="C4" s="17" t="inlineStr">
        <is>
          <t>-</t>
        </is>
      </c>
      <c r="D4" s="17" t="inlineStr">
        <is>
          <t>-</t>
        </is>
      </c>
      <c r="E4" s="17" t="inlineStr">
        <is>
          <t>-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9" t="n"/>
      <c r="Q4" s="19" t="n"/>
      <c r="R4" s="20" t="inlineStr">
        <is>
          <t>Belum mengumpulkan / data tidak tersedia</t>
        </is>
      </c>
    </row>
    <row r="5" ht="18" customHeight="1">
      <c r="A5" s="16" t="n">
        <v>2</v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9" t="n"/>
      <c r="Q5" s="19" t="n"/>
      <c r="R5" s="20" t="inlineStr">
        <is>
          <t>Belum mengumpulkan / data tidak tersedia</t>
        </is>
      </c>
    </row>
    <row r="6" ht="18" customHeight="1">
      <c r="A6" s="21" t="n">
        <v>3</v>
      </c>
      <c r="B6" s="22" t="inlineStr">
        <is>
          <t>24060124120024</t>
        </is>
      </c>
      <c r="C6" s="22" t="inlineStr">
        <is>
          <t>Ruth Septriana Sipangkar</t>
        </is>
      </c>
      <c r="D6" s="22" t="inlineStr">
        <is>
          <t>-</t>
        </is>
      </c>
      <c r="E6" s="23" t="inlineStr">
        <is>
          <t>https://youtu.be/3wSXNM-3HzA</t>
        </is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>
        <f>SUM(F6:O6)</f>
        <v/>
      </c>
      <c r="Q6" s="26">
        <f>IF(P6="","",IF(P6&gt;=85,"A",IF(P6&gt;=75,"AB",IF(P6&gt;=65,"B",IF(P6&gt;=55,"BC",IF(P6&gt;=45,"C",IF(P6&gt;=35,"D","E")))))))</f>
        <v/>
      </c>
      <c r="R6" s="8" t="inlineStr"/>
    </row>
    <row r="7" ht="18" customHeight="1">
      <c r="A7" s="21" t="n">
        <v>3</v>
      </c>
      <c r="B7" s="22" t="inlineStr">
        <is>
          <t>24060124130082</t>
        </is>
      </c>
      <c r="C7" s="22" t="inlineStr">
        <is>
          <t>Sarifa Nuha Ardanti Jusmar</t>
        </is>
      </c>
      <c r="D7" s="22" t="inlineStr">
        <is>
          <t>-</t>
        </is>
      </c>
      <c r="E7" s="22" t="inlineStr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5">
        <f>SUM(F7:O7)</f>
        <v/>
      </c>
      <c r="Q7" s="26">
        <f>IF(P7="","",IF(P7&gt;=85,"A",IF(P7&gt;=75,"AB",IF(P7&gt;=65,"B",IF(P7&gt;=55,"BC",IF(P7&gt;=45,"C",IF(P7&gt;=35,"D","E")))))))</f>
        <v/>
      </c>
      <c r="R7" s="8" t="inlineStr"/>
    </row>
    <row r="8" ht="18" customHeight="1">
      <c r="A8" s="21" t="n">
        <v>3</v>
      </c>
      <c r="B8" s="22" t="inlineStr">
        <is>
          <t>24060124130088</t>
        </is>
      </c>
      <c r="C8" s="22" t="inlineStr">
        <is>
          <t>Syafira Azka Ramadhani</t>
        </is>
      </c>
      <c r="D8" s="22" t="inlineStr">
        <is>
          <t>-</t>
        </is>
      </c>
      <c r="E8" s="22" t="inlineStr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5">
        <f>SUM(F8:O8)</f>
        <v/>
      </c>
      <c r="Q8" s="26">
        <f>IF(P8="","",IF(P8&gt;=85,"A",IF(P8&gt;=75,"AB",IF(P8&gt;=65,"B",IF(P8&gt;=55,"BC",IF(P8&gt;=45,"C",IF(P8&gt;=35,"D","E")))))))</f>
        <v/>
      </c>
      <c r="R8" s="8" t="inlineStr"/>
    </row>
    <row r="9" ht="18" customHeight="1">
      <c r="A9" s="21" t="n">
        <v>3</v>
      </c>
      <c r="B9" s="22" t="inlineStr">
        <is>
          <t>24060124130116</t>
        </is>
      </c>
      <c r="C9" s="22" t="inlineStr">
        <is>
          <t>Yasmina Syahidah</t>
        </is>
      </c>
      <c r="D9" s="22" t="inlineStr">
        <is>
          <t>-</t>
        </is>
      </c>
      <c r="E9" s="22" t="inlineStr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5">
        <f>SUM(F9:O9)</f>
        <v/>
      </c>
      <c r="Q9" s="26">
        <f>IF(P9="","",IF(P9&gt;=85,"A",IF(P9&gt;=75,"AB",IF(P9&gt;=65,"B",IF(P9&gt;=55,"BC",IF(P9&gt;=45,"C",IF(P9&gt;=35,"D","E")))))))</f>
        <v/>
      </c>
      <c r="R9" s="8" t="inlineStr"/>
    </row>
    <row r="10" ht="18" customHeight="1">
      <c r="A10" s="27" t="n">
        <v>4</v>
      </c>
      <c r="B10" s="28" t="inlineStr">
        <is>
          <t>24060124130063</t>
        </is>
      </c>
      <c r="C10" s="28" t="inlineStr">
        <is>
          <t>Akbar Mukti Wibowo</t>
        </is>
      </c>
      <c r="D10" s="28" t="inlineStr">
        <is>
          <t>-</t>
        </is>
      </c>
      <c r="E10" s="29" t="inlineStr">
        <is>
          <t>https://youtu.be/dBWuYekfPr0</t>
        </is>
      </c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25">
        <f>SUM(F10:O10)</f>
        <v/>
      </c>
      <c r="Q10" s="26">
        <f>IF(P10="","",IF(P10&gt;=85,"A",IF(P10&gt;=75,"AB",IF(P10&gt;=65,"B",IF(P10&gt;=55,"BC",IF(P10&gt;=45,"C",IF(P10&gt;=35,"D","E")))))))</f>
        <v/>
      </c>
      <c r="R10" s="5" t="inlineStr"/>
    </row>
    <row r="11" ht="18" customHeight="1">
      <c r="A11" s="27" t="n">
        <v>4</v>
      </c>
      <c r="B11" s="28" t="inlineStr">
        <is>
          <t>24060124130083</t>
        </is>
      </c>
      <c r="C11" s="28" t="inlineStr">
        <is>
          <t>Maulana Ghazzam Adil Al Faiq</t>
        </is>
      </c>
      <c r="D11" s="28" t="inlineStr">
        <is>
          <t>-</t>
        </is>
      </c>
      <c r="E11" s="28" t="inlineStr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25">
        <f>SUM(F11:O11)</f>
        <v/>
      </c>
      <c r="Q11" s="26">
        <f>IF(P11="","",IF(P11&gt;=85,"A",IF(P11&gt;=75,"AB",IF(P11&gt;=65,"B",IF(P11&gt;=55,"BC",IF(P11&gt;=45,"C",IF(P11&gt;=35,"D","E")))))))</f>
        <v/>
      </c>
      <c r="R11" s="5" t="inlineStr"/>
    </row>
    <row r="12" ht="18" customHeight="1">
      <c r="A12" s="27" t="n">
        <v>4</v>
      </c>
      <c r="B12" s="28" t="inlineStr">
        <is>
          <t>24060124130096</t>
        </is>
      </c>
      <c r="C12" s="28" t="inlineStr">
        <is>
          <t>Muhammad Izzat Fauzan Putra Arya</t>
        </is>
      </c>
      <c r="D12" s="28" t="inlineStr">
        <is>
          <t>-</t>
        </is>
      </c>
      <c r="E12" s="28" t="inlineStr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25">
        <f>SUM(F12:O12)</f>
        <v/>
      </c>
      <c r="Q12" s="26">
        <f>IF(P12="","",IF(P12&gt;=85,"A",IF(P12&gt;=75,"AB",IF(P12&gt;=65,"B",IF(P12&gt;=55,"BC",IF(P12&gt;=45,"C",IF(P12&gt;=35,"D","E")))))))</f>
        <v/>
      </c>
      <c r="R12" s="5" t="inlineStr"/>
    </row>
    <row r="13" ht="18" customHeight="1">
      <c r="A13" s="27" t="n">
        <v>4</v>
      </c>
      <c r="B13" s="28" t="inlineStr">
        <is>
          <t>24060124130117</t>
        </is>
      </c>
      <c r="C13" s="28" t="inlineStr">
        <is>
          <t>Muhammad Rofad Hamdani</t>
        </is>
      </c>
      <c r="D13" s="28" t="inlineStr">
        <is>
          <t>-</t>
        </is>
      </c>
      <c r="E13" s="28" t="inlineStr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25">
        <f>SUM(F13:O13)</f>
        <v/>
      </c>
      <c r="Q13" s="26">
        <f>IF(P13="","",IF(P13&gt;=85,"A",IF(P13&gt;=75,"AB",IF(P13&gt;=65,"B",IF(P13&gt;=55,"BC",IF(P13&gt;=45,"C",IF(P13&gt;=35,"D","E")))))))</f>
        <v/>
      </c>
      <c r="R13" s="5" t="inlineStr"/>
    </row>
    <row r="14" ht="18" customHeight="1">
      <c r="A14" s="21" t="n">
        <v>5</v>
      </c>
      <c r="B14" s="22" t="inlineStr">
        <is>
          <t>24060124130110</t>
        </is>
      </c>
      <c r="C14" s="22" t="inlineStr">
        <is>
          <t>Annis Fakhiroh Akbar</t>
        </is>
      </c>
      <c r="D14" s="22" t="inlineStr">
        <is>
          <t>-</t>
        </is>
      </c>
      <c r="E14" s="23" t="inlineStr">
        <is>
          <t>https://youtu.be/_HqhHM9IX80</t>
        </is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5">
        <f>SUM(F14:O14)</f>
        <v/>
      </c>
      <c r="Q14" s="26">
        <f>IF(P14="","",IF(P14&gt;=85,"A",IF(P14&gt;=75,"AB",IF(P14&gt;=65,"B",IF(P14&gt;=55,"BC",IF(P14&gt;=45,"C",IF(P14&gt;=35,"D","E")))))))</f>
        <v/>
      </c>
      <c r="R14" s="8" t="inlineStr"/>
    </row>
    <row r="15" ht="18" customHeight="1">
      <c r="A15" s="21" t="n">
        <v>5</v>
      </c>
      <c r="B15" s="22" t="inlineStr">
        <is>
          <t>24060124140143</t>
        </is>
      </c>
      <c r="C15" s="22" t="inlineStr">
        <is>
          <t>Binar Ridha Wiritanaya</t>
        </is>
      </c>
      <c r="D15" s="22" t="inlineStr">
        <is>
          <t>-</t>
        </is>
      </c>
      <c r="E15" s="22" t="inlineStr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5">
        <f>SUM(F15:O15)</f>
        <v/>
      </c>
      <c r="Q15" s="26">
        <f>IF(P15="","",IF(P15&gt;=85,"A",IF(P15&gt;=75,"AB",IF(P15&gt;=65,"B",IF(P15&gt;=55,"BC",IF(P15&gt;=45,"C",IF(P15&gt;=35,"D","E")))))))</f>
        <v/>
      </c>
      <c r="R15" s="8" t="inlineStr"/>
    </row>
    <row r="16" ht="18" customHeight="1">
      <c r="A16" s="21" t="n">
        <v>5</v>
      </c>
      <c r="B16" s="22" t="inlineStr">
        <is>
          <t>24060124120022</t>
        </is>
      </c>
      <c r="C16" s="22" t="inlineStr">
        <is>
          <t>Nabila Kayla Rafa</t>
        </is>
      </c>
      <c r="D16" s="22" t="inlineStr">
        <is>
          <t>-</t>
        </is>
      </c>
      <c r="E16" s="22" t="inlineStr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5">
        <f>SUM(F16:O16)</f>
        <v/>
      </c>
      <c r="Q16" s="26">
        <f>IF(P16="","",IF(P16&gt;=85,"A",IF(P16&gt;=75,"AB",IF(P16&gt;=65,"B",IF(P16&gt;=55,"BC",IF(P16&gt;=45,"C",IF(P16&gt;=35,"D","E")))))))</f>
        <v/>
      </c>
      <c r="R16" s="8" t="inlineStr"/>
    </row>
    <row r="17" ht="18" customHeight="1">
      <c r="A17" s="27" t="n">
        <v>6</v>
      </c>
      <c r="B17" s="28" t="inlineStr">
        <is>
          <t>24060124120003</t>
        </is>
      </c>
      <c r="C17" s="28" t="inlineStr">
        <is>
          <t>Farras Hilmy Zaidan</t>
        </is>
      </c>
      <c r="D17" s="28" t="inlineStr">
        <is>
          <t>-</t>
        </is>
      </c>
      <c r="E17" s="29" t="inlineStr">
        <is>
          <t>https://youtu.be/KcBhLfcCoas</t>
        </is>
      </c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25">
        <f>SUM(F17:O17)</f>
        <v/>
      </c>
      <c r="Q17" s="26">
        <f>IF(P17="","",IF(P17&gt;=85,"A",IF(P17&gt;=75,"AB",IF(P17&gt;=65,"B",IF(P17&gt;=55,"BC",IF(P17&gt;=45,"C",IF(P17&gt;=35,"D","E")))))))</f>
        <v/>
      </c>
      <c r="R17" s="5" t="inlineStr"/>
    </row>
    <row r="18" ht="18" customHeight="1">
      <c r="A18" s="27" t="n">
        <v>6</v>
      </c>
      <c r="B18" s="28" t="inlineStr">
        <is>
          <t>24060124120028</t>
        </is>
      </c>
      <c r="C18" s="28" t="inlineStr">
        <is>
          <t>Imam Alfarezzel</t>
        </is>
      </c>
      <c r="D18" s="28" t="inlineStr">
        <is>
          <t>-</t>
        </is>
      </c>
      <c r="E18" s="28" t="inlineStr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25">
        <f>SUM(F18:O18)</f>
        <v/>
      </c>
      <c r="Q18" s="26">
        <f>IF(P18="","",IF(P18&gt;=85,"A",IF(P18&gt;=75,"AB",IF(P18&gt;=65,"B",IF(P18&gt;=55,"BC",IF(P18&gt;=45,"C",IF(P18&gt;=35,"D","E")))))))</f>
        <v/>
      </c>
      <c r="R18" s="5" t="inlineStr"/>
    </row>
    <row r="19" ht="18" customHeight="1">
      <c r="A19" s="27" t="n">
        <v>6</v>
      </c>
      <c r="B19" s="28" t="inlineStr">
        <is>
          <t>24060124130112</t>
        </is>
      </c>
      <c r="C19" s="28" t="inlineStr">
        <is>
          <t>Marco Falias Pangkado</t>
        </is>
      </c>
      <c r="D19" s="28" t="inlineStr">
        <is>
          <t>-</t>
        </is>
      </c>
      <c r="E19" s="28" t="inlineStr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25">
        <f>SUM(F19:O19)</f>
        <v/>
      </c>
      <c r="Q19" s="26">
        <f>IF(P19="","",IF(P19&gt;=85,"A",IF(P19&gt;=75,"AB",IF(P19&gt;=65,"B",IF(P19&gt;=55,"BC",IF(P19&gt;=45,"C",IF(P19&gt;=35,"D","E")))))))</f>
        <v/>
      </c>
      <c r="R19" s="5" t="inlineStr"/>
    </row>
    <row r="20" ht="18" customHeight="1">
      <c r="A20" s="27" t="n">
        <v>6</v>
      </c>
      <c r="B20" s="28" t="inlineStr">
        <is>
          <t>24060124120023</t>
        </is>
      </c>
      <c r="C20" s="28" t="inlineStr">
        <is>
          <t>Haydar Rafi' Sultansyah</t>
        </is>
      </c>
      <c r="D20" s="28" t="inlineStr">
        <is>
          <t>-</t>
        </is>
      </c>
      <c r="E20" s="28" t="inlineStr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25">
        <f>SUM(F20:O20)</f>
        <v/>
      </c>
      <c r="Q20" s="26">
        <f>IF(P20="","",IF(P20&gt;=85,"A",IF(P20&gt;=75,"AB",IF(P20&gt;=65,"B",IF(P20&gt;=55,"BC",IF(P20&gt;=45,"C",IF(P20&gt;=35,"D","E")))))))</f>
        <v/>
      </c>
      <c r="R20" s="5" t="inlineStr"/>
    </row>
    <row r="21" ht="18" customHeight="1">
      <c r="A21" s="21" t="n">
        <v>7</v>
      </c>
      <c r="B21" s="22" t="inlineStr">
        <is>
          <t>24060124130104</t>
        </is>
      </c>
      <c r="C21" s="22" t="inlineStr">
        <is>
          <t>Mohammad Sulthon Ariefin</t>
        </is>
      </c>
      <c r="D21" s="22" t="inlineStr">
        <is>
          <t>-</t>
        </is>
      </c>
      <c r="E21" s="23" t="inlineStr">
        <is>
          <t>https://youtu.be/HQRgEdBYV2k</t>
        </is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5">
        <f>SUM(F21:O21)</f>
        <v/>
      </c>
      <c r="Q21" s="26">
        <f>IF(P21="","",IF(P21&gt;=85,"A",IF(P21&gt;=75,"AB",IF(P21&gt;=65,"B",IF(P21&gt;=55,"BC",IF(P21&gt;=45,"C",IF(P21&gt;=35,"D","E")))))))</f>
        <v/>
      </c>
      <c r="R21" s="8" t="inlineStr"/>
    </row>
    <row r="22" ht="18" customHeight="1">
      <c r="A22" s="21" t="n">
        <v>7</v>
      </c>
      <c r="B22" s="22" t="inlineStr">
        <is>
          <t>24060124130079</t>
        </is>
      </c>
      <c r="C22" s="22" t="inlineStr">
        <is>
          <t>Haikal Rafli Sembiring</t>
        </is>
      </c>
      <c r="D22" s="22" t="inlineStr">
        <is>
          <t>-</t>
        </is>
      </c>
      <c r="E22" s="22" t="inlineStr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5">
        <f>SUM(F22:O22)</f>
        <v/>
      </c>
      <c r="Q22" s="26">
        <f>IF(P22="","",IF(P22&gt;=85,"A",IF(P22&gt;=75,"AB",IF(P22&gt;=65,"B",IF(P22&gt;=55,"BC",IF(P22&gt;=45,"C",IF(P22&gt;=35,"D","E")))))))</f>
        <v/>
      </c>
      <c r="R22" s="8" t="inlineStr"/>
    </row>
    <row r="23" ht="18" customHeight="1">
      <c r="A23" s="21" t="n">
        <v>7</v>
      </c>
      <c r="B23" s="22" t="inlineStr">
        <is>
          <t>24060124130068</t>
        </is>
      </c>
      <c r="C23" s="22" t="inlineStr">
        <is>
          <t>Rio Setiawan Hastanu Putra</t>
        </is>
      </c>
      <c r="D23" s="22" t="inlineStr">
        <is>
          <t>-</t>
        </is>
      </c>
      <c r="E23" s="22" t="inlineStr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5">
        <f>SUM(F23:O23)</f>
        <v/>
      </c>
      <c r="Q23" s="26">
        <f>IF(P23="","",IF(P23&gt;=85,"A",IF(P23&gt;=75,"AB",IF(P23&gt;=65,"B",IF(P23&gt;=55,"BC",IF(P23&gt;=45,"C",IF(P23&gt;=35,"D","E")))))))</f>
        <v/>
      </c>
      <c r="R23" s="8" t="inlineStr"/>
    </row>
    <row r="24" ht="18" customHeight="1">
      <c r="A24" s="21" t="n">
        <v>7</v>
      </c>
      <c r="B24" s="22" t="inlineStr">
        <is>
          <t>24060124130057</t>
        </is>
      </c>
      <c r="C24" s="22" t="inlineStr">
        <is>
          <t>Naufal Akbar Nugroho</t>
        </is>
      </c>
      <c r="D24" s="22" t="inlineStr">
        <is>
          <t>-</t>
        </is>
      </c>
      <c r="E24" s="22" t="inlineStr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5">
        <f>SUM(F24:O24)</f>
        <v/>
      </c>
      <c r="Q24" s="26">
        <f>IF(P24="","",IF(P24&gt;=85,"A",IF(P24&gt;=75,"AB",IF(P24&gt;=65,"B",IF(P24&gt;=55,"BC",IF(P24&gt;=45,"C",IF(P24&gt;=35,"D","E")))))))</f>
        <v/>
      </c>
      <c r="R24" s="8" t="inlineStr"/>
    </row>
    <row r="25" ht="18" customHeight="1">
      <c r="A25" s="27" t="n">
        <v>8</v>
      </c>
      <c r="B25" s="28" t="inlineStr">
        <is>
          <t>24060124140195</t>
        </is>
      </c>
      <c r="C25" s="28" t="inlineStr">
        <is>
          <t>Azka Aqylla Maulana</t>
        </is>
      </c>
      <c r="D25" s="28" t="inlineStr">
        <is>
          <t>-</t>
        </is>
      </c>
      <c r="E25" s="29" t="inlineStr">
        <is>
          <t>https://youtu.be/OrlicuJV3tQ</t>
        </is>
      </c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25">
        <f>SUM(F25:O25)</f>
        <v/>
      </c>
      <c r="Q25" s="26">
        <f>IF(P25="","",IF(P25&gt;=85,"A",IF(P25&gt;=75,"AB",IF(P25&gt;=65,"B",IF(P25&gt;=55,"BC",IF(P25&gt;=45,"C",IF(P25&gt;=35,"D","E")))))))</f>
        <v/>
      </c>
      <c r="R25" s="5" t="inlineStr"/>
    </row>
    <row r="26" ht="18" customHeight="1">
      <c r="A26" s="27" t="n">
        <v>8</v>
      </c>
      <c r="B26" s="28" t="inlineStr">
        <is>
          <t>24060124120042</t>
        </is>
      </c>
      <c r="C26" s="28" t="inlineStr">
        <is>
          <t>Akmal Kafli Anan</t>
        </is>
      </c>
      <c r="D26" s="28" t="inlineStr">
        <is>
          <t>-</t>
        </is>
      </c>
      <c r="E26" s="28" t="inlineStr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25">
        <f>SUM(F26:O26)</f>
        <v/>
      </c>
      <c r="Q26" s="26">
        <f>IF(P26="","",IF(P26&gt;=85,"A",IF(P26&gt;=75,"AB",IF(P26&gt;=65,"B",IF(P26&gt;=55,"BC",IF(P26&gt;=45,"C",IF(P26&gt;=35,"D","E")))))))</f>
        <v/>
      </c>
      <c r="R26" s="5" t="inlineStr"/>
    </row>
    <row r="27" ht="18" customHeight="1">
      <c r="A27" s="27" t="n">
        <v>8</v>
      </c>
      <c r="B27" s="28" t="inlineStr">
        <is>
          <t>24060124140173</t>
        </is>
      </c>
      <c r="C27" s="28" t="inlineStr">
        <is>
          <t>Adel Rayyan Hakim</t>
        </is>
      </c>
      <c r="D27" s="28" t="inlineStr">
        <is>
          <t>-</t>
        </is>
      </c>
      <c r="E27" s="28" t="inlineStr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25">
        <f>SUM(F27:O27)</f>
        <v/>
      </c>
      <c r="Q27" s="26">
        <f>IF(P27="","",IF(P27&gt;=85,"A",IF(P27&gt;=75,"AB",IF(P27&gt;=65,"B",IF(P27&gt;=55,"BC",IF(P27&gt;=45,"C",IF(P27&gt;=35,"D","E")))))))</f>
        <v/>
      </c>
      <c r="R27" s="5" t="inlineStr"/>
    </row>
    <row r="28" ht="18" customHeight="1">
      <c r="A28" s="27" t="n">
        <v>8</v>
      </c>
      <c r="B28" s="28" t="inlineStr">
        <is>
          <t>24060124120045</t>
        </is>
      </c>
      <c r="C28" s="28" t="inlineStr">
        <is>
          <t>Agil Yudis Wibawa</t>
        </is>
      </c>
      <c r="D28" s="28" t="inlineStr">
        <is>
          <t>-</t>
        </is>
      </c>
      <c r="E28" s="28" t="inlineStr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25">
        <f>SUM(F28:O28)</f>
        <v/>
      </c>
      <c r="Q28" s="26">
        <f>IF(P28="","",IF(P28&gt;=85,"A",IF(P28&gt;=75,"AB",IF(P28&gt;=65,"B",IF(P28&gt;=55,"BC",IF(P28&gt;=45,"C",IF(P28&gt;=35,"D","E")))))))</f>
        <v/>
      </c>
      <c r="R28" s="5" t="inlineStr"/>
    </row>
    <row r="29" ht="18" customHeight="1">
      <c r="A29" s="21" t="n">
        <v>9</v>
      </c>
      <c r="B29" s="22" t="inlineStr">
        <is>
          <t>24060124120021</t>
        </is>
      </c>
      <c r="C29" s="22" t="inlineStr">
        <is>
          <t>Husni Ulyaa Khanifah</t>
        </is>
      </c>
      <c r="D29" s="22" t="inlineStr">
        <is>
          <t>-</t>
        </is>
      </c>
      <c r="E29" s="23" t="inlineStr">
        <is>
          <t>https://youtu.be/ewmR8Pro5bg</t>
        </is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5">
        <f>SUM(F29:O29)</f>
        <v/>
      </c>
      <c r="Q29" s="26">
        <f>IF(P29="","",IF(P29&gt;=85,"A",IF(P29&gt;=75,"AB",IF(P29&gt;=65,"B",IF(P29&gt;=55,"BC",IF(P29&gt;=45,"C",IF(P29&gt;=35,"D","E")))))))</f>
        <v/>
      </c>
      <c r="R29" s="8" t="inlineStr"/>
    </row>
    <row r="30" ht="18" customHeight="1">
      <c r="A30" s="21" t="n">
        <v>9</v>
      </c>
      <c r="B30" s="22" t="inlineStr">
        <is>
          <t>24060124120005</t>
        </is>
      </c>
      <c r="C30" s="22" t="inlineStr">
        <is>
          <t>Dian Berlian Hutasoit</t>
        </is>
      </c>
      <c r="D30" s="22" t="inlineStr">
        <is>
          <t>-</t>
        </is>
      </c>
      <c r="E30" s="22" t="inlineStr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5">
        <f>SUM(F30:O30)</f>
        <v/>
      </c>
      <c r="Q30" s="26">
        <f>IF(P30="","",IF(P30&gt;=85,"A",IF(P30&gt;=75,"AB",IF(P30&gt;=65,"B",IF(P30&gt;=55,"BC",IF(P30&gt;=45,"C",IF(P30&gt;=35,"D","E")))))))</f>
        <v/>
      </c>
      <c r="R30" s="8" t="inlineStr"/>
    </row>
    <row r="31" ht="18" customHeight="1">
      <c r="A31" s="21" t="n">
        <v>9</v>
      </c>
      <c r="B31" s="22" t="inlineStr">
        <is>
          <t>24060124140168</t>
        </is>
      </c>
      <c r="C31" s="22" t="inlineStr">
        <is>
          <t>Christianna Olivia Juniarti M</t>
        </is>
      </c>
      <c r="D31" s="22" t="inlineStr">
        <is>
          <t>-</t>
        </is>
      </c>
      <c r="E31" s="22" t="inlineStr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>
        <f>SUM(F31:O31)</f>
        <v/>
      </c>
      <c r="Q31" s="26">
        <f>IF(P31="","",IF(P31&gt;=85,"A",IF(P31&gt;=75,"AB",IF(P31&gt;=65,"B",IF(P31&gt;=55,"BC",IF(P31&gt;=45,"C",IF(P31&gt;=35,"D","E")))))))</f>
        <v/>
      </c>
      <c r="R31" s="8" t="inlineStr"/>
    </row>
    <row r="32" ht="18" customHeight="1">
      <c r="A32" s="21" t="n">
        <v>9</v>
      </c>
      <c r="B32" s="22" t="inlineStr">
        <is>
          <t>24060124130059</t>
        </is>
      </c>
      <c r="C32" s="22" t="inlineStr">
        <is>
          <t>Dian Aulya Dewiyani</t>
        </is>
      </c>
      <c r="D32" s="22" t="inlineStr">
        <is>
          <t>-</t>
        </is>
      </c>
      <c r="E32" s="22" t="inlineStr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5">
        <f>SUM(F32:O32)</f>
        <v/>
      </c>
      <c r="Q32" s="26">
        <f>IF(P32="","",IF(P32&gt;=85,"A",IF(P32&gt;=75,"AB",IF(P32&gt;=65,"B",IF(P32&gt;=55,"BC",IF(P32&gt;=45,"C",IF(P32&gt;=35,"D","E")))))))</f>
        <v/>
      </c>
      <c r="R32" s="8" t="inlineStr"/>
    </row>
    <row r="33" ht="18" customHeight="1">
      <c r="A33" s="27" t="n">
        <v>10</v>
      </c>
      <c r="B33" s="28" t="inlineStr">
        <is>
          <t>24060124120014</t>
        </is>
      </c>
      <c r="C33" s="28" t="inlineStr">
        <is>
          <t>Aswalila Adha Putri Telaumbanua</t>
        </is>
      </c>
      <c r="D33" s="28" t="inlineStr">
        <is>
          <t>-</t>
        </is>
      </c>
      <c r="E33" s="28" t="inlineStr">
        <is>
          <t>-</t>
        </is>
      </c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25">
        <f>SUM(F33:O33)</f>
        <v/>
      </c>
      <c r="Q33" s="26">
        <f>IF(P33="","",IF(P33&gt;=85,"A",IF(P33&gt;=75,"AB",IF(P33&gt;=65,"B",IF(P33&gt;=55,"BC",IF(P33&gt;=45,"C",IF(P33&gt;=35,"D","E")))))))</f>
        <v/>
      </c>
      <c r="R33" s="5" t="inlineStr"/>
    </row>
    <row r="34" ht="18" customHeight="1">
      <c r="A34" s="27" t="n">
        <v>10</v>
      </c>
      <c r="B34" s="28" t="inlineStr">
        <is>
          <t>24060124130087</t>
        </is>
      </c>
      <c r="C34" s="28" t="inlineStr">
        <is>
          <t>Alodia Evelyn Pratikno</t>
        </is>
      </c>
      <c r="D34" s="28" t="inlineStr">
        <is>
          <t>-</t>
        </is>
      </c>
      <c r="E34" s="28" t="inlineStr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25">
        <f>SUM(F34:O34)</f>
        <v/>
      </c>
      <c r="Q34" s="26">
        <f>IF(P34="","",IF(P34&gt;=85,"A",IF(P34&gt;=75,"AB",IF(P34&gt;=65,"B",IF(P34&gt;=55,"BC",IF(P34&gt;=45,"C",IF(P34&gt;=35,"D","E")))))))</f>
        <v/>
      </c>
      <c r="R34" s="5" t="inlineStr"/>
    </row>
    <row r="35" ht="18" customHeight="1">
      <c r="A35" s="27" t="n">
        <v>10</v>
      </c>
      <c r="B35" s="28" t="inlineStr">
        <is>
          <t>24060124140136</t>
        </is>
      </c>
      <c r="C35" s="28" t="inlineStr">
        <is>
          <t>Arini Latifatul Qalbiah</t>
        </is>
      </c>
      <c r="D35" s="28" t="inlineStr">
        <is>
          <t>-</t>
        </is>
      </c>
      <c r="E35" s="28" t="inlineStr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25">
        <f>SUM(F35:O35)</f>
        <v/>
      </c>
      <c r="Q35" s="26">
        <f>IF(P35="","",IF(P35&gt;=85,"A",IF(P35&gt;=75,"AB",IF(P35&gt;=65,"B",IF(P35&gt;=55,"BC",IF(P35&gt;=45,"C",IF(P35&gt;=35,"D","E")))))))</f>
        <v/>
      </c>
      <c r="R35" s="5" t="inlineStr"/>
    </row>
    <row r="36" ht="18" customHeight="1">
      <c r="A36" s="27" t="n">
        <v>10</v>
      </c>
      <c r="B36" s="28" t="inlineStr">
        <is>
          <t>24060124140176</t>
        </is>
      </c>
      <c r="C36" s="28" t="inlineStr">
        <is>
          <t>Aprillia Abel Cleodora</t>
        </is>
      </c>
      <c r="D36" s="28" t="inlineStr">
        <is>
          <t>-</t>
        </is>
      </c>
      <c r="E36" s="28" t="inlineStr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25">
        <f>SUM(F36:O36)</f>
        <v/>
      </c>
      <c r="Q36" s="26">
        <f>IF(P36="","",IF(P36&gt;=85,"A",IF(P36&gt;=75,"AB",IF(P36&gt;=65,"B",IF(P36&gt;=55,"BC",IF(P36&gt;=45,"C",IF(P36&gt;=35,"D","E")))))))</f>
        <v/>
      </c>
      <c r="R36" s="5" t="inlineStr"/>
    </row>
    <row r="37" ht="18" customHeight="1">
      <c r="A37" s="21" t="n">
        <v>11</v>
      </c>
      <c r="B37" s="22" t="inlineStr">
        <is>
          <t>24060124130058</t>
        </is>
      </c>
      <c r="C37" s="22" t="inlineStr">
        <is>
          <t>Muhammad Abhista Pratama Sava</t>
        </is>
      </c>
      <c r="D37" s="22" t="inlineStr">
        <is>
          <t>-</t>
        </is>
      </c>
      <c r="E37" s="23" t="inlineStr">
        <is>
          <t>https://youtu.be/IpFz4pn92Ow</t>
        </is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5">
        <f>SUM(F37:O37)</f>
        <v/>
      </c>
      <c r="Q37" s="26">
        <f>IF(P37="","",IF(P37&gt;=85,"A",IF(P37&gt;=75,"AB",IF(P37&gt;=65,"B",IF(P37&gt;=55,"BC",IF(P37&gt;=45,"C",IF(P37&gt;=35,"D","E")))))))</f>
        <v/>
      </c>
      <c r="R37" s="8" t="inlineStr"/>
    </row>
    <row r="38" ht="18" customHeight="1">
      <c r="A38" s="21" t="n">
        <v>11</v>
      </c>
      <c r="B38" s="22" t="inlineStr">
        <is>
          <t>24060124130080</t>
        </is>
      </c>
      <c r="C38" s="22" t="inlineStr">
        <is>
          <t>Wipin Saputra Poh</t>
        </is>
      </c>
      <c r="D38" s="22" t="inlineStr">
        <is>
          <t>-</t>
        </is>
      </c>
      <c r="E38" s="22" t="inlineStr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5">
        <f>SUM(F38:O38)</f>
        <v/>
      </c>
      <c r="Q38" s="26">
        <f>IF(P38="","",IF(P38&gt;=85,"A",IF(P38&gt;=75,"AB",IF(P38&gt;=65,"B",IF(P38&gt;=55,"BC",IF(P38&gt;=45,"C",IF(P38&gt;=35,"D","E")))))))</f>
        <v/>
      </c>
      <c r="R38" s="8" t="inlineStr"/>
    </row>
    <row r="39" ht="18" customHeight="1">
      <c r="A39" s="27" t="n">
        <v>12</v>
      </c>
      <c r="B39" s="28" t="inlineStr">
        <is>
          <t>24060124140206</t>
        </is>
      </c>
      <c r="C39" s="28" t="inlineStr">
        <is>
          <t>Aufaarel Nabiil Aryadh Mecca</t>
        </is>
      </c>
      <c r="D39" s="28" t="inlineStr">
        <is>
          <t>-</t>
        </is>
      </c>
      <c r="E39" s="29" t="inlineStr">
        <is>
          <t>https://youtu.be/rEJk762uNYw</t>
        </is>
      </c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25">
        <f>SUM(F39:O39)</f>
        <v/>
      </c>
      <c r="Q39" s="26">
        <f>IF(P39="","",IF(P39&gt;=85,"A",IF(P39&gt;=75,"AB",IF(P39&gt;=65,"B",IF(P39&gt;=55,"BC",IF(P39&gt;=45,"C",IF(P39&gt;=35,"D","E")))))))</f>
        <v/>
      </c>
      <c r="R39" s="5" t="inlineStr"/>
    </row>
    <row r="40" ht="18" customHeight="1">
      <c r="A40" s="27" t="n">
        <v>12</v>
      </c>
      <c r="B40" s="28" t="inlineStr">
        <is>
          <t>24060124130102</t>
        </is>
      </c>
      <c r="C40" s="28" t="inlineStr">
        <is>
          <t>Muhammad Zaidan Alfarizi</t>
        </is>
      </c>
      <c r="D40" s="28" t="inlineStr">
        <is>
          <t>-</t>
        </is>
      </c>
      <c r="E40" s="28" t="inlineStr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25">
        <f>SUM(F40:O40)</f>
        <v/>
      </c>
      <c r="Q40" s="26">
        <f>IF(P40="","",IF(P40&gt;=85,"A",IF(P40&gt;=75,"AB",IF(P40&gt;=65,"B",IF(P40&gt;=55,"BC",IF(P40&gt;=45,"C",IF(P40&gt;=35,"D","E")))))))</f>
        <v/>
      </c>
      <c r="R40" s="5" t="inlineStr"/>
    </row>
    <row r="41" ht="18" customHeight="1">
      <c r="A41" s="27" t="n">
        <v>12</v>
      </c>
      <c r="B41" s="28" t="inlineStr">
        <is>
          <t>24060124140182</t>
        </is>
      </c>
      <c r="C41" s="28" t="inlineStr">
        <is>
          <t>Shifa Buja Jauza</t>
        </is>
      </c>
      <c r="D41" s="28" t="inlineStr">
        <is>
          <t>-</t>
        </is>
      </c>
      <c r="E41" s="28" t="inlineStr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25">
        <f>SUM(F41:O41)</f>
        <v/>
      </c>
      <c r="Q41" s="26">
        <f>IF(P41="","",IF(P41&gt;=85,"A",IF(P41&gt;=75,"AB",IF(P41&gt;=65,"B",IF(P41&gt;=55,"BC",IF(P41&gt;=45,"C",IF(P41&gt;=35,"D","E")))))))</f>
        <v/>
      </c>
      <c r="R41" s="5" t="inlineStr"/>
    </row>
    <row r="43">
      <c r="A43" s="31" t="inlineStr">
        <is>
          <t>SKALA NILAI: A ≥ 85 | AB 75–84 | B 65–74 | BC 55–64 | C 45–54 | D 35–44 | E &lt; 35</t>
        </is>
      </c>
    </row>
  </sheetData>
  <mergeCells count="2">
    <mergeCell ref="A1:R1"/>
    <mergeCell ref="A43:E43"/>
  </mergeCells>
  <hyperlinks>
    <hyperlink xmlns:r="http://schemas.openxmlformats.org/officeDocument/2006/relationships" ref="E6" r:id="rId1"/>
    <hyperlink xmlns:r="http://schemas.openxmlformats.org/officeDocument/2006/relationships" ref="E10" r:id="rId2"/>
    <hyperlink xmlns:r="http://schemas.openxmlformats.org/officeDocument/2006/relationships" ref="E14" r:id="rId3"/>
    <hyperlink xmlns:r="http://schemas.openxmlformats.org/officeDocument/2006/relationships" ref="E17" r:id="rId4"/>
    <hyperlink xmlns:r="http://schemas.openxmlformats.org/officeDocument/2006/relationships" ref="E21" r:id="rId5"/>
    <hyperlink xmlns:r="http://schemas.openxmlformats.org/officeDocument/2006/relationships" ref="E25" r:id="rId6"/>
    <hyperlink xmlns:r="http://schemas.openxmlformats.org/officeDocument/2006/relationships" ref="E29" r:id="rId7"/>
    <hyperlink xmlns:r="http://schemas.openxmlformats.org/officeDocument/2006/relationships" ref="E37" r:id="rId8"/>
    <hyperlink xmlns:r="http://schemas.openxmlformats.org/officeDocument/2006/relationships" ref="E39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2" customWidth="1" min="4" max="4"/>
    <col width="4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30" customWidth="1" min="18" max="18"/>
  </cols>
  <sheetData>
    <row r="1" ht="22" customHeight="1">
      <c r="A1" s="1" t="inlineStr">
        <is>
          <t>PENILAIAN TUGAS BESAR GTI D — SEMESTER GENAP 2025/2026</t>
        </is>
      </c>
    </row>
    <row r="2" ht="52" customHeight="1">
      <c r="A2" s="11" t="inlineStr">
        <is>
          <t>No. Kelompok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 Video BTS
(max 20)</t>
        </is>
      </c>
      <c r="G2" s="12" t="inlineStr">
        <is>
          <t>Representasi
Objek 3D
(max 10)</t>
        </is>
      </c>
      <c r="H2" s="12" t="inlineStr">
        <is>
          <t>Proyeksi
Orthographic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Karakteristik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</t>
        </is>
      </c>
    </row>
    <row r="3" ht="30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/>
      <c r="Q3" s="15" t="inlineStr"/>
      <c r="R3" s="15" t="inlineStr"/>
    </row>
    <row r="4" ht="18" customHeight="1">
      <c r="A4" s="16" t="n">
        <v>1</v>
      </c>
      <c r="B4" s="17" t="inlineStr">
        <is>
          <t>-</t>
        </is>
      </c>
      <c r="C4" s="17" t="inlineStr">
        <is>
          <t>-</t>
        </is>
      </c>
      <c r="D4" s="17" t="inlineStr">
        <is>
          <t>-</t>
        </is>
      </c>
      <c r="E4" s="32" t="inlineStr">
        <is>
          <t>https://youtu.be/u5T9oImjFh8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9" t="n"/>
      <c r="Q4" s="19" t="n"/>
      <c r="R4" s="20" t="inlineStr">
        <is>
          <t>Belum mengumpulkan / data tidak tersedia</t>
        </is>
      </c>
    </row>
    <row r="5" ht="18" customHeight="1">
      <c r="A5" s="16" t="n">
        <v>2</v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32" t="inlineStr">
        <is>
          <t>https://youtu.be/9r7-SSIk6kQ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9" t="n"/>
      <c r="Q5" s="19" t="n"/>
      <c r="R5" s="20" t="inlineStr">
        <is>
          <t>Belum mengumpulkan / data tidak tersedia</t>
        </is>
      </c>
    </row>
    <row r="6" ht="18" customHeight="1">
      <c r="A6" s="16" t="n">
        <v>3</v>
      </c>
      <c r="B6" s="17" t="inlineStr">
        <is>
          <t>-</t>
        </is>
      </c>
      <c r="C6" s="17" t="inlineStr">
        <is>
          <t>-</t>
        </is>
      </c>
      <c r="D6" s="17" t="inlineStr">
        <is>
          <t>-</t>
        </is>
      </c>
      <c r="E6" s="32" t="inlineStr">
        <is>
          <t>https://youtu.be/zBAv8qhIzN4</t>
        </is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9" t="n"/>
      <c r="Q6" s="19" t="n"/>
      <c r="R6" s="20" t="inlineStr">
        <is>
          <t>Belum mengumpulkan / data tidak tersedia</t>
        </is>
      </c>
    </row>
    <row r="7" ht="18" customHeight="1">
      <c r="A7" s="16" t="n">
        <v>4</v>
      </c>
      <c r="B7" s="17" t="inlineStr">
        <is>
          <t>-</t>
        </is>
      </c>
      <c r="C7" s="17" t="inlineStr">
        <is>
          <t>-</t>
        </is>
      </c>
      <c r="D7" s="17" t="inlineStr">
        <is>
          <t>-</t>
        </is>
      </c>
      <c r="E7" s="32" t="inlineStr">
        <is>
          <t>https://youtu.be/3ojOKIl4RUs</t>
        </is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9" t="n"/>
      <c r="Q7" s="19" t="n"/>
      <c r="R7" s="20" t="inlineStr">
        <is>
          <t>Belum mengumpulkan / data tidak tersedia</t>
        </is>
      </c>
    </row>
    <row r="8" ht="18" customHeight="1">
      <c r="A8" s="16" t="n">
        <v>5</v>
      </c>
      <c r="B8" s="17" t="inlineStr">
        <is>
          <t>-</t>
        </is>
      </c>
      <c r="C8" s="17" t="inlineStr">
        <is>
          <t>-</t>
        </is>
      </c>
      <c r="D8" s="17" t="inlineStr">
        <is>
          <t>-</t>
        </is>
      </c>
      <c r="E8" s="32" t="inlineStr">
        <is>
          <t>https://youtu.be/18sq-LZdQtc</t>
        </is>
      </c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9" t="n"/>
      <c r="Q8" s="19" t="n"/>
      <c r="R8" s="20" t="inlineStr">
        <is>
          <t>Belum mengumpulkan / data tidak tersedia</t>
        </is>
      </c>
    </row>
    <row r="9" ht="18" customHeight="1">
      <c r="A9" s="16" t="n">
        <v>6</v>
      </c>
      <c r="B9" s="17" t="inlineStr">
        <is>
          <t>-</t>
        </is>
      </c>
      <c r="C9" s="17" t="inlineStr">
        <is>
          <t>-</t>
        </is>
      </c>
      <c r="D9" s="17" t="inlineStr">
        <is>
          <t>-</t>
        </is>
      </c>
      <c r="E9" s="32" t="inlineStr">
        <is>
          <t>https://youtu.be/EYOkbbIlPjc</t>
        </is>
      </c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9" t="n"/>
      <c r="Q9" s="19" t="n"/>
      <c r="R9" s="20" t="inlineStr">
        <is>
          <t>Belum mengumpulkan / data tidak tersedia</t>
        </is>
      </c>
    </row>
    <row r="10" ht="18" customHeight="1">
      <c r="A10" s="16" t="n">
        <v>7</v>
      </c>
      <c r="B10" s="17" t="inlineStr">
        <is>
          <t>-</t>
        </is>
      </c>
      <c r="C10" s="17" t="inlineStr">
        <is>
          <t>-</t>
        </is>
      </c>
      <c r="D10" s="17" t="inlineStr">
        <is>
          <t>-</t>
        </is>
      </c>
      <c r="E10" s="32" t="inlineStr">
        <is>
          <t>https://youtu.be/LGzCdTaglz0</t>
        </is>
      </c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9" t="n"/>
      <c r="Q10" s="19" t="n"/>
      <c r="R10" s="20" t="inlineStr">
        <is>
          <t>Belum mengumpulkan / data tidak tersedia</t>
        </is>
      </c>
    </row>
    <row r="11" ht="18" customHeight="1">
      <c r="A11" s="16" t="n">
        <v>8</v>
      </c>
      <c r="B11" s="17" t="inlineStr">
        <is>
          <t>-</t>
        </is>
      </c>
      <c r="C11" s="17" t="inlineStr">
        <is>
          <t>-</t>
        </is>
      </c>
      <c r="D11" s="17" t="inlineStr">
        <is>
          <t>-</t>
        </is>
      </c>
      <c r="E11" s="32" t="inlineStr">
        <is>
          <t>https://youtu.be/kUmYg1qulW4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9" t="n"/>
      <c r="Q11" s="19" t="n"/>
      <c r="R11" s="20" t="inlineStr">
        <is>
          <t>Belum mengumpulkan / data tidak tersedia</t>
        </is>
      </c>
    </row>
    <row r="12" ht="18" customHeight="1">
      <c r="A12" s="16" t="n">
        <v>9</v>
      </c>
      <c r="B12" s="17" t="inlineStr">
        <is>
          <t>-</t>
        </is>
      </c>
      <c r="C12" s="17" t="inlineStr">
        <is>
          <t>-</t>
        </is>
      </c>
      <c r="D12" s="17" t="inlineStr">
        <is>
          <t>-</t>
        </is>
      </c>
      <c r="E12" s="32" t="inlineStr">
        <is>
          <t>https://youtu.be/6FlXx3K7jj8</t>
        </is>
      </c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9" t="n"/>
      <c r="Q12" s="19" t="n"/>
      <c r="R12" s="20" t="inlineStr">
        <is>
          <t>Belum mengumpulkan / data tidak tersedia</t>
        </is>
      </c>
    </row>
    <row r="13" ht="18" customHeight="1">
      <c r="A13" s="16" t="n">
        <v>10</v>
      </c>
      <c r="B13" s="17" t="inlineStr">
        <is>
          <t>-</t>
        </is>
      </c>
      <c r="C13" s="17" t="inlineStr">
        <is>
          <t>-</t>
        </is>
      </c>
      <c r="D13" s="17" t="inlineStr">
        <is>
          <t>-</t>
        </is>
      </c>
      <c r="E13" s="32" t="inlineStr">
        <is>
          <t>https://youtu.be/5uoeRSHvfQI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9" t="n"/>
      <c r="Q13" s="19" t="n"/>
      <c r="R13" s="20" t="inlineStr">
        <is>
          <t>Belum mengumpulkan / data tidak tersedia</t>
        </is>
      </c>
    </row>
    <row r="15">
      <c r="A15" s="31" t="inlineStr">
        <is>
          <t>SKALA NILAI: A ≥ 85 | AB 75–84 | B 65–74 | BC 55–64 | C 45–54 | D 35–44 | E &lt; 35</t>
        </is>
      </c>
    </row>
  </sheetData>
  <mergeCells count="2">
    <mergeCell ref="A15:E15"/>
    <mergeCell ref="A1:R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2" customWidth="1" min="4" max="4"/>
    <col width="4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30" customWidth="1" min="18" max="18"/>
  </cols>
  <sheetData>
    <row r="1" ht="22" customHeight="1">
      <c r="A1" s="1" t="inlineStr">
        <is>
          <t>PENILAIAN TUGAS BESAR GTI E — SEMESTER GENAP 2025/2026</t>
        </is>
      </c>
    </row>
    <row r="2" ht="52" customHeight="1">
      <c r="A2" s="11" t="inlineStr">
        <is>
          <t>No. Kelompok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 Video BTS
(max 20)</t>
        </is>
      </c>
      <c r="G2" s="12" t="inlineStr">
        <is>
          <t>Representasi
Objek 3D
(max 10)</t>
        </is>
      </c>
      <c r="H2" s="12" t="inlineStr">
        <is>
          <t>Proyeksi
Orthographic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Karakteristik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</t>
        </is>
      </c>
    </row>
    <row r="3" ht="30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/>
      <c r="Q3" s="15" t="inlineStr"/>
      <c r="R3" s="15" t="inlineStr"/>
    </row>
    <row r="4" ht="18" customHeight="1">
      <c r="A4" s="16" t="n">
        <v>1</v>
      </c>
      <c r="B4" s="17" t="inlineStr">
        <is>
          <t>-</t>
        </is>
      </c>
      <c r="C4" s="17" t="inlineStr">
        <is>
          <t>-</t>
        </is>
      </c>
      <c r="D4" s="17" t="inlineStr">
        <is>
          <t>-</t>
        </is>
      </c>
      <c r="E4" s="17" t="inlineStr">
        <is>
          <t>-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9" t="n"/>
      <c r="Q4" s="19" t="n"/>
      <c r="R4" s="20" t="inlineStr">
        <is>
          <t>Belum mengumpulkan / data tidak tersedia</t>
        </is>
      </c>
    </row>
    <row r="5" ht="18" customHeight="1">
      <c r="A5" s="27" t="n">
        <v>2</v>
      </c>
      <c r="B5" s="28" t="inlineStr">
        <is>
          <t>24060124140125</t>
        </is>
      </c>
      <c r="C5" s="28" t="inlineStr">
        <is>
          <t>Varissa Nabila Kifli</t>
        </is>
      </c>
      <c r="D5" s="28" t="inlineStr">
        <is>
          <t>Game Maze 3D</t>
        </is>
      </c>
      <c r="E5" s="29" t="inlineStr">
        <is>
          <t>https://youtu.be/uxiIlfewLVs</t>
        </is>
      </c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25">
        <f>SUM(F5:O5)</f>
        <v/>
      </c>
      <c r="Q5" s="26">
        <f>IF(P5="","",IF(P5&gt;=85,"A",IF(P5&gt;=75,"AB",IF(P5&gt;=65,"B",IF(P5&gt;=55,"BC",IF(P5&gt;=45,"C",IF(P5&gt;=35,"D","E")))))))</f>
        <v/>
      </c>
      <c r="R5" s="5" t="inlineStr"/>
    </row>
    <row r="6" ht="18" customHeight="1">
      <c r="A6" s="27" t="n">
        <v>2</v>
      </c>
      <c r="B6" s="28" t="inlineStr">
        <is>
          <t>24060124140134</t>
        </is>
      </c>
      <c r="C6" s="28" t="inlineStr">
        <is>
          <t>Wahyu Aji Gumelar Tri Nugroho</t>
        </is>
      </c>
      <c r="D6" s="28" t="inlineStr"/>
      <c r="E6" s="28" t="inlineStr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25">
        <f>SUM(F6:O6)</f>
        <v/>
      </c>
      <c r="Q6" s="26">
        <f>IF(P6="","",IF(P6&gt;=85,"A",IF(P6&gt;=75,"AB",IF(P6&gt;=65,"B",IF(P6&gt;=55,"BC",IF(P6&gt;=45,"C",IF(P6&gt;=35,"D","E")))))))</f>
        <v/>
      </c>
      <c r="R6" s="5" t="inlineStr"/>
    </row>
    <row r="7" ht="18" customHeight="1">
      <c r="A7" s="27" t="n">
        <v>2</v>
      </c>
      <c r="B7" s="28" t="inlineStr">
        <is>
          <t>24060124140188</t>
        </is>
      </c>
      <c r="C7" s="28" t="inlineStr">
        <is>
          <t>Claudia Meitania Putri</t>
        </is>
      </c>
      <c r="D7" s="28" t="inlineStr"/>
      <c r="E7" s="28" t="inlineStr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25">
        <f>SUM(F7:O7)</f>
        <v/>
      </c>
      <c r="Q7" s="26">
        <f>IF(P7="","",IF(P7&gt;=85,"A",IF(P7&gt;=75,"AB",IF(P7&gt;=65,"B",IF(P7&gt;=55,"BC",IF(P7&gt;=45,"C",IF(P7&gt;=35,"D","E")))))))</f>
        <v/>
      </c>
      <c r="R7" s="5" t="inlineStr"/>
    </row>
    <row r="8" ht="18" customHeight="1">
      <c r="A8" s="27" t="n">
        <v>2</v>
      </c>
      <c r="B8" s="28" t="inlineStr">
        <is>
          <t>24060124140204</t>
        </is>
      </c>
      <c r="C8" s="28" t="inlineStr">
        <is>
          <t>Adelia Clearesta</t>
        </is>
      </c>
      <c r="D8" s="28" t="inlineStr"/>
      <c r="E8" s="28" t="inlineStr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25">
        <f>SUM(F8:O8)</f>
        <v/>
      </c>
      <c r="Q8" s="26">
        <f>IF(P8="","",IF(P8&gt;=85,"A",IF(P8&gt;=75,"AB",IF(P8&gt;=65,"B",IF(P8&gt;=55,"BC",IF(P8&gt;=45,"C",IF(P8&gt;=35,"D","E")))))))</f>
        <v/>
      </c>
      <c r="R8" s="5" t="inlineStr"/>
    </row>
    <row r="9" ht="18" customHeight="1">
      <c r="A9" s="21" t="n">
        <v>3</v>
      </c>
      <c r="B9" s="22" t="inlineStr">
        <is>
          <t>24060124140137</t>
        </is>
      </c>
      <c r="C9" s="22" t="inlineStr">
        <is>
          <t>Farhan Dwiyan Akbar</t>
        </is>
      </c>
      <c r="D9" s="22" t="inlineStr">
        <is>
          <t>Game Runner</t>
        </is>
      </c>
      <c r="E9" s="22" t="inlineStr">
        <is>
          <t>-</t>
        </is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5">
        <f>SUM(F9:O9)</f>
        <v/>
      </c>
      <c r="Q9" s="26">
        <f>IF(P9="","",IF(P9&gt;=85,"A",IF(P9&gt;=75,"AB",IF(P9&gt;=65,"B",IF(P9&gt;=55,"BC",IF(P9&gt;=45,"C",IF(P9&gt;=35,"D","E")))))))</f>
        <v/>
      </c>
      <c r="R9" s="8" t="inlineStr"/>
    </row>
    <row r="10" ht="18" customHeight="1">
      <c r="A10" s="21" t="n">
        <v>3</v>
      </c>
      <c r="B10" s="22" t="inlineStr">
        <is>
          <t>24060124130097</t>
        </is>
      </c>
      <c r="C10" s="22" t="inlineStr">
        <is>
          <t>Haikal Imam Ridha</t>
        </is>
      </c>
      <c r="D10" s="22" t="inlineStr"/>
      <c r="E10" s="22" t="inlineStr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5">
        <f>SUM(F10:O10)</f>
        <v/>
      </c>
      <c r="Q10" s="26">
        <f>IF(P10="","",IF(P10&gt;=85,"A",IF(P10&gt;=75,"AB",IF(P10&gt;=65,"B",IF(P10&gt;=55,"BC",IF(P10&gt;=45,"C",IF(P10&gt;=35,"D","E")))))))</f>
        <v/>
      </c>
      <c r="R10" s="8" t="inlineStr"/>
    </row>
    <row r="11" ht="18" customHeight="1">
      <c r="A11" s="21" t="n">
        <v>3</v>
      </c>
      <c r="B11" s="22" t="inlineStr">
        <is>
          <t>24060124140131</t>
        </is>
      </c>
      <c r="C11" s="22" t="inlineStr">
        <is>
          <t>Harits Permana</t>
        </is>
      </c>
      <c r="D11" s="22" t="inlineStr"/>
      <c r="E11" s="22" t="inlineStr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5">
        <f>SUM(F11:O11)</f>
        <v/>
      </c>
      <c r="Q11" s="26">
        <f>IF(P11="","",IF(P11&gt;=85,"A",IF(P11&gt;=75,"AB",IF(P11&gt;=65,"B",IF(P11&gt;=55,"BC",IF(P11&gt;=45,"C",IF(P11&gt;=35,"D","E")))))))</f>
        <v/>
      </c>
      <c r="R11" s="8" t="inlineStr"/>
    </row>
    <row r="12" ht="18" customHeight="1">
      <c r="A12" s="21" t="n">
        <v>3</v>
      </c>
      <c r="B12" s="22" t="inlineStr">
        <is>
          <t>24060124130113</t>
        </is>
      </c>
      <c r="C12" s="22" t="inlineStr">
        <is>
          <t>Joshua Satria Kusuma</t>
        </is>
      </c>
      <c r="D12" s="22" t="inlineStr"/>
      <c r="E12" s="22" t="inlineStr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5">
        <f>SUM(F12:O12)</f>
        <v/>
      </c>
      <c r="Q12" s="26">
        <f>IF(P12="","",IF(P12&gt;=85,"A",IF(P12&gt;=75,"AB",IF(P12&gt;=65,"B",IF(P12&gt;=55,"BC",IF(P12&gt;=45,"C",IF(P12&gt;=35,"D","E")))))))</f>
        <v/>
      </c>
      <c r="R12" s="8" t="inlineStr"/>
    </row>
    <row r="13" ht="18" customHeight="1">
      <c r="A13" s="27" t="n">
        <v>4</v>
      </c>
      <c r="B13" s="28" t="inlineStr">
        <is>
          <t>24060124130086</t>
        </is>
      </c>
      <c r="C13" s="28" t="inlineStr">
        <is>
          <t>Aron Sorimuda Johanes Pasaribu</t>
        </is>
      </c>
      <c r="D13" s="28" t="inlineStr">
        <is>
          <t>Sistem Tata Surya</t>
        </is>
      </c>
      <c r="E13" s="29" t="inlineStr">
        <is>
          <t>https://youtu.be/8rbqDYMV0Bo</t>
        </is>
      </c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25">
        <f>SUM(F13:O13)</f>
        <v/>
      </c>
      <c r="Q13" s="26">
        <f>IF(P13="","",IF(P13&gt;=85,"A",IF(P13&gt;=75,"AB",IF(P13&gt;=65,"B",IF(P13&gt;=55,"BC",IF(P13&gt;=45,"C",IF(P13&gt;=35,"D","E")))))))</f>
        <v/>
      </c>
      <c r="R13" s="5" t="inlineStr"/>
    </row>
    <row r="14" ht="18" customHeight="1">
      <c r="A14" s="27" t="n">
        <v>4</v>
      </c>
      <c r="B14" s="28" t="inlineStr">
        <is>
          <t>24060124120047</t>
        </is>
      </c>
      <c r="C14" s="28" t="inlineStr">
        <is>
          <t>Husein Avicenna</t>
        </is>
      </c>
      <c r="D14" s="28" t="inlineStr"/>
      <c r="E14" s="28" t="inlineStr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25">
        <f>SUM(F14:O14)</f>
        <v/>
      </c>
      <c r="Q14" s="26">
        <f>IF(P14="","",IF(P14&gt;=85,"A",IF(P14&gt;=75,"AB",IF(P14&gt;=65,"B",IF(P14&gt;=55,"BC",IF(P14&gt;=45,"C",IF(P14&gt;=35,"D","E")))))))</f>
        <v/>
      </c>
      <c r="R14" s="5" t="inlineStr"/>
    </row>
    <row r="15" ht="18" customHeight="1">
      <c r="A15" s="27" t="n">
        <v>4</v>
      </c>
      <c r="B15" s="28" t="inlineStr">
        <is>
          <t>24060124130061</t>
        </is>
      </c>
      <c r="C15" s="28" t="inlineStr">
        <is>
          <t>Rahmat Argyandha Aminuddin</t>
        </is>
      </c>
      <c r="D15" s="28" t="inlineStr"/>
      <c r="E15" s="28" t="inlineStr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25">
        <f>SUM(F15:O15)</f>
        <v/>
      </c>
      <c r="Q15" s="26">
        <f>IF(P15="","",IF(P15&gt;=85,"A",IF(P15&gt;=75,"AB",IF(P15&gt;=65,"B",IF(P15&gt;=55,"BC",IF(P15&gt;=45,"C",IF(P15&gt;=35,"D","E")))))))</f>
        <v/>
      </c>
      <c r="R15" s="5" t="inlineStr"/>
    </row>
    <row r="16" ht="18" customHeight="1">
      <c r="A16" s="21" t="n">
        <v>5</v>
      </c>
      <c r="B16" s="22" t="inlineStr">
        <is>
          <t>24060124120026</t>
        </is>
      </c>
      <c r="C16" s="22" t="inlineStr">
        <is>
          <t>Gregorius Septiano Ariadi</t>
        </is>
      </c>
      <c r="D16" s="22" t="inlineStr">
        <is>
          <t>Baldis Game</t>
        </is>
      </c>
      <c r="E16" s="22" t="inlineStr">
        <is>
          <t>-</t>
        </is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5">
        <f>SUM(F16:O16)</f>
        <v/>
      </c>
      <c r="Q16" s="26">
        <f>IF(P16="","",IF(P16&gt;=85,"A",IF(P16&gt;=75,"AB",IF(P16&gt;=65,"B",IF(P16&gt;=55,"BC",IF(P16&gt;=45,"C",IF(P16&gt;=35,"D","E")))))))</f>
        <v/>
      </c>
      <c r="R16" s="8" t="inlineStr"/>
    </row>
    <row r="17" ht="18" customHeight="1">
      <c r="A17" s="21" t="n">
        <v>5</v>
      </c>
      <c r="B17" s="22" t="inlineStr">
        <is>
          <t>24060124120010</t>
        </is>
      </c>
      <c r="C17" s="22" t="inlineStr">
        <is>
          <t>Dhimas Reza Nafi Wahyudi</t>
        </is>
      </c>
      <c r="D17" s="22" t="inlineStr"/>
      <c r="E17" s="22" t="inlineStr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5">
        <f>SUM(F17:O17)</f>
        <v/>
      </c>
      <c r="Q17" s="26">
        <f>IF(P17="","",IF(P17&gt;=85,"A",IF(P17&gt;=75,"AB",IF(P17&gt;=65,"B",IF(P17&gt;=55,"BC",IF(P17&gt;=45,"C",IF(P17&gt;=35,"D","E")))))))</f>
        <v/>
      </c>
      <c r="R17" s="8" t="inlineStr"/>
    </row>
    <row r="18" ht="18" customHeight="1">
      <c r="A18" s="21" t="n">
        <v>5</v>
      </c>
      <c r="B18" s="22" t="inlineStr">
        <is>
          <t>24060124140163</t>
        </is>
      </c>
      <c r="C18" s="22" t="inlineStr">
        <is>
          <t>Djuan Setyo Jati</t>
        </is>
      </c>
      <c r="D18" s="22" t="inlineStr"/>
      <c r="E18" s="22" t="inlineStr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5">
        <f>SUM(F18:O18)</f>
        <v/>
      </c>
      <c r="Q18" s="26">
        <f>IF(P18="","",IF(P18&gt;=85,"A",IF(P18&gt;=75,"AB",IF(P18&gt;=65,"B",IF(P18&gt;=55,"BC",IF(P18&gt;=45,"C",IF(P18&gt;=35,"D","E")))))))</f>
        <v/>
      </c>
      <c r="R18" s="8" t="inlineStr"/>
    </row>
    <row r="19" ht="18" customHeight="1">
      <c r="A19" s="21" t="n">
        <v>5</v>
      </c>
      <c r="B19" s="22" t="inlineStr">
        <is>
          <t>24060124140169</t>
        </is>
      </c>
      <c r="C19" s="22" t="inlineStr">
        <is>
          <t>Fadhil Yaafi Widodo</t>
        </is>
      </c>
      <c r="D19" s="22" t="inlineStr"/>
      <c r="E19" s="22" t="inlineStr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5">
        <f>SUM(F19:O19)</f>
        <v/>
      </c>
      <c r="Q19" s="26">
        <f>IF(P19="","",IF(P19&gt;=85,"A",IF(P19&gt;=75,"AB",IF(P19&gt;=65,"B",IF(P19&gt;=55,"BC",IF(P19&gt;=45,"C",IF(P19&gt;=35,"D","E")))))))</f>
        <v/>
      </c>
      <c r="R19" s="8" t="inlineStr"/>
    </row>
    <row r="20" ht="18" customHeight="1">
      <c r="A20" s="27" t="n">
        <v>6</v>
      </c>
      <c r="B20" s="28" t="inlineStr">
        <is>
          <t>24060124130064</t>
        </is>
      </c>
      <c r="C20" s="28" t="inlineStr">
        <is>
          <t>Anggita Kirana Puspa</t>
        </is>
      </c>
      <c r="D20" s="28" t="inlineStr">
        <is>
          <t>ZombieVerse</t>
        </is>
      </c>
      <c r="E20" s="28" t="inlineStr">
        <is>
          <t>-</t>
        </is>
      </c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25">
        <f>SUM(F20:O20)</f>
        <v/>
      </c>
      <c r="Q20" s="26">
        <f>IF(P20="","",IF(P20&gt;=85,"A",IF(P20&gt;=75,"AB",IF(P20&gt;=65,"B",IF(P20&gt;=55,"BC",IF(P20&gt;=45,"C",IF(P20&gt;=35,"D","E")))))))</f>
        <v/>
      </c>
      <c r="R20" s="5" t="inlineStr"/>
    </row>
    <row r="21" ht="18" customHeight="1">
      <c r="A21" s="27" t="n">
        <v>6</v>
      </c>
      <c r="B21" s="28" t="inlineStr">
        <is>
          <t>24060124120012</t>
        </is>
      </c>
      <c r="C21" s="28" t="inlineStr">
        <is>
          <t>Felicia Evelina</t>
        </is>
      </c>
      <c r="D21" s="28" t="inlineStr"/>
      <c r="E21" s="28" t="inlineStr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25">
        <f>SUM(F21:O21)</f>
        <v/>
      </c>
      <c r="Q21" s="26">
        <f>IF(P21="","",IF(P21&gt;=85,"A",IF(P21&gt;=75,"AB",IF(P21&gt;=65,"B",IF(P21&gt;=55,"BC",IF(P21&gt;=45,"C",IF(P21&gt;=35,"D","E")))))))</f>
        <v/>
      </c>
      <c r="R21" s="5" t="inlineStr"/>
    </row>
    <row r="22" ht="18" customHeight="1">
      <c r="A22" s="27" t="n">
        <v>6</v>
      </c>
      <c r="B22" s="28" t="inlineStr">
        <is>
          <t>24060124120020</t>
        </is>
      </c>
      <c r="C22" s="28" t="inlineStr">
        <is>
          <t>Raffi Arditama</t>
        </is>
      </c>
      <c r="D22" s="28" t="inlineStr"/>
      <c r="E22" s="28" t="inlineStr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25">
        <f>SUM(F22:O22)</f>
        <v/>
      </c>
      <c r="Q22" s="26">
        <f>IF(P22="","",IF(P22&gt;=85,"A",IF(P22&gt;=75,"AB",IF(P22&gt;=65,"B",IF(P22&gt;=55,"BC",IF(P22&gt;=45,"C",IF(P22&gt;=35,"D","E")))))))</f>
        <v/>
      </c>
      <c r="R22" s="5" t="inlineStr"/>
    </row>
    <row r="23" ht="18" customHeight="1">
      <c r="A23" s="27" t="n">
        <v>6</v>
      </c>
      <c r="B23" s="28" t="inlineStr">
        <is>
          <t>24060124130115</t>
        </is>
      </c>
      <c r="C23" s="28" t="inlineStr">
        <is>
          <t>Rafif Setya Imaduddin</t>
        </is>
      </c>
      <c r="D23" s="28" t="inlineStr"/>
      <c r="E23" s="28" t="inlineStr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25">
        <f>SUM(F23:O23)</f>
        <v/>
      </c>
      <c r="Q23" s="26">
        <f>IF(P23="","",IF(P23&gt;=85,"A",IF(P23&gt;=75,"AB",IF(P23&gt;=65,"B",IF(P23&gt;=55,"BC",IF(P23&gt;=45,"C",IF(P23&gt;=35,"D","E")))))))</f>
        <v/>
      </c>
      <c r="R23" s="5" t="inlineStr"/>
    </row>
    <row r="24" ht="18" customHeight="1">
      <c r="A24" s="21" t="n">
        <v>7</v>
      </c>
      <c r="B24" s="22" t="inlineStr">
        <is>
          <t>24060124120019</t>
        </is>
      </c>
      <c r="C24" s="22" t="inlineStr">
        <is>
          <t>Nadia Azura Nurhaniya</t>
        </is>
      </c>
      <c r="D24" s="22" t="inlineStr">
        <is>
          <t>Backroom Escape</t>
        </is>
      </c>
      <c r="E24" s="22" t="inlineStr">
        <is>
          <t>-</t>
        </is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5">
        <f>SUM(F24:O24)</f>
        <v/>
      </c>
      <c r="Q24" s="26">
        <f>IF(P24="","",IF(P24&gt;=85,"A",IF(P24&gt;=75,"AB",IF(P24&gt;=65,"B",IF(P24&gt;=55,"BC",IF(P24&gt;=45,"C",IF(P24&gt;=35,"D","E")))))))</f>
        <v/>
      </c>
      <c r="R24" s="8" t="inlineStr"/>
    </row>
    <row r="25" ht="18" customHeight="1">
      <c r="A25" s="21" t="n">
        <v>7</v>
      </c>
      <c r="B25" s="22" t="inlineStr">
        <is>
          <t>24060124110142</t>
        </is>
      </c>
      <c r="C25" s="22" t="inlineStr">
        <is>
          <t>Muchamad Yuda Tri Ananda</t>
        </is>
      </c>
      <c r="D25" s="22" t="inlineStr"/>
      <c r="E25" s="22" t="inlineStr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5">
        <f>SUM(F25:O25)</f>
        <v/>
      </c>
      <c r="Q25" s="26">
        <f>IF(P25="","",IF(P25&gt;=85,"A",IF(P25&gt;=75,"AB",IF(P25&gt;=65,"B",IF(P25&gt;=55,"BC",IF(P25&gt;=45,"C",IF(P25&gt;=35,"D","E")))))))</f>
        <v/>
      </c>
      <c r="R25" s="8" t="inlineStr"/>
    </row>
    <row r="26" ht="18" customHeight="1">
      <c r="A26" s="21" t="n">
        <v>7</v>
      </c>
      <c r="B26" s="22" t="inlineStr">
        <is>
          <t>24060124120006</t>
        </is>
      </c>
      <c r="C26" s="22" t="inlineStr">
        <is>
          <t>Aditya Sultonul Ulya</t>
        </is>
      </c>
      <c r="D26" s="22" t="inlineStr"/>
      <c r="E26" s="22" t="inlineStr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5">
        <f>SUM(F26:O26)</f>
        <v/>
      </c>
      <c r="Q26" s="26">
        <f>IF(P26="","",IF(P26&gt;=85,"A",IF(P26&gt;=75,"AB",IF(P26&gt;=65,"B",IF(P26&gt;=55,"BC",IF(P26&gt;=45,"C",IF(P26&gt;=35,"D","E")))))))</f>
        <v/>
      </c>
      <c r="R26" s="8" t="inlineStr"/>
    </row>
    <row r="27" ht="18" customHeight="1">
      <c r="A27" s="21" t="n">
        <v>7</v>
      </c>
      <c r="B27" s="22" t="inlineStr">
        <is>
          <t>24060124140177</t>
        </is>
      </c>
      <c r="C27" s="22" t="inlineStr">
        <is>
          <t>Rayhan Gerard Darmawan</t>
        </is>
      </c>
      <c r="D27" s="22" t="inlineStr"/>
      <c r="E27" s="22" t="inlineStr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5">
        <f>SUM(F27:O27)</f>
        <v/>
      </c>
      <c r="Q27" s="26">
        <f>IF(P27="","",IF(P27&gt;=85,"A",IF(P27&gt;=75,"AB",IF(P27&gt;=65,"B",IF(P27&gt;=55,"BC",IF(P27&gt;=45,"C",IF(P27&gt;=35,"D","E")))))))</f>
        <v/>
      </c>
      <c r="R27" s="8" t="inlineStr"/>
    </row>
    <row r="28" ht="18" customHeight="1">
      <c r="A28" s="27" t="n">
        <v>8</v>
      </c>
      <c r="B28" s="28" t="inlineStr">
        <is>
          <t>24060124140124</t>
        </is>
      </c>
      <c r="C28" s="28" t="inlineStr">
        <is>
          <t>Aqiatillah Rezi Zhafran</t>
        </is>
      </c>
      <c r="D28" s="28" t="inlineStr">
        <is>
          <t>FreakyMaze</t>
        </is>
      </c>
      <c r="E28" s="28" t="inlineStr">
        <is>
          <t>-</t>
        </is>
      </c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25">
        <f>SUM(F28:O28)</f>
        <v/>
      </c>
      <c r="Q28" s="26">
        <f>IF(P28="","",IF(P28&gt;=85,"A",IF(P28&gt;=75,"AB",IF(P28&gt;=65,"B",IF(P28&gt;=55,"BC",IF(P28&gt;=45,"C",IF(P28&gt;=35,"D","E")))))))</f>
        <v/>
      </c>
      <c r="R28" s="5" t="inlineStr"/>
    </row>
    <row r="29" ht="18" customHeight="1">
      <c r="A29" s="27" t="n">
        <v>8</v>
      </c>
      <c r="B29" s="28" t="inlineStr">
        <is>
          <t>24060124140166</t>
        </is>
      </c>
      <c r="C29" s="28" t="inlineStr">
        <is>
          <t>Muhammad Farhan Abdul Azis</t>
        </is>
      </c>
      <c r="D29" s="28" t="inlineStr"/>
      <c r="E29" s="28" t="inlineStr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25">
        <f>SUM(F29:O29)</f>
        <v/>
      </c>
      <c r="Q29" s="26">
        <f>IF(P29="","",IF(P29&gt;=85,"A",IF(P29&gt;=75,"AB",IF(P29&gt;=65,"B",IF(P29&gt;=55,"BC",IF(P29&gt;=45,"C",IF(P29&gt;=35,"D","E")))))))</f>
        <v/>
      </c>
      <c r="R29" s="5" t="inlineStr"/>
    </row>
    <row r="30" ht="18" customHeight="1">
      <c r="A30" s="27" t="n">
        <v>8</v>
      </c>
      <c r="B30" s="28" t="inlineStr">
        <is>
          <t>24060124140139</t>
        </is>
      </c>
      <c r="C30" s="28" t="inlineStr">
        <is>
          <t>Muhammad Fauzan Akbar</t>
        </is>
      </c>
      <c r="D30" s="28" t="inlineStr"/>
      <c r="E30" s="28" t="inlineStr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25">
        <f>SUM(F30:O30)</f>
        <v/>
      </c>
      <c r="Q30" s="26">
        <f>IF(P30="","",IF(P30&gt;=85,"A",IF(P30&gt;=75,"AB",IF(P30&gt;=65,"B",IF(P30&gt;=55,"BC",IF(P30&gt;=45,"C",IF(P30&gt;=35,"D","E")))))))</f>
        <v/>
      </c>
      <c r="R30" s="5" t="inlineStr"/>
    </row>
    <row r="31" ht="18" customHeight="1">
      <c r="A31" s="27" t="n">
        <v>8</v>
      </c>
      <c r="B31" s="28" t="inlineStr">
        <is>
          <t>24060124120016</t>
        </is>
      </c>
      <c r="C31" s="28" t="inlineStr">
        <is>
          <t>Quinta Aurabiansyah</t>
        </is>
      </c>
      <c r="D31" s="28" t="inlineStr"/>
      <c r="E31" s="28" t="inlineStr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25">
        <f>SUM(F31:O31)</f>
        <v/>
      </c>
      <c r="Q31" s="26">
        <f>IF(P31="","",IF(P31&gt;=85,"A",IF(P31&gt;=75,"AB",IF(P31&gt;=65,"B",IF(P31&gt;=55,"BC",IF(P31&gt;=45,"C",IF(P31&gt;=35,"D","E")))))))</f>
        <v/>
      </c>
      <c r="R31" s="5" t="inlineStr"/>
    </row>
    <row r="32" ht="18" customHeight="1">
      <c r="A32" s="21" t="n">
        <v>9</v>
      </c>
      <c r="B32" s="22" t="inlineStr">
        <is>
          <t>24060124140151</t>
        </is>
      </c>
      <c r="C32" s="22" t="inlineStr">
        <is>
          <t>Akmal Dzaki Rahmatullah</t>
        </is>
      </c>
      <c r="D32" s="22" t="inlineStr">
        <is>
          <t>Hill Climbing</t>
        </is>
      </c>
      <c r="E32" s="23" t="inlineStr">
        <is>
          <t>https://youtu.be/IVyrxIBSRzE</t>
        </is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5">
        <f>SUM(F32:O32)</f>
        <v/>
      </c>
      <c r="Q32" s="26">
        <f>IF(P32="","",IF(P32&gt;=85,"A",IF(P32&gt;=75,"AB",IF(P32&gt;=65,"B",IF(P32&gt;=55,"BC",IF(P32&gt;=45,"C",IF(P32&gt;=35,"D","E")))))))</f>
        <v/>
      </c>
      <c r="R32" s="8" t="inlineStr"/>
    </row>
    <row r="33" ht="18" customHeight="1">
      <c r="A33" s="21" t="n">
        <v>9</v>
      </c>
      <c r="B33" s="22" t="inlineStr">
        <is>
          <t>24060124120015</t>
        </is>
      </c>
      <c r="C33" s="22" t="inlineStr">
        <is>
          <t>Wahyu Eko Setyo Pribowo</t>
        </is>
      </c>
      <c r="D33" s="22" t="inlineStr"/>
      <c r="E33" s="22" t="inlineStr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5">
        <f>SUM(F33:O33)</f>
        <v/>
      </c>
      <c r="Q33" s="26">
        <f>IF(P33="","",IF(P33&gt;=85,"A",IF(P33&gt;=75,"AB",IF(P33&gt;=65,"B",IF(P33&gt;=55,"BC",IF(P33&gt;=45,"C",IF(P33&gt;=35,"D","E")))))))</f>
        <v/>
      </c>
      <c r="R33" s="8" t="inlineStr"/>
    </row>
    <row r="34" ht="18" customHeight="1">
      <c r="A34" s="27" t="n">
        <v>10</v>
      </c>
      <c r="B34" s="28" t="inlineStr">
        <is>
          <t>24060124140200</t>
        </is>
      </c>
      <c r="C34" s="28" t="inlineStr">
        <is>
          <t>Muhammad Zaidaan Ardiyansyah</t>
        </is>
      </c>
      <c r="D34" s="28" t="inlineStr">
        <is>
          <t>Ruang's Games</t>
        </is>
      </c>
      <c r="E34" s="28" t="inlineStr">
        <is>
          <t>-</t>
        </is>
      </c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25">
        <f>SUM(F34:O34)</f>
        <v/>
      </c>
      <c r="Q34" s="26">
        <f>IF(P34="","",IF(P34&gt;=85,"A",IF(P34&gt;=75,"AB",IF(P34&gt;=65,"B",IF(P34&gt;=55,"BC",IF(P34&gt;=45,"C",IF(P34&gt;=35,"D","E")))))))</f>
        <v/>
      </c>
      <c r="R34" s="5" t="inlineStr"/>
    </row>
    <row r="35" ht="18" customHeight="1">
      <c r="A35" s="27" t="n">
        <v>10</v>
      </c>
      <c r="B35" s="28" t="inlineStr">
        <is>
          <t>24060124120013</t>
        </is>
      </c>
      <c r="C35" s="28" t="inlineStr">
        <is>
          <t>Muhammad Kemal Faza</t>
        </is>
      </c>
      <c r="D35" s="28" t="inlineStr"/>
      <c r="E35" s="28" t="inlineStr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25">
        <f>SUM(F35:O35)</f>
        <v/>
      </c>
      <c r="Q35" s="26">
        <f>IF(P35="","",IF(P35&gt;=85,"A",IF(P35&gt;=75,"AB",IF(P35&gt;=65,"B",IF(P35&gt;=55,"BC",IF(P35&gt;=45,"C",IF(P35&gt;=35,"D","E")))))))</f>
        <v/>
      </c>
      <c r="R35" s="5" t="inlineStr"/>
    </row>
    <row r="36" ht="18" customHeight="1">
      <c r="A36" s="27" t="n">
        <v>10</v>
      </c>
      <c r="B36" s="28" t="inlineStr">
        <is>
          <t>24060124130053</t>
        </is>
      </c>
      <c r="C36" s="28" t="inlineStr">
        <is>
          <t>Anintya Abhi Wiryateja</t>
        </is>
      </c>
      <c r="D36" s="28" t="inlineStr"/>
      <c r="E36" s="28" t="inlineStr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25">
        <f>SUM(F36:O36)</f>
        <v/>
      </c>
      <c r="Q36" s="26">
        <f>IF(P36="","",IF(P36&gt;=85,"A",IF(P36&gt;=75,"AB",IF(P36&gt;=65,"B",IF(P36&gt;=55,"BC",IF(P36&gt;=45,"C",IF(P36&gt;=35,"D","E")))))))</f>
        <v/>
      </c>
      <c r="R36" s="5" t="inlineStr"/>
    </row>
    <row r="37" ht="18" customHeight="1">
      <c r="A37" s="21" t="n">
        <v>11</v>
      </c>
      <c r="B37" s="22" t="inlineStr">
        <is>
          <t>24060124140175</t>
        </is>
      </c>
      <c r="C37" s="22" t="inlineStr">
        <is>
          <t>Mischa Nathanael Lumban Tobing</t>
        </is>
      </c>
      <c r="D37" s="22" t="inlineStr">
        <is>
          <t>Caterpillar Game 3D</t>
        </is>
      </c>
      <c r="E37" s="22" t="inlineStr">
        <is>
          <t>-</t>
        </is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5">
        <f>SUM(F37:O37)</f>
        <v/>
      </c>
      <c r="Q37" s="26">
        <f>IF(P37="","",IF(P37&gt;=85,"A",IF(P37&gt;=75,"AB",IF(P37&gt;=65,"B",IF(P37&gt;=55,"BC",IF(P37&gt;=45,"C",IF(P37&gt;=35,"D","E")))))))</f>
        <v/>
      </c>
      <c r="R37" s="8" t="inlineStr"/>
    </row>
    <row r="38" ht="18" customHeight="1">
      <c r="A38" s="21" t="n">
        <v>11</v>
      </c>
      <c r="B38" s="22" t="inlineStr">
        <is>
          <t>24060124130067</t>
        </is>
      </c>
      <c r="C38" s="22" t="inlineStr">
        <is>
          <t>Levi Ramot Siahaan</t>
        </is>
      </c>
      <c r="D38" s="22" t="inlineStr"/>
      <c r="E38" s="22" t="inlineStr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5">
        <f>SUM(F38:O38)</f>
        <v/>
      </c>
      <c r="Q38" s="26">
        <f>IF(P38="","",IF(P38&gt;=85,"A",IF(P38&gt;=75,"AB",IF(P38&gt;=65,"B",IF(P38&gt;=55,"BC",IF(P38&gt;=45,"C",IF(P38&gt;=35,"D","E")))))))</f>
        <v/>
      </c>
      <c r="R38" s="8" t="inlineStr"/>
    </row>
    <row r="40">
      <c r="A40" s="31" t="inlineStr">
        <is>
          <t>SKALA NILAI: A ≥ 85 | AB 75–84 | B 65–74 | BC 55–64 | C 45–54 | D 35–44 | E &lt; 35</t>
        </is>
      </c>
    </row>
  </sheetData>
  <mergeCells count="2">
    <mergeCell ref="A40:E40"/>
    <mergeCell ref="A1:R1"/>
  </mergeCells>
  <hyperlinks>
    <hyperlink xmlns:r="http://schemas.openxmlformats.org/officeDocument/2006/relationships" ref="E5" r:id="rId1"/>
    <hyperlink xmlns:r="http://schemas.openxmlformats.org/officeDocument/2006/relationships" ref="E13" r:id="rId2"/>
    <hyperlink xmlns:r="http://schemas.openxmlformats.org/officeDocument/2006/relationships" ref="E3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2026-06-29T17:25:36Z</dcterms:created>
  <dcterms:modified xsi:type="dcterms:W3CDTF">2026-06-29T17:25:36Z</dcterms:modified>
</cp:coreProperties>
</file>