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tabSelected="1" topLeftCell="F1" workbookViewId="0">
      <selection activeCell="I11" sqref="I11"/>
    </sheetView>
  </sheetViews>
  <sheetFormatPr baseColWidth="10" defaultColWidth="8.83203125" defaultRowHeight="15"/>
  <cols>
    <col width="17.5" bestFit="1" customWidth="1" min="1" max="1"/>
    <col width="49.3320312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PAIK6404 - Grafika dan Komputasi Visual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NDk5MjQ1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24060122140122</t>
        </is>
      </c>
      <c r="B8" t="inlineStr">
        <is>
          <t>RAFI DEANDRA (&lt; 75%)</t>
        </is>
      </c>
      <c r="C8" t="n">
        <v>8</v>
      </c>
      <c r="D8" t="inlineStr">
        <is>
          <t>PERBAIKAN</t>
        </is>
      </c>
      <c r="E8" s="3" t="n"/>
      <c r="F8" s="3" t="n"/>
      <c r="G8" s="5" t="n">
        <v>60</v>
      </c>
      <c r="H8" s="3" t="n"/>
      <c r="I8" s="3" t="n">
        <v>22</v>
      </c>
      <c r="J8" s="2" t="n"/>
      <c r="K8" s="2">
        <f>ROUND( ((E8*10+F8*40+G8*5+H8*5+I8*20+J8*20)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</row>
    <row r="9">
      <c r="A9" t="inlineStr">
        <is>
          <t>24060122130091</t>
        </is>
      </c>
      <c r="B9" t="inlineStr">
        <is>
          <t>ANANDA BAGUS TRI UTOMO</t>
        </is>
      </c>
      <c r="C9" t="n">
        <v>8</v>
      </c>
      <c r="D9" t="inlineStr">
        <is>
          <t>BARU</t>
        </is>
      </c>
      <c r="E9" s="3" t="n"/>
      <c r="F9" s="3" t="n"/>
      <c r="G9" s="5" t="n">
        <v>60</v>
      </c>
      <c r="H9" s="3" t="n"/>
      <c r="I9" s="3" t="n">
        <v>18</v>
      </c>
      <c r="J9" s="3" t="n"/>
      <c r="K9" s="2">
        <f>ROUND( ((E9*10+F9*40+G9*5+H9*5+I9*20+J9*20)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</row>
    <row r="10">
      <c r="A10" t="inlineStr">
        <is>
          <t>24060122140147</t>
        </is>
      </c>
      <c r="B10" t="inlineStr">
        <is>
          <t>NABIL RAZAKI HERMAN</t>
        </is>
      </c>
      <c r="C10" t="n">
        <v>8</v>
      </c>
      <c r="D10" t="inlineStr">
        <is>
          <t>BARU</t>
        </is>
      </c>
      <c r="E10" s="3" t="n"/>
      <c r="F10" s="3" t="n"/>
      <c r="G10" s="5" t="n">
        <v>60</v>
      </c>
      <c r="H10" s="3" t="n"/>
      <c r="I10" s="3" t="n">
        <v>0</v>
      </c>
      <c r="J10" s="3" t="n"/>
      <c r="K10" s="2">
        <f>ROUND( ((E10*10+F10*40+G10*5+H10*5+I10*20+J10*20)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</row>
    <row r="11">
      <c r="A11" t="inlineStr">
        <is>
          <t>24060122140141</t>
        </is>
      </c>
      <c r="B11" t="inlineStr">
        <is>
          <t>MUHAMAD HAFIDZ ZULFIKAR</t>
        </is>
      </c>
      <c r="C11" t="n">
        <v>8</v>
      </c>
      <c r="D11" t="inlineStr">
        <is>
          <t>ULANG</t>
        </is>
      </c>
      <c r="E11" s="3" t="n"/>
      <c r="F11" s="3" t="n"/>
      <c r="G11" s="5" t="n">
        <v>60</v>
      </c>
      <c r="H11" s="3" t="n"/>
      <c r="I11" s="3" t="n">
        <v>5</v>
      </c>
      <c r="J11" s="3" t="n"/>
      <c r="K11" s="2">
        <f>ROUND( ((E11*10+F11*40+G11*5+H11*5+I11*20+J11*20) / 100), 2)</f>
        <v/>
      </c>
      <c r="L11" s="2">
        <f>IF(AND(K11&gt;=80, K11&lt;=100), "A", IF(AND(K11&gt;=70, K11&lt;=79.99999999999), "B", IF(AND(K11&gt;=60, K11&lt;=69.9999999999), "C", IF(AND(K11&gt;=51, K11&lt;=59.999999999), "D", IF(AND(K11&gt;=0, K11&lt;=50.999999999), "E",  "E"  )  )  )  )  )</f>
        <v/>
      </c>
      <c r="M11">
        <f>IF(AND(K11&gt;=80, K11&lt;=100), "4", IF(AND(K11&gt;=70, K11&lt;=79.99999999999), "3", IF(AND(K11&gt;=60, K11&lt;=69.9999999999), "2", IF(AND(K11&gt;=51, K11&lt;=59.999999999), "1", IF(AND(K11&gt;=0, K11&lt;=50.999999999), "0",  "0"  )  )  )  ) 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2026-06-15T00:27:58Z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