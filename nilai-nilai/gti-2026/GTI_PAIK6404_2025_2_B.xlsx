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3_GTI_15/"/>
    </mc:Choice>
  </mc:AlternateContent>
  <xr:revisionPtr revIDLastSave="0" documentId="13_ncr:1_{40AA1139-89B9-2A40-8FCC-FD6FF1F650E3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M11" i="1" s="1"/>
  <c r="K10" i="1"/>
  <c r="L10" i="1" s="1"/>
  <c r="K9" i="1"/>
  <c r="M9" i="1" s="1"/>
  <c r="K8" i="1"/>
  <c r="M8" i="1" s="1"/>
  <c r="L9" i="1" l="1"/>
  <c r="M10" i="1"/>
  <c r="L8" i="1"/>
  <c r="L11" i="1"/>
</calcChain>
</file>

<file path=xl/sharedStrings.xml><?xml version="1.0" encoding="utf-8"?>
<sst xmlns="http://schemas.openxmlformats.org/spreadsheetml/2006/main" count="36" uniqueCount="34">
  <si>
    <t>Mata Kuliah</t>
  </si>
  <si>
    <t>: PAIK6404 - Grafika dan Komputasi Visual</t>
  </si>
  <si>
    <t>Tahun Ajaran</t>
  </si>
  <si>
    <t>: 2025</t>
  </si>
  <si>
    <t>NDk5MjQ1</t>
  </si>
  <si>
    <t>Semester</t>
  </si>
  <si>
    <t>: Genap</t>
  </si>
  <si>
    <t>Kelas</t>
  </si>
  <si>
    <t>: B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</si>
  <si>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</si>
  <si>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</si>
  <si>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</si>
  <si>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</si>
  <si>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</si>
  <si>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</si>
  <si>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</si>
  <si>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(5%)</t>
  </si>
  <si>
    <t>Nilai Quiz (0,00-100,00) (5%)</t>
  </si>
  <si>
    <t>Nilai UTS (0,00-100,00) (20%)</t>
  </si>
  <si>
    <t>Nilai UAS (0,00-100) (20%)</t>
  </si>
  <si>
    <t>Nilai Akhir Angka (0,00-100,00)</t>
  </si>
  <si>
    <t>Nilai Akhir Huruf (A/B/C/D/E)</t>
  </si>
  <si>
    <t>Nilai Bobot (0-4)</t>
  </si>
  <si>
    <t>24060122140122</t>
  </si>
  <si>
    <t>RAFI DEANDRA (&lt; 75%)</t>
  </si>
  <si>
    <t>PERBAIKAN</t>
  </si>
  <si>
    <t>24060122130091</t>
  </si>
  <si>
    <t>ANANDA BAGUS TRI UTOMO</t>
  </si>
  <si>
    <t>BARU</t>
  </si>
  <si>
    <t>24060122140147</t>
  </si>
  <si>
    <t>NABIL RAZAKI HERMAN</t>
  </si>
  <si>
    <t>24060122140141</t>
  </si>
  <si>
    <t>MUHAMAD HAFIDZ ZULFIKAR</t>
  </si>
  <si>
    <t>ULANG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</si>
</sst>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FFFFFF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tabSelected="1" topLeftCell="F1" workbookViewId="0">
      <selection activeCell="I11" sqref="I11"/>
    </sheetView>
  </sheetViews>
  <sheetFormatPr baseColWidth="10" defaultColWidth="8.83203125" defaultRowHeight="15" x14ac:dyDescent="0.2"/>
  <cols>
    <col min="1" max="1" width="17.5" bestFit="1" customWidth="1"/>
    <col min="2" max="2" width="49.33203125" bestFit="1" customWidth="1"/>
    <col min="3" max="3" width="10.5" bestFit="1" customWidth="1"/>
    <col min="4" max="4" width="11.6640625" bestFit="1" customWidth="1"/>
    <col min="5" max="5" width="57.6640625" bestFit="1" customWidth="1"/>
    <col min="6" max="6" width="45.83203125" bestFit="1" customWidth="1"/>
    <col min="7" max="7" width="36.5" bestFit="1" customWidth="1"/>
    <col min="8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8</v>
      </c>
      <c r="D8" t="s">
        <v>25</v>
      </c>
      <c r="E8" s="3"/>
      <c r="F8" s="3"/>
      <c r="G8" s="3"/>
      <c r="H8" s="3"/>
      <c r="I8" s="3">
        <v>22</v>
      </c>
      <c r="J8" s="2"/>
      <c r="K8" s="2">
        <f>ROUND( ((E8*10+F8*40+G8*5+H8*5+I8*20+J8*20) / 100), 2)</f>
        <v>4.4000000000000004</v>
      </c>
      <c r="L8" s="2" t="str">
        <f>IF(AND(K8&gt;=80, K8&lt;=100), "A", IF(AND(K8&gt;=70, K8&lt;=79.99999999999), "B", IF(AND(K8&gt;=60, K8&lt;=69.9999999999), "C", IF(AND(K8&gt;=51, K8&lt;=59.999999999), "D", IF(AND(K8&gt;=0, K8&lt;=50.999999999), "E",  "E"  )  )  )  )  )</f>
        <v>E</v>
      </c>
      <c r="M8" t="str">
        <f>IF(AND(K8&gt;=80, K8&lt;=100), "4", IF(AND(K8&gt;=70, K8&lt;=79.99999999999), "3", IF(AND(K8&gt;=60, K8&lt;=69.9999999999), "2", IF(AND(K8&gt;=51, K8&lt;=59.999999999), "1", IF(AND(K8&gt;=0, K8&lt;=50.999999999), "0",  "0"  )  )  )  )  )</f>
        <v>0</v>
      </c>
    </row>
    <row r="9" spans="1:13" x14ac:dyDescent="0.2">
      <c r="A9" t="s">
        <v>26</v>
      </c>
      <c r="B9" t="s">
        <v>27</v>
      </c>
      <c r="C9">
        <v>8</v>
      </c>
      <c r="D9" t="s">
        <v>28</v>
      </c>
      <c r="E9" s="3"/>
      <c r="F9" s="3"/>
      <c r="G9" s="3"/>
      <c r="H9" s="3"/>
      <c r="I9" s="3">
        <v>18</v>
      </c>
      <c r="J9" s="3"/>
      <c r="K9" s="2">
        <f>ROUND( ((E9*10+F9*40+G9*5+H9*5+I9*20+J9*20) / 100), 2)</f>
        <v>3.6</v>
      </c>
      <c r="L9" s="2" t="str">
        <f>IF(AND(K9&gt;=80, K9&lt;=100), "A", IF(AND(K9&gt;=70, K9&lt;=79.99999999999), "B", IF(AND(K9&gt;=60, K9&lt;=69.9999999999), "C", IF(AND(K9&gt;=51, K9&lt;=59.999999999), "D", IF(AND(K9&gt;=0, K9&lt;=50.999999999), "E",  "E"  )  )  )  )  )</f>
        <v>E</v>
      </c>
      <c r="M9" t="str">
        <f>IF(AND(K9&gt;=80, K9&lt;=100), "4", IF(AND(K9&gt;=70, K9&lt;=79.99999999999), "3", IF(AND(K9&gt;=60, K9&lt;=69.9999999999), "2", IF(AND(K9&gt;=51, K9&lt;=59.999999999), "1", IF(AND(K9&gt;=0, K9&lt;=50.999999999), "0",  "0"  )  )  )  )  )</f>
        <v>0</v>
      </c>
    </row>
    <row r="10" spans="1:13" x14ac:dyDescent="0.2">
      <c r="A10" t="s">
        <v>29</v>
      </c>
      <c r="B10" t="s">
        <v>30</v>
      </c>
      <c r="C10">
        <v>8</v>
      </c>
      <c r="D10" t="s">
        <v>28</v>
      </c>
      <c r="E10" s="3"/>
      <c r="F10" s="3"/>
      <c r="G10" s="3"/>
      <c r="H10" s="3"/>
      <c r="I10" s="3">
        <v>0</v>
      </c>
      <c r="J10" s="3"/>
      <c r="K10" s="2">
        <f>ROUND( ((E10*10+F10*40+G10*5+H10*5+I10*20+J10*20) / 100), 2)</f>
        <v>0</v>
      </c>
      <c r="L10" s="2" t="str">
        <f>IF(AND(K10&gt;=80, K10&lt;=100), "A", IF(AND(K10&gt;=70, K10&lt;=79.99999999999), "B", IF(AND(K10&gt;=60, K10&lt;=69.9999999999), "C", IF(AND(K10&gt;=51, K10&lt;=59.999999999), "D", IF(AND(K10&gt;=0, K10&lt;=50.999999999), "E",  "E"  )  )  )  )  )</f>
        <v>E</v>
      </c>
      <c r="M10" t="str">
        <f>IF(AND(K10&gt;=80, K10&lt;=100), "4", IF(AND(K10&gt;=70, K10&lt;=79.99999999999), "3", IF(AND(K10&gt;=60, K10&lt;=69.9999999999), "2", IF(AND(K10&gt;=51, K10&lt;=59.999999999), "1", IF(AND(K10&gt;=0, K10&lt;=50.999999999), "0",  "0"  )  )  )  )  )</f>
        <v>0</v>
      </c>
    </row>
    <row r="11" spans="1:13" x14ac:dyDescent="0.2">
      <c r="A11" t="s">
        <v>31</v>
      </c>
      <c r="B11" t="s">
        <v>32</v>
      </c>
      <c r="C11">
        <v>8</v>
      </c>
      <c r="D11" t="s">
        <v>33</v>
      </c>
      <c r="E11" s="3"/>
      <c r="F11" s="3"/>
      <c r="G11" s="3"/>
      <c r="H11" s="3"/>
      <c r="I11" s="3">
        <v>5</v>
      </c>
      <c r="J11" s="3"/>
      <c r="K11" s="2">
        <f>ROUND( ((E11*10+F11*40+G11*5+H11*5+I11*20+J11*20) / 100), 2)</f>
        <v>1</v>
      </c>
      <c r="L11" s="2" t="str">
        <f>IF(AND(K11&gt;=80, K11&lt;=100), "A", IF(AND(K11&gt;=70, K11&lt;=79.99999999999), "B", IF(AND(K11&gt;=60, K11&lt;=69.9999999999), "C", IF(AND(K11&gt;=51, K11&lt;=59.999999999), "D", IF(AND(K11&gt;=0, K11&lt;=50.999999999), "E",  "E"  )  )  )  )  )</f>
        <v>E</v>
      </c>
      <c r="M11" t="str">
        <f>IF(AND(K11&gt;=80, K11&lt;=100), "4", IF(AND(K11&gt;=70, K11&lt;=79.99999999999), "3", IF(AND(K11&gt;=60, K11&lt;=69.9999999999), "2", IF(AND(K11&gt;=51, K11&lt;=59.999999999), "1", IF(AND(K11&gt;=0, K11&lt;=50.999999999), "0",  "0"  )  )  )  )  )</f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2026-06-15T00:27:58Z</dcterms:created>
  <dcterms:modified xsi:type="dcterms:W3CDTF">2026-06-29T16:27:10Z</dcterms:modified>
  <cp:category>Test result file</cp:category>
</cp:coreProperties>
</file>