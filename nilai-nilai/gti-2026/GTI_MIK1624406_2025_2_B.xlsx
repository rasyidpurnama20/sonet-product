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codeName="ThisWorkbook"/>
  <mc:AlternateContent xmlns:mc="http://schemas.openxmlformats.org/markup-compatibility/2006">
    <mc:Choice Requires="x15">
      <x15ac:absPath xmlns:x15ac="http://schemas.microsoft.com/office/spreadsheetml/2010/11/ac" url="/Users/macbook-undip/Documents/KULIAH/KAMPUS LAIN-LAIN/UTS dan UAS/Genap 2526/3_GTI_15/"/>
    </mc:Choice>
  </mc:AlternateContent>
  <xr:revisionPtr revIDLastSave="0" documentId="13_ncr:1_{304B81C1-40E9-3A4C-94FD-C9F43607DE55}" xr6:coauthVersionLast="47" xr6:coauthVersionMax="47" xr10:uidLastSave="{00000000-0000-0000-0000-000000000000}"/>
  <bookViews>
    <workbookView xWindow="0" yWindow="500" windowWidth="28800" windowHeight="1630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4" i="1" l="1"/>
  <c r="M44" i="1" s="1"/>
  <c r="K43" i="1"/>
  <c r="L43" i="1" s="1"/>
  <c r="K42" i="1"/>
  <c r="L42" i="1" s="1"/>
  <c r="K41" i="1"/>
  <c r="M41" i="1" s="1"/>
  <c r="K40" i="1"/>
  <c r="L40" i="1" s="1"/>
  <c r="K39" i="1"/>
  <c r="L39" i="1" s="1"/>
  <c r="K38" i="1"/>
  <c r="M38" i="1" s="1"/>
  <c r="K37" i="1"/>
  <c r="M37" i="1" s="1"/>
  <c r="K36" i="1"/>
  <c r="M36" i="1" s="1"/>
  <c r="K35" i="1"/>
  <c r="M35" i="1" s="1"/>
  <c r="K34" i="1"/>
  <c r="M34" i="1" s="1"/>
  <c r="K33" i="1"/>
  <c r="L33" i="1" s="1"/>
  <c r="K32" i="1"/>
  <c r="M32" i="1" s="1"/>
  <c r="K31" i="1"/>
  <c r="L31" i="1" s="1"/>
  <c r="K30" i="1"/>
  <c r="M30" i="1" s="1"/>
  <c r="K29" i="1"/>
  <c r="M29" i="1" s="1"/>
  <c r="K28" i="1"/>
  <c r="M28" i="1" s="1"/>
  <c r="K27" i="1"/>
  <c r="M27" i="1" s="1"/>
  <c r="K26" i="1"/>
  <c r="L26" i="1" s="1"/>
  <c r="K25" i="1"/>
  <c r="M25" i="1" s="1"/>
  <c r="K24" i="1"/>
  <c r="M24" i="1" s="1"/>
  <c r="K23" i="1"/>
  <c r="L23" i="1" s="1"/>
  <c r="K22" i="1"/>
  <c r="M22" i="1" s="1"/>
  <c r="K21" i="1"/>
  <c r="M21" i="1" s="1"/>
  <c r="K20" i="1"/>
  <c r="M20" i="1" s="1"/>
  <c r="K19" i="1"/>
  <c r="M19" i="1" s="1"/>
  <c r="M18" i="1"/>
  <c r="K18" i="1"/>
  <c r="L18" i="1" s="1"/>
  <c r="K17" i="1"/>
  <c r="M17" i="1" s="1"/>
  <c r="K16" i="1"/>
  <c r="M16" i="1" s="1"/>
  <c r="K15" i="1"/>
  <c r="L15" i="1" s="1"/>
  <c r="K14" i="1"/>
  <c r="M14" i="1" s="1"/>
  <c r="K13" i="1"/>
  <c r="M13" i="1" s="1"/>
  <c r="K12" i="1"/>
  <c r="M12" i="1" s="1"/>
  <c r="K11" i="1"/>
  <c r="L11" i="1" s="1"/>
  <c r="L10" i="1"/>
  <c r="K10" i="1"/>
  <c r="M10" i="1" s="1"/>
  <c r="K9" i="1"/>
  <c r="M9" i="1" s="1"/>
  <c r="K8" i="1"/>
  <c r="M8" i="1" s="1"/>
  <c r="L29" i="1" l="1"/>
  <c r="M15" i="1"/>
  <c r="L21" i="1"/>
  <c r="L37" i="1"/>
  <c r="M42" i="1"/>
  <c r="M26" i="1"/>
  <c r="L34" i="1"/>
  <c r="M23" i="1"/>
  <c r="M31" i="1"/>
  <c r="M39" i="1"/>
  <c r="M11" i="1"/>
  <c r="L41" i="1"/>
  <c r="L13" i="1"/>
  <c r="L8" i="1"/>
  <c r="L32" i="1"/>
  <c r="L35" i="1"/>
  <c r="M40" i="1"/>
  <c r="L14" i="1"/>
  <c r="L30" i="1"/>
  <c r="L38" i="1"/>
  <c r="M43" i="1"/>
  <c r="L9" i="1"/>
  <c r="L17" i="1"/>
  <c r="L20" i="1"/>
  <c r="M33" i="1"/>
  <c r="L36" i="1"/>
  <c r="L44" i="1"/>
  <c r="L16" i="1"/>
  <c r="L24" i="1"/>
  <c r="L19" i="1"/>
  <c r="L27" i="1"/>
  <c r="L22" i="1"/>
  <c r="L25" i="1"/>
  <c r="L12" i="1"/>
  <c r="L28" i="1"/>
</calcChain>
</file>

<file path=xl/sharedStrings.xml><?xml version="1.0" encoding="utf-8"?>
<sst xmlns="http://schemas.openxmlformats.org/spreadsheetml/2006/main" count="135" uniqueCount="98">
  <si>
    <t>Mata Kuliah</t>
  </si>
  <si>
    <t>: MIK1624406 - Grafik dan Teknik Interaktif</t>
  </si>
  <si>
    <t>Tahun Ajaran</t>
  </si>
  <si>
    <t>: 2025</t>
  </si>
  <si>
    <t>NDk5MjQw</t>
  </si>
  <si>
    <t>Semester</t>
  </si>
  <si>
    <t>: Genap</t>
  </si>
  <si>
    <t>Kelas</t>
  </si>
  <si>
    <t>: B</t>
  </si>
  <si>
    <t>Prodi</t>
  </si>
  <si>
    <t>: S1-TEKNIK INFORMATIKA</t>
  </si>
  <si>
    <t>NIM</t>
  </si>
  <si>
    <t>Nama Mahasiswa</t>
  </si>
  <si>
    <t>Status</t>
  </si>
  <si>
    <t>Nilai Aktivitas Partisipatif (0,00-100,00) (10%)</t>
  </si>
  <si>
    <t>Nilai Hasil Proyek (0,00-100,00) (40%)</t>
  </si>
  <si>
    <t>Nilai Tugas (0,00-100,00) (5%)</t>
  </si>
  <si>
    <t>Nilai Quiz (0,00-100,00) (5%)</t>
  </si>
  <si>
    <t>Nilai UTS (0,00-100,00) (20%)</t>
  </si>
  <si>
    <t>Nilai UAS (0,00-100) (20%)</t>
  </si>
  <si>
    <t>Nilai Akhir Angka (0,00-100,00)</t>
  </si>
  <si>
    <t>Nilai Akhir Huruf (A/B/C/D/E)</t>
  </si>
  <si>
    <t>Nilai Bobot (0-4)</t>
  </si>
  <si>
    <t>24060124140191</t>
  </si>
  <si>
    <t>ARGA YURA DANENDRA</t>
  </si>
  <si>
    <t>BARU</t>
  </si>
  <si>
    <t>24060124120025</t>
  </si>
  <si>
    <t>GANENDRA SATYA SINDHUNATA</t>
  </si>
  <si>
    <t>24060124130101</t>
  </si>
  <si>
    <t>GALANG BINTANG RAMADHAN</t>
  </si>
  <si>
    <t>24060124130121</t>
  </si>
  <si>
    <t>FAZL NIZAM PRIYAMBODHO</t>
  </si>
  <si>
    <t>24060124140162</t>
  </si>
  <si>
    <t>GALVIN SHALAHUDIN MUMTAZ</t>
  </si>
  <si>
    <t>24060124140185</t>
  </si>
  <si>
    <t>FARHAN MUHTARAM</t>
  </si>
  <si>
    <t>24060124120001</t>
  </si>
  <si>
    <t>RIZKY SAEFIRDAUS</t>
  </si>
  <si>
    <t>24060124120043</t>
  </si>
  <si>
    <t>SYIFA AENI MUDRIKAH</t>
  </si>
  <si>
    <t>24060124130071</t>
  </si>
  <si>
    <t>RAFI ANANDRA DHARMAWAN</t>
  </si>
  <si>
    <t>24060124130078</t>
  </si>
  <si>
    <t>RESTU SURYA (&lt; 75%)</t>
  </si>
  <si>
    <t>24060124130085</t>
  </si>
  <si>
    <t>RAFFA PUTRA NUGROHO</t>
  </si>
  <si>
    <t>24060124130106</t>
  </si>
  <si>
    <t>SHOFWAN FIKRUL HUDA</t>
  </si>
  <si>
    <t>24060124140146</t>
  </si>
  <si>
    <t>SHAFA AQILLA ZAHIRA</t>
  </si>
  <si>
    <t>24060124140155</t>
  </si>
  <si>
    <t>REVALINA SALWA ALIYA WICAKSONO PRABOWO</t>
  </si>
  <si>
    <t>24060124140157</t>
  </si>
  <si>
    <t>REYNALDI BERTINUS HUTAGAOL</t>
  </si>
  <si>
    <t>24060124140178</t>
  </si>
  <si>
    <t>RAIHAN LAZUARDI</t>
  </si>
  <si>
    <t>24060124120017</t>
  </si>
  <si>
    <t>LINTANG AULIA NURAINI</t>
  </si>
  <si>
    <t>24060124130077</t>
  </si>
  <si>
    <t>LAURENSIUS BRIAN PRAYOGA</t>
  </si>
  <si>
    <t>24060124130094</t>
  </si>
  <si>
    <t>MOSES MORELL YOSEFAN</t>
  </si>
  <si>
    <t>24060124140187</t>
  </si>
  <si>
    <t>MICHAEL STEVANO</t>
  </si>
  <si>
    <t>24060124140193</t>
  </si>
  <si>
    <t>MOHAMMAD BANYUPUTRA EKA PRAMUDHITA</t>
  </si>
  <si>
    <t>24060124120044</t>
  </si>
  <si>
    <t>JORDAN TENGGARA</t>
  </si>
  <si>
    <t>24060124130081</t>
  </si>
  <si>
    <t>HANA NAFI'ATUL HAQ</t>
  </si>
  <si>
    <t>24060124140128</t>
  </si>
  <si>
    <t>IDA BAGUS NGURAH YUDISTIRA KEMENUH</t>
  </si>
  <si>
    <t>24060124140153</t>
  </si>
  <si>
    <t>IZA YUNUS ANDHIKA</t>
  </si>
  <si>
    <t>24060124120027</t>
  </si>
  <si>
    <t>MUHAMMAD NAUVAL FADLI</t>
  </si>
  <si>
    <t>24060124140140</t>
  </si>
  <si>
    <t>MUHAMMAD IBRAHIM ALGHIFARI</t>
  </si>
  <si>
    <t>24060124140141</t>
  </si>
  <si>
    <t>MUCHAMMAD RAJIB TAFRICHAN</t>
  </si>
  <si>
    <t>24060124120038</t>
  </si>
  <si>
    <t>ALYSSA SHANE KURNIAWAN</t>
  </si>
  <si>
    <t>24060124140152</t>
  </si>
  <si>
    <t>ADHYAKSA MARGANDATUA BANJAR NAHOR</t>
  </si>
  <si>
    <t>24060124140179</t>
  </si>
  <si>
    <t>ADAM MULYA RASYID</t>
  </si>
  <si>
    <t>24060124120041</t>
  </si>
  <si>
    <t>NAWAAL HANIF MUMTAZ ARRIYE</t>
  </si>
  <si>
    <t>24060124120050</t>
  </si>
  <si>
    <t>OLIVIA OKTAVIANI</t>
  </si>
  <si>
    <t>24060124140132</t>
  </si>
  <si>
    <t>PUTI SHASTA KHAFIYANI</t>
  </si>
  <si>
    <t>24060124120002</t>
  </si>
  <si>
    <t>BIRELA MIADETA PURITA</t>
  </si>
  <si>
    <t>24060124120034</t>
  </si>
  <si>
    <t>DIAH MAULIDA PRATIWI</t>
  </si>
  <si>
    <t>24060124130105</t>
  </si>
  <si>
    <t>DEWANGGA RAJA ARI WIYASA (&lt; 75%)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</si>
</sst>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FFFF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0" fillId="0" borderId="0" xfId="0" applyNumberFormat="1"/>
    <xf numFmtId="2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4"/>
  <sheetViews>
    <sheetView tabSelected="1" workbookViewId="0">
      <selection activeCell="I32" sqref="I32"/>
    </sheetView>
  </sheetViews>
  <sheetFormatPr baseColWidth="10" defaultColWidth="8.83203125" defaultRowHeight="15" x14ac:dyDescent="0.2"/>
  <cols>
    <col min="1" max="1" width="17.5" bestFit="1" customWidth="1"/>
    <col min="2" max="2" width="51.83203125" bestFit="1" customWidth="1"/>
    <col min="3" max="3" width="10.5" bestFit="1" customWidth="1"/>
    <col min="4" max="4" width="8.1640625" bestFit="1" customWidth="1"/>
    <col min="5" max="5" width="57.6640625" hidden="1" customWidth="1"/>
    <col min="6" max="6" width="45.83203125" hidden="1" customWidth="1"/>
    <col min="7" max="7" width="36.5" hidden="1" customWidth="1"/>
    <col min="8" max="8" width="35.33203125" hidden="1" customWidth="1"/>
    <col min="9" max="9" width="35.33203125" bestFit="1" customWidth="1"/>
    <col min="10" max="10" width="31.6640625" bestFit="1" customWidth="1"/>
    <col min="11" max="11" width="37.6640625" bestFit="1" customWidth="1"/>
    <col min="12" max="12" width="35.33203125" bestFit="1" customWidth="1"/>
    <col min="13" max="13" width="21.1640625" bestFit="1" customWidth="1"/>
  </cols>
  <sheetData>
    <row r="1" spans="1:13" x14ac:dyDescent="0.2">
      <c r="A1" t="s">
        <v>0</v>
      </c>
      <c r="B1" t="s">
        <v>1</v>
      </c>
    </row>
    <row r="2" spans="1:13" x14ac:dyDescent="0.2">
      <c r="A2" t="s">
        <v>2</v>
      </c>
      <c r="B2" t="s">
        <v>3</v>
      </c>
      <c r="I2" s="1" t="s">
        <v>4</v>
      </c>
    </row>
    <row r="3" spans="1:13" x14ac:dyDescent="0.2">
      <c r="A3" t="s">
        <v>5</v>
      </c>
      <c r="B3" t="s">
        <v>6</v>
      </c>
    </row>
    <row r="4" spans="1:13" x14ac:dyDescent="0.2">
      <c r="A4" t="s">
        <v>7</v>
      </c>
      <c r="B4" t="s">
        <v>8</v>
      </c>
    </row>
    <row r="5" spans="1:13" x14ac:dyDescent="0.2">
      <c r="A5" t="s">
        <v>9</v>
      </c>
      <c r="B5" t="s">
        <v>10</v>
      </c>
    </row>
    <row r="7" spans="1:13" x14ac:dyDescent="0.2">
      <c r="A7" t="s">
        <v>11</v>
      </c>
      <c r="B7" t="s">
        <v>12</v>
      </c>
      <c r="C7" t="s">
        <v>5</v>
      </c>
      <c r="D7" t="s">
        <v>13</v>
      </c>
      <c r="E7" t="s">
        <v>14</v>
      </c>
      <c r="F7" t="s">
        <v>15</v>
      </c>
      <c r="G7" t="s">
        <v>16</v>
      </c>
      <c r="H7" t="s">
        <v>17</v>
      </c>
      <c r="I7" t="s">
        <v>18</v>
      </c>
      <c r="J7" t="s">
        <v>19</v>
      </c>
      <c r="K7" t="s">
        <v>20</v>
      </c>
      <c r="L7" t="s">
        <v>21</v>
      </c>
      <c r="M7" t="s">
        <v>22</v>
      </c>
    </row>
    <row r="8" spans="1:13" x14ac:dyDescent="0.2">
      <c r="A8" t="s">
        <v>23</v>
      </c>
      <c r="B8" t="s">
        <v>24</v>
      </c>
      <c r="C8">
        <v>4</v>
      </c>
      <c r="D8" t="s">
        <v>25</v>
      </c>
      <c r="E8" s="3"/>
      <c r="F8" s="3"/>
      <c r="G8" s="3"/>
      <c r="H8" s="3"/>
      <c r="I8" s="3">
        <v>15</v>
      </c>
      <c r="J8" s="3"/>
      <c r="K8" s="2">
        <f t="shared" ref="K8:K44" si="0">ROUND( ((E8*10+F8*40+G8*5+H8*5+I8*20+J8*20) / 100), 2)</f>
        <v>3</v>
      </c>
      <c r="L8" s="2" t="str">
        <f t="shared" ref="L8:L44" si="1">IF(AND(K8&gt;=85, K8&lt;=100), "A", IF(AND(K8&gt;=80, K8&lt;=84.999999999), "AB", IF(AND(K8&gt;=75, K8&lt;=79.999999999), "B", IF(AND(K8&gt;=70, K8&lt;=74.999999999), "BC", IF(AND(K8&gt;=60, K8&lt;=69.9999999999), "C", IF(AND(K8&gt;=40, K8&lt;=59.999999999), "D", IF(AND(K8&gt;=0, K8&lt;=39.999999999), "E",  "E"  )  )  )  )  )  )  )</f>
        <v>E</v>
      </c>
      <c r="M8" t="str">
        <f t="shared" ref="M8:M44" si="2">IF(AND(K8&gt;=85, K8&lt;=100), "4", IF(AND(K8&gt;=80, K8&lt;=84.999999999), "3.5", IF(AND(K8&gt;=75, K8&lt;=79.999999999), "3", IF(AND(K8&gt;=70, K8&lt;=74.999999999), "2.5", IF(AND(K8&gt;=60, K8&lt;=69.9999999999), "2", IF(AND(K8&gt;=40, K8&lt;=59.999999999), "1", IF(AND(K8&gt;=0, K8&lt;=39.999999999), "0",  "0"  )  )  )  )  )  )  )</f>
        <v>0</v>
      </c>
    </row>
    <row r="9" spans="1:13" x14ac:dyDescent="0.2">
      <c r="A9" t="s">
        <v>26</v>
      </c>
      <c r="B9" t="s">
        <v>27</v>
      </c>
      <c r="C9">
        <v>4</v>
      </c>
      <c r="D9" t="s">
        <v>25</v>
      </c>
      <c r="E9" s="3"/>
      <c r="F9" s="3"/>
      <c r="G9" s="3"/>
      <c r="H9" s="3"/>
      <c r="I9" s="3">
        <v>24</v>
      </c>
      <c r="J9" s="3"/>
      <c r="K9" s="2">
        <f t="shared" si="0"/>
        <v>4.8</v>
      </c>
      <c r="L9" s="2" t="str">
        <f t="shared" si="1"/>
        <v>E</v>
      </c>
      <c r="M9" t="str">
        <f t="shared" si="2"/>
        <v>0</v>
      </c>
    </row>
    <row r="10" spans="1:13" x14ac:dyDescent="0.2">
      <c r="A10" t="s">
        <v>28</v>
      </c>
      <c r="B10" t="s">
        <v>29</v>
      </c>
      <c r="C10">
        <v>4</v>
      </c>
      <c r="D10" t="s">
        <v>25</v>
      </c>
      <c r="E10" s="3"/>
      <c r="F10" s="3"/>
      <c r="G10" s="3"/>
      <c r="H10" s="3"/>
      <c r="I10" s="3">
        <v>15</v>
      </c>
      <c r="J10" s="3"/>
      <c r="K10" s="2">
        <f t="shared" si="0"/>
        <v>3</v>
      </c>
      <c r="L10" s="2" t="str">
        <f t="shared" si="1"/>
        <v>E</v>
      </c>
      <c r="M10" t="str">
        <f t="shared" si="2"/>
        <v>0</v>
      </c>
    </row>
    <row r="11" spans="1:13" x14ac:dyDescent="0.2">
      <c r="A11" t="s">
        <v>30</v>
      </c>
      <c r="B11" t="s">
        <v>31</v>
      </c>
      <c r="C11">
        <v>4</v>
      </c>
      <c r="D11" t="s">
        <v>25</v>
      </c>
      <c r="E11" s="3"/>
      <c r="F11" s="3"/>
      <c r="G11" s="3"/>
      <c r="H11" s="3"/>
      <c r="I11" s="3">
        <v>22</v>
      </c>
      <c r="J11" s="3"/>
      <c r="K11" s="2">
        <f t="shared" si="0"/>
        <v>4.4000000000000004</v>
      </c>
      <c r="L11" s="2" t="str">
        <f t="shared" si="1"/>
        <v>E</v>
      </c>
      <c r="M11" t="str">
        <f t="shared" si="2"/>
        <v>0</v>
      </c>
    </row>
    <row r="12" spans="1:13" x14ac:dyDescent="0.2">
      <c r="A12" t="s">
        <v>32</v>
      </c>
      <c r="B12" t="s">
        <v>33</v>
      </c>
      <c r="C12">
        <v>4</v>
      </c>
      <c r="D12" t="s">
        <v>25</v>
      </c>
      <c r="E12" s="3"/>
      <c r="F12" s="3"/>
      <c r="G12" s="3"/>
      <c r="H12" s="3"/>
      <c r="I12" s="3">
        <v>10</v>
      </c>
      <c r="J12" s="3"/>
      <c r="K12" s="2">
        <f t="shared" si="0"/>
        <v>2</v>
      </c>
      <c r="L12" s="2" t="str">
        <f t="shared" si="1"/>
        <v>E</v>
      </c>
      <c r="M12" t="str">
        <f t="shared" si="2"/>
        <v>0</v>
      </c>
    </row>
    <row r="13" spans="1:13" x14ac:dyDescent="0.2">
      <c r="A13" t="s">
        <v>34</v>
      </c>
      <c r="B13" t="s">
        <v>35</v>
      </c>
      <c r="C13">
        <v>4</v>
      </c>
      <c r="D13" t="s">
        <v>25</v>
      </c>
      <c r="E13" s="3"/>
      <c r="F13" s="3"/>
      <c r="G13" s="3"/>
      <c r="H13" s="3"/>
      <c r="I13" s="3">
        <v>0</v>
      </c>
      <c r="J13" s="3"/>
      <c r="K13" s="2">
        <f t="shared" si="0"/>
        <v>0</v>
      </c>
      <c r="L13" s="2" t="str">
        <f t="shared" si="1"/>
        <v>E</v>
      </c>
      <c r="M13" t="str">
        <f t="shared" si="2"/>
        <v>0</v>
      </c>
    </row>
    <row r="14" spans="1:13" x14ac:dyDescent="0.2">
      <c r="A14" t="s">
        <v>36</v>
      </c>
      <c r="B14" t="s">
        <v>37</v>
      </c>
      <c r="C14">
        <v>4</v>
      </c>
      <c r="D14" t="s">
        <v>25</v>
      </c>
      <c r="E14" s="3"/>
      <c r="F14" s="3"/>
      <c r="G14" s="3"/>
      <c r="H14" s="3"/>
      <c r="I14" s="3">
        <v>24</v>
      </c>
      <c r="J14" s="3"/>
      <c r="K14" s="2">
        <f t="shared" si="0"/>
        <v>4.8</v>
      </c>
      <c r="L14" s="2" t="str">
        <f t="shared" si="1"/>
        <v>E</v>
      </c>
      <c r="M14" t="str">
        <f t="shared" si="2"/>
        <v>0</v>
      </c>
    </row>
    <row r="15" spans="1:13" x14ac:dyDescent="0.2">
      <c r="A15" t="s">
        <v>38</v>
      </c>
      <c r="B15" t="s">
        <v>39</v>
      </c>
      <c r="C15">
        <v>4</v>
      </c>
      <c r="D15" t="s">
        <v>25</v>
      </c>
      <c r="E15" s="3"/>
      <c r="F15" s="3"/>
      <c r="G15" s="3"/>
      <c r="H15" s="3"/>
      <c r="I15" s="3">
        <v>26</v>
      </c>
      <c r="J15" s="3"/>
      <c r="K15" s="2">
        <f t="shared" si="0"/>
        <v>5.2</v>
      </c>
      <c r="L15" s="2" t="str">
        <f t="shared" si="1"/>
        <v>E</v>
      </c>
      <c r="M15" t="str">
        <f t="shared" si="2"/>
        <v>0</v>
      </c>
    </row>
    <row r="16" spans="1:13" x14ac:dyDescent="0.2">
      <c r="A16" t="s">
        <v>40</v>
      </c>
      <c r="B16" t="s">
        <v>41</v>
      </c>
      <c r="C16">
        <v>4</v>
      </c>
      <c r="D16" t="s">
        <v>25</v>
      </c>
      <c r="E16" s="3"/>
      <c r="F16" s="3"/>
      <c r="G16" s="3"/>
      <c r="H16" s="3"/>
      <c r="I16" s="3">
        <v>18</v>
      </c>
      <c r="J16" s="3"/>
      <c r="K16" s="2">
        <f t="shared" si="0"/>
        <v>3.6</v>
      </c>
      <c r="L16" s="2" t="str">
        <f t="shared" si="1"/>
        <v>E</v>
      </c>
      <c r="M16" t="str">
        <f t="shared" si="2"/>
        <v>0</v>
      </c>
    </row>
    <row r="17" spans="1:13" x14ac:dyDescent="0.2">
      <c r="A17" t="s">
        <v>42</v>
      </c>
      <c r="B17" t="s">
        <v>43</v>
      </c>
      <c r="C17">
        <v>4</v>
      </c>
      <c r="D17" t="s">
        <v>25</v>
      </c>
      <c r="E17" s="3"/>
      <c r="F17" s="3"/>
      <c r="G17" s="3"/>
      <c r="H17" s="3"/>
      <c r="I17" s="3">
        <v>0</v>
      </c>
      <c r="J17" s="2"/>
      <c r="K17" s="2">
        <f t="shared" si="0"/>
        <v>0</v>
      </c>
      <c r="L17" s="2" t="str">
        <f t="shared" si="1"/>
        <v>E</v>
      </c>
      <c r="M17" t="str">
        <f t="shared" si="2"/>
        <v>0</v>
      </c>
    </row>
    <row r="18" spans="1:13" x14ac:dyDescent="0.2">
      <c r="A18" t="s">
        <v>44</v>
      </c>
      <c r="B18" t="s">
        <v>45</v>
      </c>
      <c r="C18">
        <v>4</v>
      </c>
      <c r="D18" t="s">
        <v>25</v>
      </c>
      <c r="E18" s="3"/>
      <c r="F18" s="3"/>
      <c r="G18" s="3"/>
      <c r="H18" s="3"/>
      <c r="I18" s="3">
        <v>0</v>
      </c>
      <c r="J18" s="3"/>
      <c r="K18" s="2">
        <f t="shared" si="0"/>
        <v>0</v>
      </c>
      <c r="L18" s="2" t="str">
        <f t="shared" si="1"/>
        <v>E</v>
      </c>
      <c r="M18" t="str">
        <f t="shared" si="2"/>
        <v>0</v>
      </c>
    </row>
    <row r="19" spans="1:13" x14ac:dyDescent="0.2">
      <c r="A19" t="s">
        <v>46</v>
      </c>
      <c r="B19" t="s">
        <v>47</v>
      </c>
      <c r="C19">
        <v>4</v>
      </c>
      <c r="D19" t="s">
        <v>25</v>
      </c>
      <c r="E19" s="3"/>
      <c r="F19" s="3"/>
      <c r="G19" s="3"/>
      <c r="H19" s="3"/>
      <c r="I19" s="3">
        <v>27</v>
      </c>
      <c r="J19" s="3"/>
      <c r="K19" s="2">
        <f t="shared" si="0"/>
        <v>5.4</v>
      </c>
      <c r="L19" s="2" t="str">
        <f t="shared" si="1"/>
        <v>E</v>
      </c>
      <c r="M19" t="str">
        <f t="shared" si="2"/>
        <v>0</v>
      </c>
    </row>
    <row r="20" spans="1:13" x14ac:dyDescent="0.2">
      <c r="A20" t="s">
        <v>48</v>
      </c>
      <c r="B20" t="s">
        <v>49</v>
      </c>
      <c r="C20">
        <v>4</v>
      </c>
      <c r="D20" t="s">
        <v>25</v>
      </c>
      <c r="E20" s="3"/>
      <c r="F20" s="3"/>
      <c r="G20" s="3"/>
      <c r="H20" s="3"/>
      <c r="I20" s="3">
        <v>20</v>
      </c>
      <c r="J20" s="3"/>
      <c r="K20" s="2">
        <f t="shared" si="0"/>
        <v>4</v>
      </c>
      <c r="L20" s="2" t="str">
        <f t="shared" si="1"/>
        <v>E</v>
      </c>
      <c r="M20" t="str">
        <f t="shared" si="2"/>
        <v>0</v>
      </c>
    </row>
    <row r="21" spans="1:13" x14ac:dyDescent="0.2">
      <c r="A21" t="s">
        <v>50</v>
      </c>
      <c r="B21" t="s">
        <v>51</v>
      </c>
      <c r="C21">
        <v>4</v>
      </c>
      <c r="D21" t="s">
        <v>25</v>
      </c>
      <c r="E21" s="3"/>
      <c r="F21" s="3"/>
      <c r="G21" s="3"/>
      <c r="H21" s="3"/>
      <c r="I21" s="3">
        <v>8</v>
      </c>
      <c r="J21" s="3"/>
      <c r="K21" s="2">
        <f t="shared" si="0"/>
        <v>1.6</v>
      </c>
      <c r="L21" s="2" t="str">
        <f t="shared" si="1"/>
        <v>E</v>
      </c>
      <c r="M21" t="str">
        <f t="shared" si="2"/>
        <v>0</v>
      </c>
    </row>
    <row r="22" spans="1:13" x14ac:dyDescent="0.2">
      <c r="A22" t="s">
        <v>52</v>
      </c>
      <c r="B22" t="s">
        <v>53</v>
      </c>
      <c r="C22">
        <v>4</v>
      </c>
      <c r="D22" t="s">
        <v>25</v>
      </c>
      <c r="E22" s="3"/>
      <c r="F22" s="3"/>
      <c r="G22" s="3"/>
      <c r="H22" s="3"/>
      <c r="I22" s="3">
        <v>22</v>
      </c>
      <c r="J22" s="3"/>
      <c r="K22" s="2">
        <f t="shared" si="0"/>
        <v>4.4000000000000004</v>
      </c>
      <c r="L22" s="2" t="str">
        <f t="shared" si="1"/>
        <v>E</v>
      </c>
      <c r="M22" t="str">
        <f t="shared" si="2"/>
        <v>0</v>
      </c>
    </row>
    <row r="23" spans="1:13" x14ac:dyDescent="0.2">
      <c r="A23" t="s">
        <v>54</v>
      </c>
      <c r="B23" t="s">
        <v>55</v>
      </c>
      <c r="C23">
        <v>4</v>
      </c>
      <c r="D23" t="s">
        <v>25</v>
      </c>
      <c r="E23" s="3"/>
      <c r="F23" s="3"/>
      <c r="G23" s="3"/>
      <c r="H23" s="3"/>
      <c r="I23" s="3">
        <v>20</v>
      </c>
      <c r="J23" s="3"/>
      <c r="K23" s="2">
        <f t="shared" si="0"/>
        <v>4</v>
      </c>
      <c r="L23" s="2" t="str">
        <f t="shared" si="1"/>
        <v>E</v>
      </c>
      <c r="M23" t="str">
        <f t="shared" si="2"/>
        <v>0</v>
      </c>
    </row>
    <row r="24" spans="1:13" x14ac:dyDescent="0.2">
      <c r="A24" t="s">
        <v>56</v>
      </c>
      <c r="B24" t="s">
        <v>57</v>
      </c>
      <c r="C24">
        <v>4</v>
      </c>
      <c r="D24" t="s">
        <v>25</v>
      </c>
      <c r="E24" s="3"/>
      <c r="F24" s="3"/>
      <c r="G24" s="3"/>
      <c r="H24" s="3"/>
      <c r="I24" s="3">
        <v>27</v>
      </c>
      <c r="J24" s="3"/>
      <c r="K24" s="2">
        <f t="shared" si="0"/>
        <v>5.4</v>
      </c>
      <c r="L24" s="2" t="str">
        <f t="shared" si="1"/>
        <v>E</v>
      </c>
      <c r="M24" t="str">
        <f t="shared" si="2"/>
        <v>0</v>
      </c>
    </row>
    <row r="25" spans="1:13" x14ac:dyDescent="0.2">
      <c r="A25" t="s">
        <v>58</v>
      </c>
      <c r="B25" t="s">
        <v>59</v>
      </c>
      <c r="C25">
        <v>4</v>
      </c>
      <c r="D25" t="s">
        <v>25</v>
      </c>
      <c r="E25" s="3"/>
      <c r="F25" s="3"/>
      <c r="G25" s="3"/>
      <c r="H25" s="3"/>
      <c r="I25" s="3">
        <v>15</v>
      </c>
      <c r="J25" s="3"/>
      <c r="K25" s="2">
        <f t="shared" si="0"/>
        <v>3</v>
      </c>
      <c r="L25" s="2" t="str">
        <f t="shared" si="1"/>
        <v>E</v>
      </c>
      <c r="M25" t="str">
        <f t="shared" si="2"/>
        <v>0</v>
      </c>
    </row>
    <row r="26" spans="1:13" x14ac:dyDescent="0.2">
      <c r="A26" t="s">
        <v>60</v>
      </c>
      <c r="B26" t="s">
        <v>61</v>
      </c>
      <c r="C26">
        <v>4</v>
      </c>
      <c r="D26" t="s">
        <v>25</v>
      </c>
      <c r="E26" s="3"/>
      <c r="F26" s="3"/>
      <c r="G26" s="3"/>
      <c r="H26" s="3"/>
      <c r="I26" s="3">
        <v>30</v>
      </c>
      <c r="J26" s="3"/>
      <c r="K26" s="2">
        <f t="shared" si="0"/>
        <v>6</v>
      </c>
      <c r="L26" s="2" t="str">
        <f t="shared" si="1"/>
        <v>E</v>
      </c>
      <c r="M26" t="str">
        <f t="shared" si="2"/>
        <v>0</v>
      </c>
    </row>
    <row r="27" spans="1:13" x14ac:dyDescent="0.2">
      <c r="A27" t="s">
        <v>62</v>
      </c>
      <c r="B27" t="s">
        <v>63</v>
      </c>
      <c r="C27">
        <v>4</v>
      </c>
      <c r="D27" t="s">
        <v>25</v>
      </c>
      <c r="E27" s="3"/>
      <c r="F27" s="3"/>
      <c r="G27" s="3"/>
      <c r="H27" s="3"/>
      <c r="I27" s="3">
        <v>24</v>
      </c>
      <c r="J27" s="3"/>
      <c r="K27" s="2">
        <f t="shared" si="0"/>
        <v>4.8</v>
      </c>
      <c r="L27" s="2" t="str">
        <f t="shared" si="1"/>
        <v>E</v>
      </c>
      <c r="M27" t="str">
        <f t="shared" si="2"/>
        <v>0</v>
      </c>
    </row>
    <row r="28" spans="1:13" x14ac:dyDescent="0.2">
      <c r="A28" t="s">
        <v>64</v>
      </c>
      <c r="B28" t="s">
        <v>65</v>
      </c>
      <c r="C28">
        <v>4</v>
      </c>
      <c r="D28" t="s">
        <v>25</v>
      </c>
      <c r="E28" s="3"/>
      <c r="F28" s="3"/>
      <c r="G28" s="3"/>
      <c r="H28" s="3"/>
      <c r="I28" s="3">
        <v>20</v>
      </c>
      <c r="J28" s="3"/>
      <c r="K28" s="2">
        <f t="shared" si="0"/>
        <v>4</v>
      </c>
      <c r="L28" s="2" t="str">
        <f t="shared" si="1"/>
        <v>E</v>
      </c>
      <c r="M28" t="str">
        <f t="shared" si="2"/>
        <v>0</v>
      </c>
    </row>
    <row r="29" spans="1:13" x14ac:dyDescent="0.2">
      <c r="A29" t="s">
        <v>66</v>
      </c>
      <c r="B29" t="s">
        <v>67</v>
      </c>
      <c r="C29">
        <v>4</v>
      </c>
      <c r="D29" t="s">
        <v>25</v>
      </c>
      <c r="E29" s="3"/>
      <c r="F29" s="3"/>
      <c r="G29" s="3"/>
      <c r="H29" s="3"/>
      <c r="I29" s="3">
        <v>23</v>
      </c>
      <c r="J29" s="3"/>
      <c r="K29" s="2">
        <f t="shared" si="0"/>
        <v>4.5999999999999996</v>
      </c>
      <c r="L29" s="2" t="str">
        <f t="shared" si="1"/>
        <v>E</v>
      </c>
      <c r="M29" t="str">
        <f t="shared" si="2"/>
        <v>0</v>
      </c>
    </row>
    <row r="30" spans="1:13" x14ac:dyDescent="0.2">
      <c r="A30" t="s">
        <v>68</v>
      </c>
      <c r="B30" t="s">
        <v>69</v>
      </c>
      <c r="C30">
        <v>4</v>
      </c>
      <c r="D30" t="s">
        <v>25</v>
      </c>
      <c r="E30" s="3"/>
      <c r="F30" s="3"/>
      <c r="G30" s="3"/>
      <c r="H30" s="3"/>
      <c r="I30" s="3">
        <v>27</v>
      </c>
      <c r="J30" s="3"/>
      <c r="K30" s="2">
        <f t="shared" si="0"/>
        <v>5.4</v>
      </c>
      <c r="L30" s="2" t="str">
        <f t="shared" si="1"/>
        <v>E</v>
      </c>
      <c r="M30" t="str">
        <f t="shared" si="2"/>
        <v>0</v>
      </c>
    </row>
    <row r="31" spans="1:13" x14ac:dyDescent="0.2">
      <c r="A31" t="s">
        <v>70</v>
      </c>
      <c r="B31" t="s">
        <v>71</v>
      </c>
      <c r="C31">
        <v>4</v>
      </c>
      <c r="D31" t="s">
        <v>25</v>
      </c>
      <c r="E31" s="3"/>
      <c r="F31" s="3"/>
      <c r="G31" s="3"/>
      <c r="H31" s="3"/>
      <c r="I31" s="3">
        <v>24</v>
      </c>
      <c r="J31" s="3"/>
      <c r="K31" s="2">
        <f t="shared" si="0"/>
        <v>4.8</v>
      </c>
      <c r="L31" s="2" t="str">
        <f t="shared" si="1"/>
        <v>E</v>
      </c>
      <c r="M31" t="str">
        <f t="shared" si="2"/>
        <v>0</v>
      </c>
    </row>
    <row r="32" spans="1:13" x14ac:dyDescent="0.2">
      <c r="A32" t="s">
        <v>72</v>
      </c>
      <c r="B32" t="s">
        <v>73</v>
      </c>
      <c r="C32">
        <v>4</v>
      </c>
      <c r="D32" t="s">
        <v>25</v>
      </c>
      <c r="E32" s="3"/>
      <c r="F32" s="3"/>
      <c r="G32" s="3"/>
      <c r="H32" s="3"/>
      <c r="I32" s="3">
        <v>0</v>
      </c>
      <c r="J32" s="3"/>
      <c r="K32" s="2">
        <f t="shared" si="0"/>
        <v>0</v>
      </c>
      <c r="L32" s="2" t="str">
        <f t="shared" si="1"/>
        <v>E</v>
      </c>
      <c r="M32" t="str">
        <f t="shared" si="2"/>
        <v>0</v>
      </c>
    </row>
    <row r="33" spans="1:13" x14ac:dyDescent="0.2">
      <c r="A33" t="s">
        <v>74</v>
      </c>
      <c r="B33" t="s">
        <v>75</v>
      </c>
      <c r="C33">
        <v>4</v>
      </c>
      <c r="D33" t="s">
        <v>25</v>
      </c>
      <c r="E33" s="3"/>
      <c r="F33" s="3"/>
      <c r="G33" s="3"/>
      <c r="H33" s="3"/>
      <c r="I33" s="3">
        <v>25</v>
      </c>
      <c r="J33" s="3"/>
      <c r="K33" s="2">
        <f t="shared" si="0"/>
        <v>5</v>
      </c>
      <c r="L33" s="2" t="str">
        <f t="shared" si="1"/>
        <v>E</v>
      </c>
      <c r="M33" t="str">
        <f t="shared" si="2"/>
        <v>0</v>
      </c>
    </row>
    <row r="34" spans="1:13" x14ac:dyDescent="0.2">
      <c r="A34" t="s">
        <v>76</v>
      </c>
      <c r="B34" t="s">
        <v>77</v>
      </c>
      <c r="C34">
        <v>4</v>
      </c>
      <c r="D34" t="s">
        <v>25</v>
      </c>
      <c r="E34" s="3"/>
      <c r="F34" s="3"/>
      <c r="G34" s="3"/>
      <c r="H34" s="3"/>
      <c r="I34" s="3">
        <v>23</v>
      </c>
      <c r="J34" s="3"/>
      <c r="K34" s="2">
        <f t="shared" si="0"/>
        <v>4.5999999999999996</v>
      </c>
      <c r="L34" s="2" t="str">
        <f t="shared" si="1"/>
        <v>E</v>
      </c>
      <c r="M34" t="str">
        <f t="shared" si="2"/>
        <v>0</v>
      </c>
    </row>
    <row r="35" spans="1:13" x14ac:dyDescent="0.2">
      <c r="A35" t="s">
        <v>78</v>
      </c>
      <c r="B35" t="s">
        <v>79</v>
      </c>
      <c r="C35">
        <v>4</v>
      </c>
      <c r="D35" t="s">
        <v>25</v>
      </c>
      <c r="E35" s="3"/>
      <c r="F35" s="3"/>
      <c r="G35" s="3"/>
      <c r="H35" s="3"/>
      <c r="I35" s="3">
        <v>22</v>
      </c>
      <c r="J35" s="3"/>
      <c r="K35" s="2">
        <f t="shared" si="0"/>
        <v>4.4000000000000004</v>
      </c>
      <c r="L35" s="2" t="str">
        <f t="shared" si="1"/>
        <v>E</v>
      </c>
      <c r="M35" t="str">
        <f t="shared" si="2"/>
        <v>0</v>
      </c>
    </row>
    <row r="36" spans="1:13" x14ac:dyDescent="0.2">
      <c r="A36" t="s">
        <v>80</v>
      </c>
      <c r="B36" t="s">
        <v>81</v>
      </c>
      <c r="C36">
        <v>4</v>
      </c>
      <c r="D36" t="s">
        <v>25</v>
      </c>
      <c r="E36" s="3"/>
      <c r="F36" s="3"/>
      <c r="G36" s="3"/>
      <c r="H36" s="3"/>
      <c r="I36" s="3">
        <v>18</v>
      </c>
      <c r="J36" s="3"/>
      <c r="K36" s="2">
        <f t="shared" si="0"/>
        <v>3.6</v>
      </c>
      <c r="L36" s="2" t="str">
        <f t="shared" si="1"/>
        <v>E</v>
      </c>
      <c r="M36" t="str">
        <f t="shared" si="2"/>
        <v>0</v>
      </c>
    </row>
    <row r="37" spans="1:13" x14ac:dyDescent="0.2">
      <c r="A37" t="s">
        <v>82</v>
      </c>
      <c r="B37" t="s">
        <v>83</v>
      </c>
      <c r="C37">
        <v>4</v>
      </c>
      <c r="D37" t="s">
        <v>25</v>
      </c>
      <c r="E37" s="3"/>
      <c r="F37" s="3"/>
      <c r="G37" s="3"/>
      <c r="H37" s="3"/>
      <c r="I37" s="3">
        <v>20</v>
      </c>
      <c r="J37" s="3"/>
      <c r="K37" s="2">
        <f t="shared" si="0"/>
        <v>4</v>
      </c>
      <c r="L37" s="2" t="str">
        <f t="shared" si="1"/>
        <v>E</v>
      </c>
      <c r="M37" t="str">
        <f t="shared" si="2"/>
        <v>0</v>
      </c>
    </row>
    <row r="38" spans="1:13" x14ac:dyDescent="0.2">
      <c r="A38" t="s">
        <v>84</v>
      </c>
      <c r="B38" t="s">
        <v>85</v>
      </c>
      <c r="C38">
        <v>4</v>
      </c>
      <c r="D38" t="s">
        <v>25</v>
      </c>
      <c r="E38" s="3"/>
      <c r="F38" s="3"/>
      <c r="G38" s="3"/>
      <c r="H38" s="3"/>
      <c r="I38" s="3">
        <v>20</v>
      </c>
      <c r="J38" s="3"/>
      <c r="K38" s="2">
        <f t="shared" si="0"/>
        <v>4</v>
      </c>
      <c r="L38" s="2" t="str">
        <f t="shared" si="1"/>
        <v>E</v>
      </c>
      <c r="M38" t="str">
        <f t="shared" si="2"/>
        <v>0</v>
      </c>
    </row>
    <row r="39" spans="1:13" x14ac:dyDescent="0.2">
      <c r="A39" t="s">
        <v>86</v>
      </c>
      <c r="B39" t="s">
        <v>87</v>
      </c>
      <c r="C39">
        <v>4</v>
      </c>
      <c r="D39" t="s">
        <v>25</v>
      </c>
      <c r="E39" s="3"/>
      <c r="F39" s="3"/>
      <c r="G39" s="3"/>
      <c r="H39" s="3"/>
      <c r="I39" s="3">
        <v>25</v>
      </c>
      <c r="J39" s="3"/>
      <c r="K39" s="2">
        <f t="shared" si="0"/>
        <v>5</v>
      </c>
      <c r="L39" s="2" t="str">
        <f t="shared" si="1"/>
        <v>E</v>
      </c>
      <c r="M39" t="str">
        <f t="shared" si="2"/>
        <v>0</v>
      </c>
    </row>
    <row r="40" spans="1:13" x14ac:dyDescent="0.2">
      <c r="A40" t="s">
        <v>88</v>
      </c>
      <c r="B40" t="s">
        <v>89</v>
      </c>
      <c r="C40">
        <v>4</v>
      </c>
      <c r="D40" t="s">
        <v>25</v>
      </c>
      <c r="E40" s="3"/>
      <c r="F40" s="3"/>
      <c r="G40" s="3"/>
      <c r="H40" s="3"/>
      <c r="I40" s="3">
        <v>16</v>
      </c>
      <c r="J40" s="3"/>
      <c r="K40" s="2">
        <f t="shared" si="0"/>
        <v>3.2</v>
      </c>
      <c r="L40" s="2" t="str">
        <f t="shared" si="1"/>
        <v>E</v>
      </c>
      <c r="M40" t="str">
        <f t="shared" si="2"/>
        <v>0</v>
      </c>
    </row>
    <row r="41" spans="1:13" x14ac:dyDescent="0.2">
      <c r="A41" t="s">
        <v>90</v>
      </c>
      <c r="B41" t="s">
        <v>91</v>
      </c>
      <c r="C41">
        <v>4</v>
      </c>
      <c r="D41" t="s">
        <v>25</v>
      </c>
      <c r="E41" s="3"/>
      <c r="F41" s="3"/>
      <c r="G41" s="3"/>
      <c r="H41" s="3"/>
      <c r="I41" s="3">
        <v>25</v>
      </c>
      <c r="J41" s="3"/>
      <c r="K41" s="2">
        <f t="shared" si="0"/>
        <v>5</v>
      </c>
      <c r="L41" s="2" t="str">
        <f t="shared" si="1"/>
        <v>E</v>
      </c>
      <c r="M41" t="str">
        <f t="shared" si="2"/>
        <v>0</v>
      </c>
    </row>
    <row r="42" spans="1:13" x14ac:dyDescent="0.2">
      <c r="A42" t="s">
        <v>92</v>
      </c>
      <c r="B42" t="s">
        <v>93</v>
      </c>
      <c r="C42">
        <v>4</v>
      </c>
      <c r="D42" t="s">
        <v>25</v>
      </c>
      <c r="E42" s="3"/>
      <c r="F42" s="3"/>
      <c r="G42" s="3"/>
      <c r="H42" s="3"/>
      <c r="I42" s="3">
        <v>25</v>
      </c>
      <c r="J42" s="3"/>
      <c r="K42" s="2">
        <f t="shared" si="0"/>
        <v>5</v>
      </c>
      <c r="L42" s="2" t="str">
        <f t="shared" si="1"/>
        <v>E</v>
      </c>
      <c r="M42" t="str">
        <f t="shared" si="2"/>
        <v>0</v>
      </c>
    </row>
    <row r="43" spans="1:13" x14ac:dyDescent="0.2">
      <c r="A43" t="s">
        <v>94</v>
      </c>
      <c r="B43" t="s">
        <v>95</v>
      </c>
      <c r="C43">
        <v>4</v>
      </c>
      <c r="D43" t="s">
        <v>25</v>
      </c>
      <c r="E43" s="3"/>
      <c r="F43" s="3"/>
      <c r="G43" s="3"/>
      <c r="H43" s="3"/>
      <c r="I43" s="3">
        <v>23</v>
      </c>
      <c r="J43" s="3"/>
      <c r="K43" s="2">
        <f t="shared" si="0"/>
        <v>4.5999999999999996</v>
      </c>
      <c r="L43" s="2" t="str">
        <f t="shared" si="1"/>
        <v>E</v>
      </c>
      <c r="M43" t="str">
        <f t="shared" si="2"/>
        <v>0</v>
      </c>
    </row>
    <row r="44" spans="1:13" x14ac:dyDescent="0.2">
      <c r="A44" t="s">
        <v>96</v>
      </c>
      <c r="B44" t="s">
        <v>97</v>
      </c>
      <c r="C44">
        <v>4</v>
      </c>
      <c r="D44" t="s">
        <v>25</v>
      </c>
      <c r="E44" s="3"/>
      <c r="F44" s="3"/>
      <c r="G44" s="3"/>
      <c r="H44" s="3"/>
      <c r="I44" s="3">
        <v>0</v>
      </c>
      <c r="J44" s="2"/>
      <c r="K44" s="2">
        <f t="shared" si="0"/>
        <v>0</v>
      </c>
      <c r="L44" s="2" t="str">
        <f t="shared" si="1"/>
        <v>E</v>
      </c>
      <c r="M44" t="str">
        <f t="shared" si="2"/>
        <v>0</v>
      </c>
    </row>
  </sheetData>
  <sheetProtection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Test Document</dc:title>
  <dc:subject>Office 2007 XLSX Test Document</dc:subject>
  <dc:creator>SIAP UNDIP</dc:creator>
  <cp:keywords>office 2007 openxml php</cp:keywords>
  <dc:description>Test document for Office 2007 XLSX, generated using PHP classes.</dc:description>
  <cp:lastModifiedBy>Satriawan Rasyid Purnama</cp:lastModifiedBy>
  <dcterms:created xsi:type="dcterms:W3CDTF">2026-06-15T00:27:05Z</dcterms:created>
  <dcterms:modified xsi:type="dcterms:W3CDTF">2026-06-29T16:59:43Z</dcterms:modified>
  <cp:category>Test result file</cp:category>
</cp:coreProperties>
</file>