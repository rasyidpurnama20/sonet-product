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42C65635-D736-41B9-8251-916CF2EA7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8" i="1" s="1"/>
  <c r="L8" i="1" s="1"/>
  <c r="G9" i="1"/>
  <c r="K9" i="1" s="1"/>
  <c r="M9" i="1" s="1"/>
  <c r="G10" i="1"/>
  <c r="G16" i="1"/>
  <c r="K16" i="1" s="1"/>
  <c r="M16" i="1" s="1"/>
  <c r="G17" i="1"/>
  <c r="K17" i="1" s="1"/>
  <c r="L17" i="1" s="1"/>
  <c r="G12" i="1"/>
  <c r="G13" i="1"/>
  <c r="G14" i="1"/>
  <c r="G15" i="1"/>
  <c r="G11" i="1"/>
  <c r="L9" i="4"/>
  <c r="L10" i="4"/>
  <c r="L11" i="4"/>
  <c r="L12" i="4"/>
  <c r="L13" i="4"/>
  <c r="L14" i="4"/>
  <c r="L15" i="4"/>
  <c r="L16" i="4"/>
  <c r="L17" i="4"/>
  <c r="L8" i="4"/>
  <c r="K15" i="1"/>
  <c r="M15" i="1" s="1"/>
  <c r="K14" i="1"/>
  <c r="M14" i="1" s="1"/>
  <c r="K13" i="1"/>
  <c r="M13" i="1" s="1"/>
  <c r="K12" i="1"/>
  <c r="M12" i="1" s="1"/>
  <c r="K11" i="1"/>
  <c r="M11" i="1" s="1"/>
  <c r="K10" i="1"/>
  <c r="L10" i="1" s="1"/>
  <c r="M8" i="1" l="1"/>
  <c r="M17" i="1"/>
  <c r="L11" i="1"/>
  <c r="L9" i="1"/>
  <c r="L12" i="1"/>
  <c r="L13" i="1"/>
  <c r="L14" i="1"/>
  <c r="L15" i="1"/>
  <c r="L16" i="1"/>
  <c r="M10" i="1"/>
</calcChain>
</file>

<file path=xl/sharedStrings.xml><?xml version="1.0" encoding="utf-8"?>
<sst xmlns="http://schemas.openxmlformats.org/spreadsheetml/2006/main" count="399" uniqueCount="203">
  <si>
    <t>Mata Kuliah</t>
  </si>
  <si>
    <t>: PAIK6601 - Analisis dan Strategi Algoritma</t>
  </si>
  <si>
    <t>Tahun Ajaran</t>
  </si>
  <si>
    <t>: 2025</t>
  </si>
  <si>
    <t>NDk5NDky</t>
  </si>
  <si>
    <t>Semester</t>
  </si>
  <si>
    <t>: Genap</t>
  </si>
  <si>
    <t>Kelas</t>
  </si>
  <si>
    <t>: E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</si>
  <si>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</si>
  <si>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</si>
  <si>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</si>
  <si>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</si>
  <si>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</si>
  <si>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</si>
  <si>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</si>
  <si>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</si>
  <si>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</si>
  <si>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</si>
  <si>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</si>
  <si>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</si>
  <si>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</si>
  <si>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</si>
  <si>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</si>
  <si>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</si>
  <si>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</si>
  <si>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</si>
  <si>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</si>
  <si>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</si>
  <si>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</si>
  <si>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</si>
  <si>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</si>
  <si>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3 (bonus-testing) (Real)</t>
  </si>
  <si>
    <t>Quiz: quis 4 (Real)</t>
  </si>
  <si>
    <t>Quiz: quis 5 (Real)</t>
  </si>
  <si>
    <t>Quiz: Latihan UTS (Real)</t>
  </si>
  <si>
    <t>Quiz: UTS (Real)</t>
  </si>
  <si>
    <t>Last downloaded from this course</t>
  </si>
  <si>
    <t>24060123130099</t>
  </si>
  <si>
    <t>ABYASA SAIFAJI</t>
  </si>
  <si>
    <t>ULANG</t>
  </si>
  <si>
    <t>Abyasa Saifaji</t>
  </si>
  <si>
    <t>9bf0e023-79f7-4368-9e31-08136c04ac11</t>
  </si>
  <si>
    <t>asaifaji@students.undip.ac.id</t>
  </si>
  <si>
    <t>-</t>
  </si>
  <si>
    <t>24060123140063</t>
  </si>
  <si>
    <t>BAGAS NUR ARDIANTO</t>
  </si>
  <si>
    <t>BARU</t>
  </si>
  <si>
    <t>Bagas Nur Ardianto</t>
  </si>
  <si>
    <t>dea4c0bb-f211-4b39-b990-b6a0c3f7d3b8</t>
  </si>
  <si>
    <t>bagasardianto@students.undip.ac.id</t>
  </si>
  <si>
    <t>24060123140156</t>
  </si>
  <si>
    <t>ALFONSO MICHAEL NORMANDO HUTAHAEAN (&lt; 75%)</t>
  </si>
  <si>
    <t>24060122120026</t>
  </si>
  <si>
    <t>TIARA PUTRI WIBOWO</t>
  </si>
  <si>
    <t>Tiara Putri Wibowo</t>
  </si>
  <si>
    <t>7b97f1f5-b6f6-472f-acab-7f4999f6919a</t>
  </si>
  <si>
    <t>tiaraputriwibowo@students.undip.ac.id</t>
  </si>
  <si>
    <t>24060122140178</t>
  </si>
  <si>
    <t>KHAIRINDRA EKA PUTRA (&lt; 75%)</t>
  </si>
  <si>
    <t>24060123130055</t>
  </si>
  <si>
    <t>NOVANZA EDGAR WIBOWO</t>
  </si>
  <si>
    <t>PERBAIKAN</t>
  </si>
  <si>
    <t>Novanza Edgar Wibowo</t>
  </si>
  <si>
    <t>5e45b76a-a31e-4363-a1dd-771320990063</t>
  </si>
  <si>
    <t>novanza24@students.undip.ac.id</t>
  </si>
  <si>
    <t>24060123120043</t>
  </si>
  <si>
    <t>SOPHIE VENECIA MAY MANALU</t>
  </si>
  <si>
    <t>Sophie Venecia May Manalu</t>
  </si>
  <si>
    <t>ed5c8d29-7e59-4105-bff6-2963170e7272</t>
  </si>
  <si>
    <t>sophiemanalu@students.undip.ac.id</t>
  </si>
  <si>
    <t>24060123140132</t>
  </si>
  <si>
    <t>ZAKY MUSYAFFA</t>
  </si>
  <si>
    <t>Zaky Musyaffa</t>
  </si>
  <si>
    <t>7a5e5815-020d-4cea-947d-03fb5ac96bae</t>
  </si>
  <si>
    <t>zakymusyaffa@students.undip.ac.id</t>
  </si>
  <si>
    <t>24060123140190</t>
  </si>
  <si>
    <t>TEGAR CAESARA YANUANSA (&lt; 75%)</t>
  </si>
  <si>
    <t>24060123140191</t>
  </si>
  <si>
    <t>MUHAMMAD IQBAL HAQIQI</t>
  </si>
  <si>
    <t>Muhammad Iqbal Haqiqi</t>
  </si>
  <si>
    <t>1fe1ad15-f073-4539-8c00-46b5cb8968b3</t>
  </si>
  <si>
    <t>muhammadiqbalhaqiqi@students.undip.ac.id</t>
  </si>
  <si>
    <t>Khairindra Eka Putra</t>
  </si>
  <si>
    <t>89da1c0a-f051-4526-840b-ae059ec32c76</t>
  </si>
  <si>
    <t>khairindraa@students.undip.ac.id</t>
  </si>
  <si>
    <t>Alfonso Michael Normando Hutahaean</t>
  </si>
  <si>
    <t>740d8420-7150-4cf4-8e44-cf822f97c185</t>
  </si>
  <si>
    <t>alfonsohutahaean@students.undip.ac.id</t>
  </si>
  <si>
    <t>Tegar Caesara Yanuansa</t>
  </si>
  <si>
    <t>5743c352-761d-4477-93bd-e7ae44fd3560</t>
  </si>
  <si>
    <t>tegarcaesarayanuansa@students.undip.ac.id</t>
  </si>
  <si>
    <t>Muchammad Yuda Tri Ananda</t>
  </si>
  <si>
    <t>8be5dc2a-8eeb-4453-850b-de57e9176d78</t>
  </si>
  <si>
    <t>myudak@students.undip.ac.id</t>
  </si>
  <si>
    <t>Aditya Sultonul Ulya</t>
  </si>
  <si>
    <t>939ac8f4-34a8-4daa-9309-d880afad7a91</t>
  </si>
  <si>
    <t>adityaulyy@students.undip.ac.id</t>
  </si>
  <si>
    <t>Dhimas Reza Nafi Wahyudi</t>
  </si>
  <si>
    <t>f0cbb293-cb25-40d3-974c-206185a9ac60</t>
  </si>
  <si>
    <t>dhimasrnw@students.undip.ac.id</t>
  </si>
  <si>
    <t>Felicia Evelina</t>
  </si>
  <si>
    <t>3fd13274-4692-4a32-87a5-b01b66f7c29f</t>
  </si>
  <si>
    <t>feliciaevelina@students.undip.ac.id</t>
  </si>
  <si>
    <t>Muhamad Kemal Faza</t>
  </si>
  <si>
    <t>39774c32-1d0b-43c1-9ef9-7a814f9ae28f</t>
  </si>
  <si>
    <t>kemalfaza26@students.undip.ac.id</t>
  </si>
  <si>
    <t>Wahyu Eko Setyo Pribowo</t>
  </si>
  <si>
    <t>33452c4c-def3-4b8d-9e50-c060e183afe9</t>
  </si>
  <si>
    <t>wahyuekosetyopribowo@students.undip.ac.id</t>
  </si>
  <si>
    <t>Quinta Aurabiansyah</t>
  </si>
  <si>
    <t>db217417-cfa8-4f6e-9734-ece5adfcf736</t>
  </si>
  <si>
    <t>quintabee@students.undip.ac.id</t>
  </si>
  <si>
    <t>Nadia Azura Nurhaniya</t>
  </si>
  <si>
    <t>58575fed-c57a-4e14-87be-56a83e4c725a</t>
  </si>
  <si>
    <t>nadianurhaniya@students.undip.ac.id</t>
  </si>
  <si>
    <t>Raffi Arditama</t>
  </si>
  <si>
    <t>5ed03eae-170a-41f9-960d-ce39b0e49942</t>
  </si>
  <si>
    <t>raffiarditama@students.undip.ac.id</t>
  </si>
  <si>
    <t>Gregorius Septiano Ariadi</t>
  </si>
  <si>
    <t>6a4e2f20-a268-49b9-a39e-a367ab85ba9c</t>
  </si>
  <si>
    <t>gregoriusseptiano@students.undip.ac.id</t>
  </si>
  <si>
    <t>Husein Avicenna</t>
  </si>
  <si>
    <t>ceec07bc-0152-4248-815e-a54b6e5952b3</t>
  </si>
  <si>
    <t>huseinavicenna5@students.undip.ac.id</t>
  </si>
  <si>
    <t>Anintya Abhi Wiryateja</t>
  </si>
  <si>
    <t>faa98b9b-b187-4922-9fde-b4bf081c6b75</t>
  </si>
  <si>
    <t>abhiwiryateja@students.undip.ac.id</t>
  </si>
  <si>
    <t>Daffa Maulana Alfianto</t>
  </si>
  <si>
    <t>144dd338-da4c-453a-bc80-ae03163022d9</t>
  </si>
  <si>
    <t>daffamaulanaalfianto@students.undip.ac.id</t>
  </si>
  <si>
    <t>Rahmat Argyandha Aminuddin</t>
  </si>
  <si>
    <t>1e467a5f-3f1a-418d-a578-3ab30dcc2d83</t>
  </si>
  <si>
    <t>rahmatargyandha@students.undip.ac.id</t>
  </si>
  <si>
    <t>Anggita Kirana Puspa</t>
  </si>
  <si>
    <t>6de22708-7dc9-4254-95c6-ad45cf92fa8b</t>
  </si>
  <si>
    <t>anggitakiranapuspa17@students.undip.ac.id</t>
  </si>
  <si>
    <t>Levi Ramot Siahaan</t>
  </si>
  <si>
    <t>2a3b0cad-78e0-40e1-9281-084430ee260b</t>
  </si>
  <si>
    <t>leviramot@students.undip.ac.id</t>
  </si>
  <si>
    <t>Aron Sorimuda Johanes Pasaribu</t>
  </si>
  <si>
    <t>02393cc8-e423-4b8a-b9f5-71590c0ad1a6</t>
  </si>
  <si>
    <t>sorimudaaron@students.undip.ac.id</t>
  </si>
  <si>
    <t>Haikal Imam Ridha</t>
  </si>
  <si>
    <t>401a5846-4c49-4dcb-8bb4-d3375cd21d41</t>
  </si>
  <si>
    <t>haikalimamridha@students.undip.ac.id</t>
  </si>
  <si>
    <t>Joshua Satria Kusuma</t>
  </si>
  <si>
    <t>a1a25d6e-b479-4de4-aab0-24bb77ad276e</t>
  </si>
  <si>
    <t>joshuakusuma@students.undip.ac.id</t>
  </si>
  <si>
    <t>Rafif Setya Imaduddin</t>
  </si>
  <si>
    <t>507fd025-3b49-4b2a-b540-59899b374175</t>
  </si>
  <si>
    <t>rafifsetyaimaduddin@students.undip.ac.id</t>
  </si>
  <si>
    <t>Aqiatillah Rezi Zhafran</t>
  </si>
  <si>
    <t>684577c9-821d-4fd4-93b7-0fe1733c0948</t>
  </si>
  <si>
    <t>aqiatillahrezizhaf@students.undip.ac.id</t>
  </si>
  <si>
    <t>Varissa Nabila Kifli</t>
  </si>
  <si>
    <t>343f315f-7288-41cf-8616-6cd54958cfbc</t>
  </si>
  <si>
    <t>varissanabilakifli@students.undip.ac.id</t>
  </si>
  <si>
    <t>Harits Permana</t>
  </si>
  <si>
    <t>1374dc06-f1e3-4c39-8de4-d95278a4305c</t>
  </si>
  <si>
    <t>haritsprmn@students.undip.ac.id</t>
  </si>
  <si>
    <t>Wahyu Aji Gumelar Tri Nugroho</t>
  </si>
  <si>
    <t>89735219-5dfe-46e7-a955-871b8638836d</t>
  </si>
  <si>
    <t>monsieurjangkarbumi@students.undip.ac.id</t>
  </si>
  <si>
    <t>Farhan Dwiyan Akbar</t>
  </si>
  <si>
    <t>95a0ff37-af2b-4a62-9843-26321cb1b716</t>
  </si>
  <si>
    <t>farhandwiyanakbar@students.undip.ac.id</t>
  </si>
  <si>
    <t>Muhammad Fauzan Akbar</t>
  </si>
  <si>
    <t>5f633d8d-2e79-40f5-835d-de64e9b44cb1</t>
  </si>
  <si>
    <t>muhammadfauzanakbar@students.undip.ac.id</t>
  </si>
  <si>
    <t>Akmal Dzaki Rahmatullah</t>
  </si>
  <si>
    <t>2051e29a-f131-4367-a62c-c94eb65fe1e9</t>
  </si>
  <si>
    <t>akmaldzr@students.undip.ac.id</t>
  </si>
  <si>
    <t>Djuan Setyo Jati</t>
  </si>
  <si>
    <t>bb982f39-071b-479e-9c51-ead61cc51e38</t>
  </si>
  <si>
    <t>djuansetyojati@students.undip.ac.id</t>
  </si>
  <si>
    <t>Muhammad Farhan Abdul Azis</t>
  </si>
  <si>
    <t>0b94633b-90db-4d21-914b-6a22cfa50dc6</t>
  </si>
  <si>
    <t>farhannn@students.undip.ac.id</t>
  </si>
  <si>
    <t>Fadhil Yaafi Widodo</t>
  </si>
  <si>
    <t>222c5aab-6c66-429c-a021-b15ed085bee1</t>
  </si>
  <si>
    <t>fadhilyaafiwidodo@students.undip.ac.id</t>
  </si>
  <si>
    <t>Mischa Nathanael Lumban Tobing</t>
  </si>
  <si>
    <t>942ca978-2cca-41bb-ba9d-c5165b589c71</t>
  </si>
  <si>
    <t>mischatobing@students.undip.ac.id</t>
  </si>
  <si>
    <t>Rayhan Gerard Darmawan</t>
  </si>
  <si>
    <t>99bf3490-f82e-494b-8f48-6a6ef626e9db</t>
  </si>
  <si>
    <t>rayhangerard@students.undip.ac.id</t>
  </si>
  <si>
    <t>Claudia Meitania Putri</t>
  </si>
  <si>
    <t>560d84b5-52ac-44e8-bfbd-50e102786e00</t>
  </si>
  <si>
    <t>claudiameitaniaputri@students.undip.ac.id</t>
  </si>
  <si>
    <t>Muhammad Zaidaan Ardiyansyah</t>
  </si>
  <si>
    <t>d45dc214-9277-4c54-9992-bd6f84fac501</t>
  </si>
  <si>
    <t>zaidaanardiansyah@students.undip.ac.id</t>
  </si>
  <si>
    <t>Adelia Clearesta</t>
  </si>
  <si>
    <t>a7e55542-d222-48f1-93a7-5c933875d404</t>
  </si>
  <si>
    <t>adeliars@students.undip.ac.id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</si>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</sst>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topLeftCell="E1" workbookViewId="0">
      <selection activeCell="G22" sqref="G22"/>
    </sheetView>
  </sheetViews>
  <sheetFormatPr defaultRowHeight="15" x14ac:dyDescent="0.25"/>
  <cols>
    <col min="1" max="1" width="17.5703125" bestFit="1" customWidth="1"/>
    <col min="2" max="2" width="53" bestFit="1" customWidth="1"/>
    <col min="3" max="3" width="10.5703125" bestFit="1" customWidth="1"/>
    <col min="4" max="4" width="11.710937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  <c r="AB7" t="s">
        <v>37</v>
      </c>
    </row>
    <row r="8" spans="1:28" x14ac:dyDescent="0.25">
      <c r="A8" t="s">
        <v>38</v>
      </c>
      <c r="B8" t="s">
        <v>39</v>
      </c>
      <c r="C8">
        <v>6</v>
      </c>
      <c r="D8" t="s">
        <v>40</v>
      </c>
      <c r="E8" s="3">
        <v>0</v>
      </c>
      <c r="F8" s="3"/>
      <c r="G8" s="3">
        <f t="shared" ref="G8:G10" si="0">(E8*0.8)+(H8*0.2)</f>
        <v>2.3332000000000002</v>
      </c>
      <c r="H8" s="3">
        <v>11.666</v>
      </c>
      <c r="I8" s="3"/>
      <c r="J8" s="3"/>
      <c r="K8" s="2">
        <f t="shared" ref="K8:K17" si="1">ROUND( ((E8*10+F8*40+G8*5+H8*5+I8*20+J8*20) / 100), 2)</f>
        <v>0.7</v>
      </c>
      <c r="L8" s="2" t="str">
        <f t="shared" ref="L8:L17" si="2"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t="str">
        <f t="shared" ref="M8:M17" si="3">IF(AND(K8&gt;=80, K8&lt;=100), "4", IF(AND(K8&gt;=70, K8&lt;=79.99999999999), "3", IF(AND(K8&gt;=60, K8&lt;=69.9999999999), "2", IF(AND(K8&gt;=51, K8&lt;=59.999999999), "1", IF(AND(K8&gt;=0, K8&lt;=50.999999999), "0",  "0"  )  )  )  )  )</f>
        <v>0</v>
      </c>
      <c r="N8" t="s">
        <v>41</v>
      </c>
      <c r="O8">
        <v>24060123130099</v>
      </c>
      <c r="P8" t="s">
        <v>42</v>
      </c>
      <c r="S8" t="s">
        <v>43</v>
      </c>
      <c r="T8">
        <v>58.33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>
        <v>1782748444</v>
      </c>
    </row>
    <row r="9" spans="1:28" x14ac:dyDescent="0.25">
      <c r="A9" t="s">
        <v>45</v>
      </c>
      <c r="B9" t="s">
        <v>46</v>
      </c>
      <c r="C9">
        <v>6</v>
      </c>
      <c r="D9" t="s">
        <v>47</v>
      </c>
      <c r="E9" s="3">
        <v>0</v>
      </c>
      <c r="F9" s="3"/>
      <c r="G9" s="3">
        <f t="shared" si="0"/>
        <v>12.294800000000002</v>
      </c>
      <c r="H9" s="3">
        <v>61.474000000000004</v>
      </c>
      <c r="I9" s="3"/>
      <c r="J9" s="3"/>
      <c r="K9" s="2">
        <f t="shared" si="1"/>
        <v>3.69</v>
      </c>
      <c r="L9" s="2" t="str">
        <f t="shared" si="2"/>
        <v>E</v>
      </c>
      <c r="M9" t="str">
        <f t="shared" si="3"/>
        <v>0</v>
      </c>
      <c r="N9" t="s">
        <v>48</v>
      </c>
      <c r="O9">
        <v>24060123140063</v>
      </c>
      <c r="P9" t="s">
        <v>49</v>
      </c>
      <c r="S9" t="s">
        <v>50</v>
      </c>
      <c r="T9">
        <v>50</v>
      </c>
      <c r="U9">
        <v>61.54</v>
      </c>
      <c r="V9">
        <v>87.5</v>
      </c>
      <c r="W9">
        <v>53.33</v>
      </c>
      <c r="X9" t="s">
        <v>44</v>
      </c>
      <c r="Y9">
        <v>55</v>
      </c>
      <c r="Z9" t="s">
        <v>44</v>
      </c>
      <c r="AA9" t="s">
        <v>44</v>
      </c>
      <c r="AB9">
        <v>1782748444</v>
      </c>
    </row>
    <row r="10" spans="1:28" x14ac:dyDescent="0.25">
      <c r="A10" t="s">
        <v>51</v>
      </c>
      <c r="B10" t="s">
        <v>52</v>
      </c>
      <c r="C10">
        <v>6</v>
      </c>
      <c r="D10" t="s">
        <v>47</v>
      </c>
      <c r="E10" s="3"/>
      <c r="F10" s="3"/>
      <c r="G10" s="3">
        <f t="shared" si="0"/>
        <v>0</v>
      </c>
      <c r="H10" s="3">
        <v>0</v>
      </c>
      <c r="I10" s="3"/>
      <c r="J10" s="2"/>
      <c r="K10" s="2">
        <f t="shared" si="1"/>
        <v>0</v>
      </c>
      <c r="L10" s="2" t="str">
        <f t="shared" si="2"/>
        <v>E</v>
      </c>
      <c r="M10" t="str">
        <f t="shared" si="3"/>
        <v>0</v>
      </c>
    </row>
    <row r="11" spans="1:28" x14ac:dyDescent="0.25">
      <c r="A11" t="s">
        <v>53</v>
      </c>
      <c r="B11" t="s">
        <v>54</v>
      </c>
      <c r="C11">
        <v>8</v>
      </c>
      <c r="D11" t="s">
        <v>40</v>
      </c>
      <c r="E11" s="3">
        <v>77.33</v>
      </c>
      <c r="F11" s="3"/>
      <c r="G11" s="3">
        <f>(E11*0.8)+(H11*0.2)</f>
        <v>66.864000000000004</v>
      </c>
      <c r="H11" s="3">
        <v>25</v>
      </c>
      <c r="I11" s="3"/>
      <c r="J11" s="3"/>
      <c r="K11" s="2">
        <f t="shared" si="1"/>
        <v>12.33</v>
      </c>
      <c r="L11" s="2" t="str">
        <f t="shared" si="2"/>
        <v>E</v>
      </c>
      <c r="M11" t="str">
        <f t="shared" si="3"/>
        <v>0</v>
      </c>
      <c r="N11" t="s">
        <v>55</v>
      </c>
      <c r="O11">
        <v>24060122120026</v>
      </c>
      <c r="P11" t="s">
        <v>56</v>
      </c>
      <c r="S11" t="s">
        <v>57</v>
      </c>
      <c r="T11">
        <v>75</v>
      </c>
      <c r="U11" t="s">
        <v>44</v>
      </c>
      <c r="V11" t="s">
        <v>44</v>
      </c>
      <c r="W11" t="s">
        <v>44</v>
      </c>
      <c r="X11" t="s">
        <v>44</v>
      </c>
      <c r="Y11">
        <v>50</v>
      </c>
      <c r="Z11">
        <v>2.89</v>
      </c>
      <c r="AA11">
        <v>77.33</v>
      </c>
      <c r="AB11">
        <v>1782748444</v>
      </c>
    </row>
    <row r="12" spans="1:28" x14ac:dyDescent="0.25">
      <c r="A12" t="s">
        <v>58</v>
      </c>
      <c r="B12" t="s">
        <v>59</v>
      </c>
      <c r="C12">
        <v>8</v>
      </c>
      <c r="D12" t="s">
        <v>40</v>
      </c>
      <c r="E12" s="3"/>
      <c r="F12" s="3"/>
      <c r="G12" s="3">
        <f t="shared" ref="G12:G17" si="4">(E12*0.8)+(H12*0.2)</f>
        <v>0</v>
      </c>
      <c r="H12" s="3">
        <v>0</v>
      </c>
      <c r="I12" s="3"/>
      <c r="J12" s="2"/>
      <c r="K12" s="2">
        <f t="shared" si="1"/>
        <v>0</v>
      </c>
      <c r="L12" s="2" t="str">
        <f t="shared" si="2"/>
        <v>E</v>
      </c>
      <c r="M12" t="str">
        <f t="shared" si="3"/>
        <v>0</v>
      </c>
    </row>
    <row r="13" spans="1:28" x14ac:dyDescent="0.25">
      <c r="A13" t="s">
        <v>60</v>
      </c>
      <c r="B13" t="s">
        <v>61</v>
      </c>
      <c r="C13">
        <v>6</v>
      </c>
      <c r="D13" t="s">
        <v>62</v>
      </c>
      <c r="E13" s="3">
        <v>0</v>
      </c>
      <c r="F13" s="3"/>
      <c r="G13" s="3">
        <f t="shared" si="4"/>
        <v>14.0564</v>
      </c>
      <c r="H13" s="3">
        <v>70.281999999999996</v>
      </c>
      <c r="I13" s="3"/>
      <c r="J13" s="3"/>
      <c r="K13" s="2">
        <f t="shared" si="1"/>
        <v>4.22</v>
      </c>
      <c r="L13" s="2" t="str">
        <f t="shared" si="2"/>
        <v>E</v>
      </c>
      <c r="M13" t="str">
        <f t="shared" si="3"/>
        <v>0</v>
      </c>
      <c r="N13" t="s">
        <v>63</v>
      </c>
      <c r="O13">
        <v>24060123130055</v>
      </c>
      <c r="P13" t="s">
        <v>64</v>
      </c>
      <c r="S13" t="s">
        <v>65</v>
      </c>
      <c r="T13">
        <v>25</v>
      </c>
      <c r="U13">
        <v>73.08</v>
      </c>
      <c r="V13">
        <v>100</v>
      </c>
      <c r="W13">
        <v>73.33</v>
      </c>
      <c r="X13" t="s">
        <v>44</v>
      </c>
      <c r="Y13">
        <v>80</v>
      </c>
      <c r="Z13" t="s">
        <v>44</v>
      </c>
      <c r="AA13" t="s">
        <v>44</v>
      </c>
      <c r="AB13">
        <v>1782748444</v>
      </c>
    </row>
    <row r="14" spans="1:28" x14ac:dyDescent="0.25">
      <c r="A14" t="s">
        <v>66</v>
      </c>
      <c r="B14" t="s">
        <v>67</v>
      </c>
      <c r="C14">
        <v>6</v>
      </c>
      <c r="D14" t="s">
        <v>62</v>
      </c>
      <c r="E14" s="3">
        <v>92</v>
      </c>
      <c r="F14" s="3"/>
      <c r="G14" s="3">
        <f t="shared" si="4"/>
        <v>86.36160000000001</v>
      </c>
      <c r="H14" s="3">
        <v>63.807999999999993</v>
      </c>
      <c r="I14" s="3"/>
      <c r="J14" s="3"/>
      <c r="K14" s="2">
        <f t="shared" si="1"/>
        <v>16.71</v>
      </c>
      <c r="L14" s="2" t="str">
        <f t="shared" si="2"/>
        <v>E</v>
      </c>
      <c r="M14" t="str">
        <f t="shared" si="3"/>
        <v>0</v>
      </c>
      <c r="N14" t="s">
        <v>68</v>
      </c>
      <c r="O14">
        <v>24060123120043</v>
      </c>
      <c r="P14" t="s">
        <v>69</v>
      </c>
      <c r="S14" t="s">
        <v>70</v>
      </c>
      <c r="T14">
        <v>58.33</v>
      </c>
      <c r="U14">
        <v>78.209999999999994</v>
      </c>
      <c r="V14">
        <v>62.5</v>
      </c>
      <c r="W14">
        <v>60</v>
      </c>
      <c r="X14" t="s">
        <v>44</v>
      </c>
      <c r="Y14">
        <v>60</v>
      </c>
      <c r="Z14">
        <v>9.18</v>
      </c>
      <c r="AA14">
        <v>92</v>
      </c>
      <c r="AB14">
        <v>1782748444</v>
      </c>
    </row>
    <row r="15" spans="1:28" x14ac:dyDescent="0.25">
      <c r="A15" t="s">
        <v>71</v>
      </c>
      <c r="B15" t="s">
        <v>72</v>
      </c>
      <c r="C15">
        <v>6</v>
      </c>
      <c r="D15" t="s">
        <v>47</v>
      </c>
      <c r="E15" s="3">
        <v>85</v>
      </c>
      <c r="F15" s="3"/>
      <c r="G15" s="3">
        <f t="shared" si="4"/>
        <v>81.981999999999999</v>
      </c>
      <c r="H15" s="3">
        <v>69.91</v>
      </c>
      <c r="I15" s="3"/>
      <c r="J15" s="3"/>
      <c r="K15" s="2">
        <f t="shared" si="1"/>
        <v>16.09</v>
      </c>
      <c r="L15" s="2" t="str">
        <f t="shared" si="2"/>
        <v>E</v>
      </c>
      <c r="M15" t="str">
        <f t="shared" si="3"/>
        <v>0</v>
      </c>
      <c r="N15" t="s">
        <v>73</v>
      </c>
      <c r="O15">
        <v>24060123140132</v>
      </c>
      <c r="P15" t="s">
        <v>74</v>
      </c>
      <c r="S15" t="s">
        <v>75</v>
      </c>
      <c r="T15">
        <v>58.33</v>
      </c>
      <c r="U15">
        <v>73.72</v>
      </c>
      <c r="V15">
        <v>87.5</v>
      </c>
      <c r="W15">
        <v>40</v>
      </c>
      <c r="X15" t="s">
        <v>44</v>
      </c>
      <c r="Y15">
        <v>90</v>
      </c>
      <c r="Z15" t="s">
        <v>44</v>
      </c>
      <c r="AA15">
        <v>85</v>
      </c>
      <c r="AB15">
        <v>1782748444</v>
      </c>
    </row>
    <row r="16" spans="1:28" x14ac:dyDescent="0.25">
      <c r="A16" t="s">
        <v>76</v>
      </c>
      <c r="B16" t="s">
        <v>77</v>
      </c>
      <c r="C16">
        <v>6</v>
      </c>
      <c r="D16" t="s">
        <v>47</v>
      </c>
      <c r="E16" s="3"/>
      <c r="F16" s="3"/>
      <c r="G16" s="3">
        <f t="shared" si="4"/>
        <v>0</v>
      </c>
      <c r="H16" s="3">
        <v>0</v>
      </c>
      <c r="I16" s="3"/>
      <c r="J16" s="2"/>
      <c r="K16" s="2">
        <f t="shared" si="1"/>
        <v>0</v>
      </c>
      <c r="L16" s="2" t="str">
        <f t="shared" si="2"/>
        <v>E</v>
      </c>
      <c r="M16" t="str">
        <f t="shared" si="3"/>
        <v>0</v>
      </c>
    </row>
    <row r="17" spans="1:28" x14ac:dyDescent="0.25">
      <c r="A17" t="s">
        <v>78</v>
      </c>
      <c r="B17" t="s">
        <v>79</v>
      </c>
      <c r="C17">
        <v>6</v>
      </c>
      <c r="D17" t="s">
        <v>62</v>
      </c>
      <c r="E17" s="3">
        <v>0</v>
      </c>
      <c r="F17" s="3"/>
      <c r="G17" s="3">
        <f t="shared" si="4"/>
        <v>14.651600000000002</v>
      </c>
      <c r="H17" s="3">
        <v>73.25800000000001</v>
      </c>
      <c r="I17" s="3"/>
      <c r="J17" s="3"/>
      <c r="K17" s="2">
        <f t="shared" si="1"/>
        <v>4.4000000000000004</v>
      </c>
      <c r="L17" s="2" t="str">
        <f t="shared" si="2"/>
        <v>E</v>
      </c>
      <c r="M17" t="str">
        <f t="shared" si="3"/>
        <v>0</v>
      </c>
      <c r="N17" t="s">
        <v>80</v>
      </c>
      <c r="O17">
        <v>24060123140191</v>
      </c>
      <c r="P17" t="s">
        <v>81</v>
      </c>
      <c r="S17" t="s">
        <v>82</v>
      </c>
      <c r="T17">
        <v>25</v>
      </c>
      <c r="U17">
        <v>84.62</v>
      </c>
      <c r="V17">
        <v>100</v>
      </c>
      <c r="W17">
        <v>56.67</v>
      </c>
      <c r="X17" t="s">
        <v>44</v>
      </c>
      <c r="Y17">
        <v>100</v>
      </c>
      <c r="Z17" t="s">
        <v>44</v>
      </c>
      <c r="AA17" t="s">
        <v>44</v>
      </c>
      <c r="AB17">
        <v>1782748444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8075-796D-4F26-87B7-1C234AE04003}">
  <dimension ref="A7:L17"/>
  <sheetViews>
    <sheetView workbookViewId="0">
      <selection activeCell="L8" sqref="L8:L17"/>
    </sheetView>
  </sheetViews>
  <sheetFormatPr defaultRowHeight="15" x14ac:dyDescent="0.25"/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34</v>
      </c>
    </row>
    <row r="8" spans="1:12" x14ac:dyDescent="0.25">
      <c r="A8" t="s">
        <v>41</v>
      </c>
      <c r="B8">
        <v>24060123130099</v>
      </c>
      <c r="C8" t="s">
        <v>42</v>
      </c>
      <c r="F8" t="s">
        <v>43</v>
      </c>
      <c r="G8">
        <v>58.33</v>
      </c>
      <c r="H8" t="s">
        <v>44</v>
      </c>
      <c r="I8" t="s">
        <v>44</v>
      </c>
      <c r="J8" t="s">
        <v>44</v>
      </c>
      <c r="K8" t="s">
        <v>44</v>
      </c>
      <c r="L8">
        <f>SUM(G8:K8)/5</f>
        <v>11.666</v>
      </c>
    </row>
    <row r="9" spans="1:12" x14ac:dyDescent="0.25">
      <c r="A9" t="s">
        <v>48</v>
      </c>
      <c r="B9">
        <v>24060123140063</v>
      </c>
      <c r="C9" t="s">
        <v>49</v>
      </c>
      <c r="F9" t="s">
        <v>50</v>
      </c>
      <c r="G9">
        <v>50</v>
      </c>
      <c r="H9">
        <v>61.54</v>
      </c>
      <c r="I9">
        <v>87.5</v>
      </c>
      <c r="J9">
        <v>53.33</v>
      </c>
      <c r="K9">
        <v>55</v>
      </c>
      <c r="L9">
        <f t="shared" ref="L9:L17" si="0">SUM(G9:K9)/5</f>
        <v>61.474000000000004</v>
      </c>
    </row>
    <row r="10" spans="1:12" x14ac:dyDescent="0.25">
      <c r="L10">
        <f t="shared" si="0"/>
        <v>0</v>
      </c>
    </row>
    <row r="11" spans="1:12" x14ac:dyDescent="0.25">
      <c r="A11" t="s">
        <v>55</v>
      </c>
      <c r="B11">
        <v>24060122120026</v>
      </c>
      <c r="C11" t="s">
        <v>56</v>
      </c>
      <c r="F11" t="s">
        <v>57</v>
      </c>
      <c r="G11">
        <v>75</v>
      </c>
      <c r="H11" t="s">
        <v>44</v>
      </c>
      <c r="I11" t="s">
        <v>44</v>
      </c>
      <c r="J11" t="s">
        <v>44</v>
      </c>
      <c r="K11">
        <v>50</v>
      </c>
      <c r="L11">
        <f t="shared" si="0"/>
        <v>25</v>
      </c>
    </row>
    <row r="12" spans="1:12" x14ac:dyDescent="0.25">
      <c r="L12">
        <f t="shared" si="0"/>
        <v>0</v>
      </c>
    </row>
    <row r="13" spans="1:12" x14ac:dyDescent="0.25">
      <c r="A13" t="s">
        <v>63</v>
      </c>
      <c r="B13">
        <v>24060123130055</v>
      </c>
      <c r="C13" t="s">
        <v>64</v>
      </c>
      <c r="F13" t="s">
        <v>65</v>
      </c>
      <c r="G13">
        <v>25</v>
      </c>
      <c r="H13">
        <v>73.08</v>
      </c>
      <c r="I13">
        <v>100</v>
      </c>
      <c r="J13">
        <v>73.33</v>
      </c>
      <c r="K13">
        <v>80</v>
      </c>
      <c r="L13">
        <f t="shared" si="0"/>
        <v>70.281999999999996</v>
      </c>
    </row>
    <row r="14" spans="1:12" x14ac:dyDescent="0.25">
      <c r="A14" t="s">
        <v>68</v>
      </c>
      <c r="B14">
        <v>24060123120043</v>
      </c>
      <c r="C14" t="s">
        <v>69</v>
      </c>
      <c r="F14" t="s">
        <v>70</v>
      </c>
      <c r="G14">
        <v>58.33</v>
      </c>
      <c r="H14">
        <v>78.209999999999994</v>
      </c>
      <c r="I14">
        <v>62.5</v>
      </c>
      <c r="J14">
        <v>60</v>
      </c>
      <c r="K14">
        <v>60</v>
      </c>
      <c r="L14">
        <f t="shared" si="0"/>
        <v>63.807999999999993</v>
      </c>
    </row>
    <row r="15" spans="1:12" x14ac:dyDescent="0.25">
      <c r="A15" t="s">
        <v>73</v>
      </c>
      <c r="B15">
        <v>24060123140132</v>
      </c>
      <c r="C15" t="s">
        <v>74</v>
      </c>
      <c r="F15" t="s">
        <v>75</v>
      </c>
      <c r="G15">
        <v>58.33</v>
      </c>
      <c r="H15">
        <v>73.72</v>
      </c>
      <c r="I15">
        <v>87.5</v>
      </c>
      <c r="J15">
        <v>40</v>
      </c>
      <c r="K15">
        <v>90</v>
      </c>
      <c r="L15">
        <f t="shared" si="0"/>
        <v>69.91</v>
      </c>
    </row>
    <row r="16" spans="1:12" x14ac:dyDescent="0.25">
      <c r="L16">
        <f t="shared" si="0"/>
        <v>0</v>
      </c>
    </row>
    <row r="17" spans="1:12" x14ac:dyDescent="0.25">
      <c r="A17" t="s">
        <v>80</v>
      </c>
      <c r="B17">
        <v>24060123140191</v>
      </c>
      <c r="C17" t="s">
        <v>81</v>
      </c>
      <c r="F17" t="s">
        <v>82</v>
      </c>
      <c r="G17">
        <v>25</v>
      </c>
      <c r="H17">
        <v>84.62</v>
      </c>
      <c r="I17">
        <v>100</v>
      </c>
      <c r="J17">
        <v>56.67</v>
      </c>
      <c r="K17">
        <v>100</v>
      </c>
      <c r="L17">
        <f t="shared" si="0"/>
        <v>73.25800000000001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workbookViewId="0"/>
  </sheetViews>
  <sheetFormatPr defaultRowHeight="15" x14ac:dyDescent="0.25"/>
  <sheetData>
    <row r="1" spans="1:1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55</v>
      </c>
      <c r="B2">
        <v>24060122120026</v>
      </c>
      <c r="C2" t="s">
        <v>56</v>
      </c>
      <c r="F2" t="s">
        <v>57</v>
      </c>
      <c r="G2">
        <v>75</v>
      </c>
      <c r="H2" t="s">
        <v>44</v>
      </c>
      <c r="I2" t="s">
        <v>44</v>
      </c>
      <c r="J2" t="s">
        <v>44</v>
      </c>
      <c r="K2" t="s">
        <v>44</v>
      </c>
      <c r="L2">
        <v>50</v>
      </c>
      <c r="M2">
        <v>2.89</v>
      </c>
      <c r="N2">
        <v>77.33</v>
      </c>
      <c r="O2">
        <v>1782748444</v>
      </c>
    </row>
    <row r="3" spans="1:15" x14ac:dyDescent="0.25">
      <c r="A3" t="s">
        <v>83</v>
      </c>
      <c r="B3">
        <v>24060122140178</v>
      </c>
      <c r="C3" t="s">
        <v>84</v>
      </c>
      <c r="F3" t="s">
        <v>85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>
        <v>1782748444</v>
      </c>
    </row>
    <row r="4" spans="1:15" x14ac:dyDescent="0.25">
      <c r="A4" t="s">
        <v>68</v>
      </c>
      <c r="B4">
        <v>24060123120043</v>
      </c>
      <c r="C4" t="s">
        <v>69</v>
      </c>
      <c r="F4" t="s">
        <v>70</v>
      </c>
      <c r="G4">
        <v>58.33</v>
      </c>
      <c r="H4">
        <v>78.209999999999994</v>
      </c>
      <c r="I4">
        <v>62.5</v>
      </c>
      <c r="J4">
        <v>60</v>
      </c>
      <c r="K4" t="s">
        <v>44</v>
      </c>
      <c r="L4">
        <v>60</v>
      </c>
      <c r="M4">
        <v>9.18</v>
      </c>
      <c r="N4">
        <v>92</v>
      </c>
      <c r="O4">
        <v>1782748444</v>
      </c>
    </row>
    <row r="5" spans="1:15" x14ac:dyDescent="0.25">
      <c r="A5" t="s">
        <v>63</v>
      </c>
      <c r="B5">
        <v>24060123130055</v>
      </c>
      <c r="C5" t="s">
        <v>64</v>
      </c>
      <c r="F5" t="s">
        <v>65</v>
      </c>
      <c r="G5">
        <v>25</v>
      </c>
      <c r="H5">
        <v>73.08</v>
      </c>
      <c r="I5">
        <v>100</v>
      </c>
      <c r="J5">
        <v>73.33</v>
      </c>
      <c r="K5" t="s">
        <v>44</v>
      </c>
      <c r="L5">
        <v>80</v>
      </c>
      <c r="M5" t="s">
        <v>44</v>
      </c>
      <c r="N5" t="s">
        <v>44</v>
      </c>
      <c r="O5">
        <v>1782748444</v>
      </c>
    </row>
    <row r="6" spans="1:15" x14ac:dyDescent="0.25">
      <c r="A6" t="s">
        <v>41</v>
      </c>
      <c r="B6">
        <v>24060123130099</v>
      </c>
      <c r="C6" t="s">
        <v>42</v>
      </c>
      <c r="F6" t="s">
        <v>43</v>
      </c>
      <c r="G6">
        <v>58.33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>
        <v>1782748444</v>
      </c>
    </row>
    <row r="7" spans="1:15" x14ac:dyDescent="0.25">
      <c r="A7" t="s">
        <v>48</v>
      </c>
      <c r="B7">
        <v>24060123140063</v>
      </c>
      <c r="C7" t="s">
        <v>49</v>
      </c>
      <c r="F7" t="s">
        <v>50</v>
      </c>
      <c r="G7">
        <v>50</v>
      </c>
      <c r="H7">
        <v>61.54</v>
      </c>
      <c r="I7">
        <v>87.5</v>
      </c>
      <c r="J7">
        <v>53.33</v>
      </c>
      <c r="K7" t="s">
        <v>44</v>
      </c>
      <c r="L7">
        <v>55</v>
      </c>
      <c r="M7" t="s">
        <v>44</v>
      </c>
      <c r="N7" t="s">
        <v>44</v>
      </c>
      <c r="O7">
        <v>1782748444</v>
      </c>
    </row>
    <row r="8" spans="1:15" x14ac:dyDescent="0.25">
      <c r="A8" t="s">
        <v>73</v>
      </c>
      <c r="B8">
        <v>24060123140132</v>
      </c>
      <c r="C8" t="s">
        <v>74</v>
      </c>
      <c r="F8" t="s">
        <v>75</v>
      </c>
      <c r="G8">
        <v>58.33</v>
      </c>
      <c r="H8">
        <v>73.72</v>
      </c>
      <c r="I8">
        <v>87.5</v>
      </c>
      <c r="J8">
        <v>40</v>
      </c>
      <c r="K8" t="s">
        <v>44</v>
      </c>
      <c r="L8">
        <v>90</v>
      </c>
      <c r="M8" t="s">
        <v>44</v>
      </c>
      <c r="N8">
        <v>85</v>
      </c>
      <c r="O8">
        <v>1782748444</v>
      </c>
    </row>
    <row r="9" spans="1:15" x14ac:dyDescent="0.25">
      <c r="A9" t="s">
        <v>86</v>
      </c>
      <c r="B9">
        <v>24060123140156</v>
      </c>
      <c r="C9" t="s">
        <v>87</v>
      </c>
      <c r="F9" t="s">
        <v>88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>
        <v>100</v>
      </c>
      <c r="M9">
        <v>9.69</v>
      </c>
      <c r="N9">
        <v>94</v>
      </c>
      <c r="O9">
        <v>1782748444</v>
      </c>
    </row>
    <row r="10" spans="1:15" x14ac:dyDescent="0.25">
      <c r="A10" t="s">
        <v>89</v>
      </c>
      <c r="B10">
        <v>24060123140190</v>
      </c>
      <c r="C10" t="s">
        <v>90</v>
      </c>
      <c r="F10" t="s">
        <v>91</v>
      </c>
      <c r="G10">
        <v>75</v>
      </c>
      <c r="H10">
        <v>78.209999999999994</v>
      </c>
      <c r="I10">
        <v>75</v>
      </c>
      <c r="J10">
        <v>60</v>
      </c>
      <c r="K10" t="s">
        <v>44</v>
      </c>
      <c r="L10">
        <v>95</v>
      </c>
      <c r="M10" t="s">
        <v>44</v>
      </c>
      <c r="N10">
        <v>88</v>
      </c>
      <c r="O10">
        <v>1782748444</v>
      </c>
    </row>
    <row r="11" spans="1:15" x14ac:dyDescent="0.25">
      <c r="A11" t="s">
        <v>80</v>
      </c>
      <c r="B11">
        <v>24060123140191</v>
      </c>
      <c r="C11" t="s">
        <v>81</v>
      </c>
      <c r="F11" t="s">
        <v>82</v>
      </c>
      <c r="G11">
        <v>25</v>
      </c>
      <c r="H11">
        <v>84.62</v>
      </c>
      <c r="I11">
        <v>100</v>
      </c>
      <c r="J11">
        <v>56.67</v>
      </c>
      <c r="K11" t="s">
        <v>44</v>
      </c>
      <c r="L11">
        <v>100</v>
      </c>
      <c r="M11" t="s">
        <v>44</v>
      </c>
      <c r="N11" t="s">
        <v>44</v>
      </c>
      <c r="O11">
        <v>1782748444</v>
      </c>
    </row>
    <row r="12" spans="1:15" x14ac:dyDescent="0.25">
      <c r="A12" t="s">
        <v>92</v>
      </c>
      <c r="B12">
        <v>24060124110142</v>
      </c>
      <c r="C12" t="s">
        <v>93</v>
      </c>
      <c r="F12" t="s">
        <v>94</v>
      </c>
      <c r="G12">
        <v>75</v>
      </c>
      <c r="H12">
        <v>85.9</v>
      </c>
      <c r="I12">
        <v>100</v>
      </c>
      <c r="J12">
        <v>93.33</v>
      </c>
      <c r="K12" t="s">
        <v>44</v>
      </c>
      <c r="L12">
        <v>100</v>
      </c>
      <c r="M12">
        <v>9.36</v>
      </c>
      <c r="N12">
        <v>96</v>
      </c>
      <c r="O12">
        <v>1782748444</v>
      </c>
    </row>
    <row r="13" spans="1:15" x14ac:dyDescent="0.25">
      <c r="A13" t="s">
        <v>95</v>
      </c>
      <c r="B13">
        <v>24060124120006</v>
      </c>
      <c r="C13" t="s">
        <v>96</v>
      </c>
      <c r="F13" t="s">
        <v>97</v>
      </c>
      <c r="G13">
        <v>58.33</v>
      </c>
      <c r="H13">
        <v>88.46</v>
      </c>
      <c r="I13">
        <v>87.5</v>
      </c>
      <c r="J13">
        <v>66.67</v>
      </c>
      <c r="K13" t="s">
        <v>44</v>
      </c>
      <c r="L13">
        <v>100</v>
      </c>
      <c r="M13" t="s">
        <v>44</v>
      </c>
      <c r="N13">
        <v>96</v>
      </c>
      <c r="O13">
        <v>1782748444</v>
      </c>
    </row>
    <row r="14" spans="1:15" x14ac:dyDescent="0.25">
      <c r="A14" t="s">
        <v>98</v>
      </c>
      <c r="B14">
        <v>24060124120010</v>
      </c>
      <c r="C14" t="s">
        <v>99</v>
      </c>
      <c r="F14" t="s">
        <v>100</v>
      </c>
      <c r="G14">
        <v>75</v>
      </c>
      <c r="H14">
        <v>88.46</v>
      </c>
      <c r="I14">
        <v>100</v>
      </c>
      <c r="J14">
        <v>90</v>
      </c>
      <c r="K14" t="s">
        <v>44</v>
      </c>
      <c r="L14">
        <v>95</v>
      </c>
      <c r="M14">
        <v>9.2799999999999994</v>
      </c>
      <c r="N14">
        <v>95</v>
      </c>
      <c r="O14">
        <v>1782748444</v>
      </c>
    </row>
    <row r="15" spans="1:15" x14ac:dyDescent="0.25">
      <c r="A15" t="s">
        <v>101</v>
      </c>
      <c r="B15">
        <v>24060124120012</v>
      </c>
      <c r="C15" t="s">
        <v>102</v>
      </c>
      <c r="F15" t="s">
        <v>103</v>
      </c>
      <c r="G15">
        <v>75</v>
      </c>
      <c r="H15">
        <v>73.08</v>
      </c>
      <c r="I15">
        <v>100</v>
      </c>
      <c r="J15">
        <v>60</v>
      </c>
      <c r="K15" t="s">
        <v>44</v>
      </c>
      <c r="L15">
        <v>95</v>
      </c>
      <c r="M15">
        <v>9.41</v>
      </c>
      <c r="N15">
        <v>94</v>
      </c>
      <c r="O15">
        <v>1782748444</v>
      </c>
    </row>
    <row r="16" spans="1:15" x14ac:dyDescent="0.25">
      <c r="A16" t="s">
        <v>104</v>
      </c>
      <c r="B16">
        <v>24060124120013</v>
      </c>
      <c r="C16" t="s">
        <v>105</v>
      </c>
      <c r="F16" t="s">
        <v>106</v>
      </c>
      <c r="G16">
        <v>66.67</v>
      </c>
      <c r="H16">
        <v>65.38</v>
      </c>
      <c r="I16">
        <v>87.5</v>
      </c>
      <c r="J16">
        <v>60</v>
      </c>
      <c r="K16" t="s">
        <v>44</v>
      </c>
      <c r="L16">
        <v>100</v>
      </c>
      <c r="M16">
        <v>9.18</v>
      </c>
      <c r="N16">
        <v>93</v>
      </c>
      <c r="O16">
        <v>1782748444</v>
      </c>
    </row>
    <row r="17" spans="1:15" x14ac:dyDescent="0.25">
      <c r="A17" t="s">
        <v>107</v>
      </c>
      <c r="B17">
        <v>24060124120015</v>
      </c>
      <c r="C17" t="s">
        <v>108</v>
      </c>
      <c r="F17" t="s">
        <v>109</v>
      </c>
      <c r="G17">
        <v>58.33</v>
      </c>
      <c r="H17">
        <v>52.24</v>
      </c>
      <c r="I17">
        <v>37.5</v>
      </c>
      <c r="J17">
        <v>40</v>
      </c>
      <c r="K17" t="s">
        <v>44</v>
      </c>
      <c r="L17">
        <v>90</v>
      </c>
      <c r="M17" t="s">
        <v>44</v>
      </c>
      <c r="N17">
        <v>83</v>
      </c>
      <c r="O17">
        <v>1782748444</v>
      </c>
    </row>
    <row r="18" spans="1:15" x14ac:dyDescent="0.25">
      <c r="A18" t="s">
        <v>110</v>
      </c>
      <c r="B18">
        <v>24060124120016</v>
      </c>
      <c r="C18" t="s">
        <v>111</v>
      </c>
      <c r="F18" t="s">
        <v>112</v>
      </c>
      <c r="G18">
        <v>83.33</v>
      </c>
      <c r="H18">
        <v>78.209999999999994</v>
      </c>
      <c r="I18">
        <v>87.5</v>
      </c>
      <c r="J18">
        <v>66.67</v>
      </c>
      <c r="K18" t="s">
        <v>44</v>
      </c>
      <c r="L18">
        <v>100</v>
      </c>
      <c r="M18">
        <v>7.11</v>
      </c>
      <c r="N18">
        <v>97</v>
      </c>
      <c r="O18">
        <v>1782748444</v>
      </c>
    </row>
    <row r="19" spans="1:15" x14ac:dyDescent="0.25">
      <c r="A19" t="s">
        <v>113</v>
      </c>
      <c r="B19">
        <v>24060124120019</v>
      </c>
      <c r="C19" t="s">
        <v>114</v>
      </c>
      <c r="F19" t="s">
        <v>115</v>
      </c>
      <c r="G19">
        <v>83.33</v>
      </c>
      <c r="H19">
        <v>76.92</v>
      </c>
      <c r="I19">
        <v>87.5</v>
      </c>
      <c r="J19">
        <v>76.67</v>
      </c>
      <c r="K19" t="s">
        <v>44</v>
      </c>
      <c r="L19">
        <v>90</v>
      </c>
      <c r="M19">
        <v>9.69</v>
      </c>
      <c r="N19">
        <v>98</v>
      </c>
      <c r="O19">
        <v>1782748444</v>
      </c>
    </row>
    <row r="20" spans="1:15" x14ac:dyDescent="0.25">
      <c r="A20" t="s">
        <v>116</v>
      </c>
      <c r="B20">
        <v>24060124120020</v>
      </c>
      <c r="C20" t="s">
        <v>117</v>
      </c>
      <c r="F20" t="s">
        <v>118</v>
      </c>
      <c r="G20">
        <v>66.67</v>
      </c>
      <c r="H20">
        <v>73.08</v>
      </c>
      <c r="I20">
        <v>75</v>
      </c>
      <c r="J20">
        <v>63.33</v>
      </c>
      <c r="K20" t="s">
        <v>44</v>
      </c>
      <c r="L20">
        <v>80</v>
      </c>
      <c r="M20" t="s">
        <v>44</v>
      </c>
      <c r="N20">
        <v>95</v>
      </c>
      <c r="O20">
        <v>1782748444</v>
      </c>
    </row>
    <row r="21" spans="1:15" x14ac:dyDescent="0.25">
      <c r="A21" t="s">
        <v>119</v>
      </c>
      <c r="B21">
        <v>24060124120026</v>
      </c>
      <c r="C21" t="s">
        <v>120</v>
      </c>
      <c r="F21" t="s">
        <v>121</v>
      </c>
      <c r="G21">
        <v>83.33</v>
      </c>
      <c r="H21">
        <v>81.73</v>
      </c>
      <c r="I21">
        <v>87.5</v>
      </c>
      <c r="J21">
        <v>93.33</v>
      </c>
      <c r="K21" t="s">
        <v>44</v>
      </c>
      <c r="L21">
        <v>100</v>
      </c>
      <c r="M21">
        <v>9.69</v>
      </c>
      <c r="N21">
        <v>100</v>
      </c>
      <c r="O21">
        <v>1782748444</v>
      </c>
    </row>
    <row r="22" spans="1:15" x14ac:dyDescent="0.25">
      <c r="A22" t="s">
        <v>122</v>
      </c>
      <c r="B22">
        <v>24060124120047</v>
      </c>
      <c r="C22" t="s">
        <v>123</v>
      </c>
      <c r="F22" t="s">
        <v>124</v>
      </c>
      <c r="G22">
        <v>58.33</v>
      </c>
      <c r="H22">
        <v>79.489999999999995</v>
      </c>
      <c r="I22">
        <v>87.5</v>
      </c>
      <c r="J22">
        <v>86.67</v>
      </c>
      <c r="K22" t="s">
        <v>44</v>
      </c>
      <c r="L22">
        <v>80</v>
      </c>
      <c r="M22">
        <v>9.59</v>
      </c>
      <c r="N22">
        <v>94</v>
      </c>
      <c r="O22">
        <v>1782748444</v>
      </c>
    </row>
    <row r="23" spans="1:15" x14ac:dyDescent="0.25">
      <c r="A23" t="s">
        <v>125</v>
      </c>
      <c r="B23">
        <v>24060124130053</v>
      </c>
      <c r="C23" t="s">
        <v>126</v>
      </c>
      <c r="F23" t="s">
        <v>127</v>
      </c>
      <c r="G23">
        <v>66.67</v>
      </c>
      <c r="H23">
        <v>42.31</v>
      </c>
      <c r="I23">
        <v>75</v>
      </c>
      <c r="J23">
        <v>80</v>
      </c>
      <c r="K23" t="s">
        <v>44</v>
      </c>
      <c r="L23">
        <v>45</v>
      </c>
      <c r="M23" t="s">
        <v>44</v>
      </c>
      <c r="N23">
        <v>78</v>
      </c>
      <c r="O23">
        <v>1782748444</v>
      </c>
    </row>
    <row r="24" spans="1:15" x14ac:dyDescent="0.25">
      <c r="A24" t="s">
        <v>128</v>
      </c>
      <c r="B24">
        <v>24060124130055</v>
      </c>
      <c r="C24" t="s">
        <v>129</v>
      </c>
      <c r="F24" t="s">
        <v>130</v>
      </c>
      <c r="G24">
        <v>75</v>
      </c>
      <c r="H24">
        <v>88.46</v>
      </c>
      <c r="I24">
        <v>100</v>
      </c>
      <c r="J24">
        <v>80</v>
      </c>
      <c r="K24" t="s">
        <v>44</v>
      </c>
      <c r="L24" t="s">
        <v>44</v>
      </c>
      <c r="M24" t="s">
        <v>44</v>
      </c>
      <c r="N24" t="s">
        <v>44</v>
      </c>
      <c r="O24">
        <v>1782748444</v>
      </c>
    </row>
    <row r="25" spans="1:15" x14ac:dyDescent="0.25">
      <c r="A25" t="s">
        <v>131</v>
      </c>
      <c r="B25">
        <v>24060124130061</v>
      </c>
      <c r="C25" t="s">
        <v>132</v>
      </c>
      <c r="F25" t="s">
        <v>133</v>
      </c>
      <c r="G25">
        <v>41.67</v>
      </c>
      <c r="H25">
        <v>71.150000000000006</v>
      </c>
      <c r="I25">
        <v>50</v>
      </c>
      <c r="J25">
        <v>60</v>
      </c>
      <c r="K25" t="s">
        <v>44</v>
      </c>
      <c r="L25">
        <v>85</v>
      </c>
      <c r="M25">
        <v>7.87</v>
      </c>
      <c r="N25">
        <v>85</v>
      </c>
      <c r="O25">
        <v>1782748444</v>
      </c>
    </row>
    <row r="26" spans="1:15" x14ac:dyDescent="0.25">
      <c r="A26" t="s">
        <v>134</v>
      </c>
      <c r="B26">
        <v>24060124130064</v>
      </c>
      <c r="C26" t="s">
        <v>135</v>
      </c>
      <c r="F26" t="s">
        <v>136</v>
      </c>
      <c r="G26">
        <v>66.67</v>
      </c>
      <c r="H26">
        <v>84.62</v>
      </c>
      <c r="I26">
        <v>87.5</v>
      </c>
      <c r="J26">
        <v>66.67</v>
      </c>
      <c r="K26" t="s">
        <v>44</v>
      </c>
      <c r="L26">
        <v>100</v>
      </c>
      <c r="M26">
        <v>9.48</v>
      </c>
      <c r="N26">
        <v>97</v>
      </c>
      <c r="O26">
        <v>1782748444</v>
      </c>
    </row>
    <row r="27" spans="1:15" x14ac:dyDescent="0.25">
      <c r="A27" t="s">
        <v>137</v>
      </c>
      <c r="B27">
        <v>24060124130067</v>
      </c>
      <c r="C27" t="s">
        <v>138</v>
      </c>
      <c r="F27" t="s">
        <v>139</v>
      </c>
      <c r="G27">
        <v>83.33</v>
      </c>
      <c r="H27">
        <v>26.92</v>
      </c>
      <c r="I27">
        <v>87.5</v>
      </c>
      <c r="J27">
        <v>86.67</v>
      </c>
      <c r="K27" t="s">
        <v>44</v>
      </c>
      <c r="L27">
        <v>80</v>
      </c>
      <c r="M27" t="s">
        <v>44</v>
      </c>
      <c r="N27">
        <v>94</v>
      </c>
      <c r="O27">
        <v>1782748444</v>
      </c>
    </row>
    <row r="28" spans="1:15" x14ac:dyDescent="0.25">
      <c r="A28" t="s">
        <v>140</v>
      </c>
      <c r="B28">
        <v>24060124130086</v>
      </c>
      <c r="C28" t="s">
        <v>141</v>
      </c>
      <c r="F28" t="s">
        <v>142</v>
      </c>
      <c r="G28">
        <v>58.33</v>
      </c>
      <c r="H28">
        <v>84.62</v>
      </c>
      <c r="I28">
        <v>87.5</v>
      </c>
      <c r="J28">
        <v>76.67</v>
      </c>
      <c r="K28" t="s">
        <v>44</v>
      </c>
      <c r="L28">
        <v>75</v>
      </c>
      <c r="M28">
        <v>8.0399999999999991</v>
      </c>
      <c r="N28">
        <v>87</v>
      </c>
      <c r="O28">
        <v>1782748444</v>
      </c>
    </row>
    <row r="29" spans="1:15" x14ac:dyDescent="0.25">
      <c r="A29" t="s">
        <v>143</v>
      </c>
      <c r="B29">
        <v>24060124130097</v>
      </c>
      <c r="C29" t="s">
        <v>144</v>
      </c>
      <c r="F29" t="s">
        <v>145</v>
      </c>
      <c r="G29">
        <v>75</v>
      </c>
      <c r="H29">
        <v>60.26</v>
      </c>
      <c r="I29">
        <v>75</v>
      </c>
      <c r="J29">
        <v>60</v>
      </c>
      <c r="K29" t="s">
        <v>44</v>
      </c>
      <c r="L29">
        <v>85</v>
      </c>
      <c r="M29">
        <v>3.51</v>
      </c>
      <c r="N29">
        <v>87</v>
      </c>
      <c r="O29">
        <v>1782748444</v>
      </c>
    </row>
    <row r="30" spans="1:15" x14ac:dyDescent="0.25">
      <c r="A30" t="s">
        <v>146</v>
      </c>
      <c r="B30">
        <v>24060124130113</v>
      </c>
      <c r="C30" t="s">
        <v>147</v>
      </c>
      <c r="F30" t="s">
        <v>148</v>
      </c>
      <c r="G30">
        <v>75</v>
      </c>
      <c r="H30" t="s">
        <v>44</v>
      </c>
      <c r="I30" t="s">
        <v>44</v>
      </c>
      <c r="J30" t="s">
        <v>44</v>
      </c>
      <c r="K30" t="s">
        <v>44</v>
      </c>
      <c r="L30">
        <v>85</v>
      </c>
      <c r="M30" t="s">
        <v>44</v>
      </c>
      <c r="N30">
        <v>95</v>
      </c>
      <c r="O30">
        <v>1782748444</v>
      </c>
    </row>
    <row r="31" spans="1:15" x14ac:dyDescent="0.25">
      <c r="A31" t="s">
        <v>149</v>
      </c>
      <c r="B31">
        <v>24060124130115</v>
      </c>
      <c r="C31" t="s">
        <v>150</v>
      </c>
      <c r="F31" t="s">
        <v>151</v>
      </c>
      <c r="G31">
        <v>58.33</v>
      </c>
      <c r="H31">
        <v>68.91</v>
      </c>
      <c r="I31">
        <v>87.5</v>
      </c>
      <c r="J31">
        <v>80</v>
      </c>
      <c r="K31" t="s">
        <v>44</v>
      </c>
      <c r="L31">
        <v>100</v>
      </c>
      <c r="M31">
        <v>8.59</v>
      </c>
      <c r="N31">
        <v>78</v>
      </c>
      <c r="O31">
        <v>1782748444</v>
      </c>
    </row>
    <row r="32" spans="1:15" x14ac:dyDescent="0.25">
      <c r="A32" t="s">
        <v>152</v>
      </c>
      <c r="B32">
        <v>24060124140124</v>
      </c>
      <c r="C32" t="s">
        <v>153</v>
      </c>
      <c r="F32" t="s">
        <v>154</v>
      </c>
      <c r="G32">
        <v>75</v>
      </c>
      <c r="H32">
        <v>62.82</v>
      </c>
      <c r="I32">
        <v>62.5</v>
      </c>
      <c r="J32">
        <v>53.33</v>
      </c>
      <c r="K32" t="s">
        <v>44</v>
      </c>
      <c r="L32">
        <v>85</v>
      </c>
      <c r="M32">
        <v>9.69</v>
      </c>
      <c r="N32">
        <v>93</v>
      </c>
      <c r="O32">
        <v>1782748444</v>
      </c>
    </row>
    <row r="33" spans="1:15" x14ac:dyDescent="0.25">
      <c r="A33" t="s">
        <v>155</v>
      </c>
      <c r="B33">
        <v>24060124140125</v>
      </c>
      <c r="C33" t="s">
        <v>156</v>
      </c>
      <c r="F33" t="s">
        <v>157</v>
      </c>
      <c r="G33">
        <v>58.33</v>
      </c>
      <c r="H33">
        <v>92.31</v>
      </c>
      <c r="I33">
        <v>100</v>
      </c>
      <c r="J33">
        <v>76.67</v>
      </c>
      <c r="K33" t="s">
        <v>44</v>
      </c>
      <c r="L33">
        <v>95</v>
      </c>
      <c r="M33">
        <v>9.3800000000000008</v>
      </c>
      <c r="N33">
        <v>95</v>
      </c>
      <c r="O33">
        <v>1782748444</v>
      </c>
    </row>
    <row r="34" spans="1:15" x14ac:dyDescent="0.25">
      <c r="A34" t="s">
        <v>158</v>
      </c>
      <c r="B34">
        <v>24060124140131</v>
      </c>
      <c r="C34" t="s">
        <v>159</v>
      </c>
      <c r="F34" t="s">
        <v>160</v>
      </c>
      <c r="G34">
        <v>66.67</v>
      </c>
      <c r="H34">
        <v>49.36</v>
      </c>
      <c r="I34">
        <v>50</v>
      </c>
      <c r="J34">
        <v>50</v>
      </c>
      <c r="K34" t="s">
        <v>44</v>
      </c>
      <c r="L34">
        <v>80</v>
      </c>
      <c r="M34">
        <v>8.8699999999999992</v>
      </c>
      <c r="N34">
        <v>91</v>
      </c>
      <c r="O34">
        <v>1782748444</v>
      </c>
    </row>
    <row r="35" spans="1:15" x14ac:dyDescent="0.25">
      <c r="A35" t="s">
        <v>161</v>
      </c>
      <c r="B35">
        <v>24060124140134</v>
      </c>
      <c r="C35" t="s">
        <v>162</v>
      </c>
      <c r="F35" t="s">
        <v>163</v>
      </c>
      <c r="G35">
        <v>41.67</v>
      </c>
      <c r="H35">
        <v>78.209999999999994</v>
      </c>
      <c r="I35">
        <v>87.5</v>
      </c>
      <c r="J35">
        <v>66.67</v>
      </c>
      <c r="K35" t="s">
        <v>44</v>
      </c>
      <c r="L35">
        <v>90</v>
      </c>
      <c r="M35">
        <v>7.73</v>
      </c>
      <c r="N35">
        <v>95</v>
      </c>
      <c r="O35">
        <v>1782748444</v>
      </c>
    </row>
    <row r="36" spans="1:15" x14ac:dyDescent="0.25">
      <c r="A36" t="s">
        <v>164</v>
      </c>
      <c r="B36">
        <v>24060124140137</v>
      </c>
      <c r="C36" t="s">
        <v>165</v>
      </c>
      <c r="F36" t="s">
        <v>166</v>
      </c>
      <c r="G36">
        <v>83.33</v>
      </c>
      <c r="H36">
        <v>82.05</v>
      </c>
      <c r="I36">
        <v>100</v>
      </c>
      <c r="J36">
        <v>80</v>
      </c>
      <c r="K36" t="s">
        <v>44</v>
      </c>
      <c r="L36">
        <v>85</v>
      </c>
      <c r="M36">
        <v>8.69</v>
      </c>
      <c r="N36">
        <v>86</v>
      </c>
      <c r="O36">
        <v>1782748444</v>
      </c>
    </row>
    <row r="37" spans="1:15" x14ac:dyDescent="0.25">
      <c r="A37" t="s">
        <v>167</v>
      </c>
      <c r="B37">
        <v>24060124140139</v>
      </c>
      <c r="C37" t="s">
        <v>168</v>
      </c>
      <c r="F37" t="s">
        <v>169</v>
      </c>
      <c r="G37">
        <v>58.33</v>
      </c>
      <c r="H37">
        <v>72.760000000000005</v>
      </c>
      <c r="I37">
        <v>75</v>
      </c>
      <c r="J37">
        <v>53.33</v>
      </c>
      <c r="K37" t="s">
        <v>44</v>
      </c>
      <c r="L37">
        <v>75</v>
      </c>
      <c r="M37">
        <v>9.2799999999999994</v>
      </c>
      <c r="N37">
        <v>94</v>
      </c>
      <c r="O37">
        <v>1782748444</v>
      </c>
    </row>
    <row r="38" spans="1:15" x14ac:dyDescent="0.25">
      <c r="A38" t="s">
        <v>170</v>
      </c>
      <c r="B38">
        <v>24060124140151</v>
      </c>
      <c r="C38" t="s">
        <v>171</v>
      </c>
      <c r="F38" t="s">
        <v>172</v>
      </c>
      <c r="G38" t="s">
        <v>44</v>
      </c>
      <c r="H38">
        <v>75</v>
      </c>
      <c r="I38">
        <v>100</v>
      </c>
      <c r="J38">
        <v>53.33</v>
      </c>
      <c r="K38" t="s">
        <v>44</v>
      </c>
      <c r="L38" t="s">
        <v>44</v>
      </c>
      <c r="M38">
        <v>3.71</v>
      </c>
      <c r="N38">
        <v>86</v>
      </c>
      <c r="O38">
        <v>1782748444</v>
      </c>
    </row>
    <row r="39" spans="1:15" x14ac:dyDescent="0.25">
      <c r="A39" t="s">
        <v>173</v>
      </c>
      <c r="B39">
        <v>24060124140163</v>
      </c>
      <c r="C39" t="s">
        <v>174</v>
      </c>
      <c r="F39" t="s">
        <v>175</v>
      </c>
      <c r="G39" t="s">
        <v>44</v>
      </c>
      <c r="H39">
        <v>46.15</v>
      </c>
      <c r="I39">
        <v>62.5</v>
      </c>
      <c r="J39">
        <v>50</v>
      </c>
      <c r="K39" t="s">
        <v>44</v>
      </c>
      <c r="L39">
        <v>60</v>
      </c>
      <c r="M39">
        <v>9.3800000000000008</v>
      </c>
      <c r="N39">
        <v>98</v>
      </c>
      <c r="O39">
        <v>1782748444</v>
      </c>
    </row>
    <row r="40" spans="1:15" x14ac:dyDescent="0.25">
      <c r="A40" t="s">
        <v>176</v>
      </c>
      <c r="B40">
        <v>24060124140166</v>
      </c>
      <c r="C40" t="s">
        <v>177</v>
      </c>
      <c r="F40" t="s">
        <v>178</v>
      </c>
      <c r="G40">
        <v>75</v>
      </c>
      <c r="H40">
        <v>88.46</v>
      </c>
      <c r="I40">
        <v>75</v>
      </c>
      <c r="J40">
        <v>80</v>
      </c>
      <c r="K40" t="s">
        <v>44</v>
      </c>
      <c r="L40">
        <v>100</v>
      </c>
      <c r="M40">
        <v>1.34</v>
      </c>
      <c r="N40">
        <v>96</v>
      </c>
      <c r="O40">
        <v>1782748444</v>
      </c>
    </row>
    <row r="41" spans="1:15" x14ac:dyDescent="0.25">
      <c r="A41" t="s">
        <v>179</v>
      </c>
      <c r="B41">
        <v>24060124140169</v>
      </c>
      <c r="C41" t="s">
        <v>180</v>
      </c>
      <c r="F41" t="s">
        <v>181</v>
      </c>
      <c r="G41">
        <v>83.33</v>
      </c>
      <c r="H41">
        <v>71.150000000000006</v>
      </c>
      <c r="I41">
        <v>87.5</v>
      </c>
      <c r="J41">
        <v>70</v>
      </c>
      <c r="K41" t="s">
        <v>44</v>
      </c>
      <c r="L41">
        <v>85</v>
      </c>
      <c r="M41">
        <v>6.48</v>
      </c>
      <c r="N41">
        <v>88.33</v>
      </c>
      <c r="O41">
        <v>1782748444</v>
      </c>
    </row>
    <row r="42" spans="1:15" x14ac:dyDescent="0.25">
      <c r="A42" t="s">
        <v>182</v>
      </c>
      <c r="B42">
        <v>24060124140175</v>
      </c>
      <c r="C42" t="s">
        <v>183</v>
      </c>
      <c r="F42" t="s">
        <v>184</v>
      </c>
      <c r="G42">
        <v>50</v>
      </c>
      <c r="H42">
        <v>93.59</v>
      </c>
      <c r="I42">
        <v>75</v>
      </c>
      <c r="J42">
        <v>63.33</v>
      </c>
      <c r="K42" t="s">
        <v>44</v>
      </c>
      <c r="L42" t="s">
        <v>44</v>
      </c>
      <c r="M42" t="s">
        <v>44</v>
      </c>
      <c r="N42">
        <v>86</v>
      </c>
      <c r="O42">
        <v>1782748444</v>
      </c>
    </row>
    <row r="43" spans="1:15" x14ac:dyDescent="0.25">
      <c r="A43" t="s">
        <v>185</v>
      </c>
      <c r="B43">
        <v>24060124140177</v>
      </c>
      <c r="C43" t="s">
        <v>186</v>
      </c>
      <c r="F43" t="s">
        <v>187</v>
      </c>
      <c r="G43">
        <v>75</v>
      </c>
      <c r="H43">
        <v>53.21</v>
      </c>
      <c r="I43">
        <v>62.5</v>
      </c>
      <c r="J43">
        <v>60</v>
      </c>
      <c r="K43" t="s">
        <v>44</v>
      </c>
      <c r="L43">
        <v>65</v>
      </c>
      <c r="M43" t="s">
        <v>44</v>
      </c>
      <c r="N43">
        <v>84</v>
      </c>
      <c r="O43">
        <v>1782748444</v>
      </c>
    </row>
    <row r="44" spans="1:15" x14ac:dyDescent="0.25">
      <c r="A44" t="s">
        <v>188</v>
      </c>
      <c r="B44">
        <v>24060124140188</v>
      </c>
      <c r="C44" t="s">
        <v>189</v>
      </c>
      <c r="F44" t="s">
        <v>190</v>
      </c>
      <c r="G44">
        <v>58.33</v>
      </c>
      <c r="H44">
        <v>86.54</v>
      </c>
      <c r="I44">
        <v>87.5</v>
      </c>
      <c r="J44">
        <v>63.33</v>
      </c>
      <c r="K44" t="s">
        <v>44</v>
      </c>
      <c r="L44">
        <v>80</v>
      </c>
      <c r="M44">
        <v>9.1199999999999992</v>
      </c>
      <c r="N44">
        <v>96</v>
      </c>
      <c r="O44">
        <v>1782748444</v>
      </c>
    </row>
    <row r="45" spans="1:15" x14ac:dyDescent="0.25">
      <c r="A45" t="s">
        <v>191</v>
      </c>
      <c r="B45">
        <v>24060124140200</v>
      </c>
      <c r="C45" t="s">
        <v>192</v>
      </c>
      <c r="F45" t="s">
        <v>193</v>
      </c>
      <c r="G45">
        <v>58.33</v>
      </c>
      <c r="H45">
        <v>70.510000000000005</v>
      </c>
      <c r="I45">
        <v>75</v>
      </c>
      <c r="J45">
        <v>76.67</v>
      </c>
      <c r="K45" t="s">
        <v>44</v>
      </c>
      <c r="L45">
        <v>100</v>
      </c>
      <c r="M45">
        <v>9.18</v>
      </c>
      <c r="N45">
        <v>95</v>
      </c>
      <c r="O45">
        <v>1782748444</v>
      </c>
    </row>
    <row r="46" spans="1:15" x14ac:dyDescent="0.25">
      <c r="A46" t="s">
        <v>194</v>
      </c>
      <c r="B46">
        <v>24060124140204</v>
      </c>
      <c r="C46" t="s">
        <v>195</v>
      </c>
      <c r="F46" t="s">
        <v>196</v>
      </c>
      <c r="G46">
        <v>75</v>
      </c>
      <c r="H46">
        <v>51.28</v>
      </c>
      <c r="I46">
        <v>100</v>
      </c>
      <c r="J46">
        <v>63.33</v>
      </c>
      <c r="K46" t="s">
        <v>44</v>
      </c>
      <c r="L46">
        <v>95</v>
      </c>
      <c r="M46">
        <v>9.2799999999999994</v>
      </c>
      <c r="N46">
        <v>95</v>
      </c>
      <c r="O46">
        <v>1782748444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199</v>
      </c>
      <c r="B2">
        <v>10</v>
      </c>
    </row>
    <row r="3" spans="1:2" x14ac:dyDescent="0.25">
      <c r="A3" t="s">
        <v>200</v>
      </c>
      <c r="B3">
        <v>7</v>
      </c>
    </row>
    <row r="4" spans="1:2" x14ac:dyDescent="0.25">
      <c r="A4" t="s">
        <v>201</v>
      </c>
      <c r="B4">
        <v>3</v>
      </c>
    </row>
    <row r="5" spans="1:2" x14ac:dyDescent="0.25">
      <c r="A5" t="s">
        <v>202</v>
      </c>
      <c r="B5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2026-06-29T22:53:20Z</dcterms:created>
  <dcterms:modified xsi:type="dcterms:W3CDTF">2026-06-29T16:04:06Z</dcterms:modified>
  <cp:category>Test result file</cp:category>
</cp:coreProperties>
</file>