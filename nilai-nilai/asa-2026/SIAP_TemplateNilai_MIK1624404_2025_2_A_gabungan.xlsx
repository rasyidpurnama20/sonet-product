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 VICTUS\Documents\Dropbox\file-penting\ASA\2026\"/>
    </mc:Choice>
  </mc:AlternateContent>
  <xr:revisionPtr revIDLastSave="0" documentId="8_{B7862B14-A101-4385-8B76-12554CA71A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  <sheet name="Data_Gabungan" sheetId="2" r:id="rId2"/>
    <sheet name="Ringkasan_Match" sheetId="3" r:id="rId3"/>
  </sheets>
  <definedNames>
    <definedName name="_xlnm._FilterDatabase" localSheetId="1" hidden="1">Data_Gabungan!$A$1:$Y$39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1" l="1"/>
  <c r="K9" i="1" s="1"/>
  <c r="M9" i="1" s="1"/>
  <c r="G10" i="1"/>
  <c r="K10" i="1" s="1"/>
  <c r="M10" i="1" s="1"/>
  <c r="G11" i="1"/>
  <c r="K11" i="1" s="1"/>
  <c r="M11" i="1" s="1"/>
  <c r="G12" i="1"/>
  <c r="K12" i="1" s="1"/>
  <c r="L12" i="1" s="1"/>
  <c r="G13" i="1"/>
  <c r="K13" i="1" s="1"/>
  <c r="M13" i="1" s="1"/>
  <c r="G14" i="1"/>
  <c r="G15" i="1"/>
  <c r="G16" i="1"/>
  <c r="K16" i="1" s="1"/>
  <c r="L16" i="1" s="1"/>
  <c r="G17" i="1"/>
  <c r="G18" i="1"/>
  <c r="G19" i="1"/>
  <c r="G20" i="1"/>
  <c r="G21" i="1"/>
  <c r="G22" i="1"/>
  <c r="G23" i="1"/>
  <c r="G24" i="1"/>
  <c r="G25" i="1"/>
  <c r="G26" i="1"/>
  <c r="K26" i="1" s="1"/>
  <c r="M26" i="1" s="1"/>
  <c r="G27" i="1"/>
  <c r="K27" i="1" s="1"/>
  <c r="M27" i="1" s="1"/>
  <c r="G28" i="1"/>
  <c r="K28" i="1" s="1"/>
  <c r="M28" i="1" s="1"/>
  <c r="G29" i="1"/>
  <c r="K29" i="1" s="1"/>
  <c r="M29" i="1" s="1"/>
  <c r="G30" i="1"/>
  <c r="K30" i="1" s="1"/>
  <c r="M30" i="1" s="1"/>
  <c r="G31" i="1"/>
  <c r="K31" i="1" s="1"/>
  <c r="M31" i="1" s="1"/>
  <c r="G32" i="1"/>
  <c r="K32" i="1" s="1"/>
  <c r="L32" i="1" s="1"/>
  <c r="G33" i="1"/>
  <c r="K33" i="1" s="1"/>
  <c r="M33" i="1" s="1"/>
  <c r="G34" i="1"/>
  <c r="G35" i="1"/>
  <c r="G36" i="1"/>
  <c r="K36" i="1" s="1"/>
  <c r="M36" i="1" s="1"/>
  <c r="G37" i="1"/>
  <c r="G38" i="1"/>
  <c r="G39" i="1"/>
  <c r="G40" i="1"/>
  <c r="G41" i="1"/>
  <c r="G42" i="1"/>
  <c r="G43" i="1"/>
  <c r="G44" i="1"/>
  <c r="G45" i="1"/>
  <c r="G8" i="1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2" i="2"/>
  <c r="K45" i="1"/>
  <c r="M45" i="1" s="1"/>
  <c r="K44" i="1"/>
  <c r="M44" i="1" s="1"/>
  <c r="K43" i="1"/>
  <c r="M43" i="1" s="1"/>
  <c r="K42" i="1"/>
  <c r="M42" i="1" s="1"/>
  <c r="K41" i="1"/>
  <c r="M41" i="1" s="1"/>
  <c r="K40" i="1"/>
  <c r="M40" i="1" s="1"/>
  <c r="K39" i="1"/>
  <c r="M39" i="1" s="1"/>
  <c r="K38" i="1"/>
  <c r="M38" i="1" s="1"/>
  <c r="K37" i="1"/>
  <c r="M37" i="1" s="1"/>
  <c r="K35" i="1"/>
  <c r="M35" i="1" s="1"/>
  <c r="K34" i="1"/>
  <c r="M34" i="1" s="1"/>
  <c r="K25" i="1"/>
  <c r="M25" i="1" s="1"/>
  <c r="K24" i="1"/>
  <c r="L24" i="1" s="1"/>
  <c r="K23" i="1"/>
  <c r="M23" i="1" s="1"/>
  <c r="K22" i="1"/>
  <c r="M22" i="1" s="1"/>
  <c r="K21" i="1"/>
  <c r="M21" i="1" s="1"/>
  <c r="K20" i="1"/>
  <c r="M20" i="1" s="1"/>
  <c r="K19" i="1"/>
  <c r="M19" i="1" s="1"/>
  <c r="K18" i="1"/>
  <c r="M18" i="1" s="1"/>
  <c r="K17" i="1"/>
  <c r="M17" i="1" s="1"/>
  <c r="K15" i="1"/>
  <c r="M15" i="1" s="1"/>
  <c r="K14" i="1"/>
  <c r="M14" i="1" s="1"/>
  <c r="K8" i="1"/>
  <c r="M8" i="1" s="1"/>
  <c r="L19" i="1" l="1"/>
  <c r="M32" i="1"/>
  <c r="L39" i="1"/>
  <c r="L11" i="1"/>
  <c r="M24" i="1"/>
  <c r="M16" i="1"/>
  <c r="L31" i="1"/>
  <c r="L23" i="1"/>
  <c r="M12" i="1"/>
  <c r="L26" i="1"/>
  <c r="L13" i="1"/>
  <c r="L33" i="1"/>
  <c r="L20" i="1"/>
  <c r="L40" i="1"/>
  <c r="L27" i="1"/>
  <c r="L14" i="1"/>
  <c r="L34" i="1"/>
  <c r="L21" i="1"/>
  <c r="L41" i="1"/>
  <c r="L8" i="1"/>
  <c r="L28" i="1"/>
  <c r="L15" i="1"/>
  <c r="L35" i="1"/>
  <c r="L22" i="1"/>
  <c r="L42" i="1"/>
  <c r="L9" i="1"/>
  <c r="L29" i="1"/>
  <c r="L36" i="1"/>
  <c r="L43" i="1"/>
  <c r="L10" i="1"/>
  <c r="L30" i="1"/>
  <c r="L17" i="1"/>
  <c r="L37" i="1"/>
  <c r="L44" i="1"/>
  <c r="L18" i="1"/>
  <c r="L38" i="1"/>
  <c r="L25" i="1"/>
  <c r="L45" i="1"/>
</calcChain>
</file>

<file path=xl/sharedStrings.xml><?xml version="1.0" encoding="utf-8"?>
<sst xmlns="http://schemas.openxmlformats.org/spreadsheetml/2006/main" count="785" uniqueCount="228">
  <si>
    <t>Mata Kuliah</t>
  </si>
  <si>
    <t>: MIK1624404 - Analisis dan Strategi Algoritma</t>
  </si>
  <si>
    <t>Tahun Ajaran</t>
  </si>
  <si>
    <t>: 2025</t>
  </si>
  <si>
    <t>NDk5NDgx</t>
  </si>
  <si>
    <t>Semester</t>
  </si>
  <si>
    <t>: Genap</t>
  </si>
  <si>
    <t>Kelas</t>
  </si>
  <si>
    <t>: A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</si>
  <si>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</si>
  <si>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</si>
  <si>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</si>
  <si>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</si>
  <si>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</si>
  <si>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</si>
  <si>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</si>
  <si>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</si>
  <si>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</si>
  <si>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</si>
  <si>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</si>
  <si>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</si>
  <si>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</si>
  <si>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</si>
  <si>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Status Cocok</t>
  </si>
  <si>
    <t>Nama Moodle</t>
  </si>
  <si>
    <t>NIM Moodle</t>
  </si>
  <si>
    <t>Email Moodle</t>
  </si>
  <si>
    <t>Quis 1 Moodle</t>
  </si>
  <si>
    <t>Quis 2 Moodle</t>
  </si>
  <si>
    <t>Quis 3 Moodle</t>
  </si>
  <si>
    <t>Quis 4 Moodle</t>
  </si>
  <si>
    <t>Quis 5 Moodle</t>
  </si>
  <si>
    <t>Latihan UTS Moodle</t>
  </si>
  <si>
    <t>UTS Moodle</t>
  </si>
  <si>
    <t>24060124120009</t>
  </si>
  <si>
    <t>ARSY THARIQ MUNAWAR</t>
  </si>
  <si>
    <t>BARU</t>
  </si>
  <si>
    <t>Cocok</t>
  </si>
  <si>
    <t>Arsy Thariq Munawar</t>
  </si>
  <si>
    <t>arsytm@students.undip.ac.id</t>
  </si>
  <si>
    <t>24060124130089</t>
  </si>
  <si>
    <t>ARYA NAUFAL AKMAL</t>
  </si>
  <si>
    <t>Arya Naufal Akmal</t>
  </si>
  <si>
    <t>aryana@students.undip.ac.id</t>
  </si>
  <si>
    <t>24060124140127</t>
  </si>
  <si>
    <t>AXEL ANGGIAN HAMONANGAN PURBA</t>
  </si>
  <si>
    <t>Axel Anggian Hamonangan Purba</t>
  </si>
  <si>
    <t>axelprb@students.undip.ac.id</t>
  </si>
  <si>
    <t>24060124130108</t>
  </si>
  <si>
    <t>ELANG FADILA AHMAD</t>
  </si>
  <si>
    <t>Elang Fadila Ahmad</t>
  </si>
  <si>
    <t>elangfa@students.undip.ac.id</t>
  </si>
  <si>
    <t>24060124140180</t>
  </si>
  <si>
    <t>EILEEN ALBERT TANDRIO</t>
  </si>
  <si>
    <t>Eileen Albert Tandrio</t>
  </si>
  <si>
    <t>eileenalberttandrio@students.undip.ac.id</t>
  </si>
  <si>
    <t>24060124140207</t>
  </si>
  <si>
    <t>HADRIAN SHANDHY YUDHA</t>
  </si>
  <si>
    <t>Hadrian Shandhy Yudha</t>
  </si>
  <si>
    <t>shandhyyudha@students.undip.ac.id</t>
  </si>
  <si>
    <t>24060124120033</t>
  </si>
  <si>
    <t>SHALOM KURNIAWAN</t>
  </si>
  <si>
    <t>Shalom Kurniawan</t>
  </si>
  <si>
    <t>chloudius@students.undip.ac.id</t>
  </si>
  <si>
    <t>24060124120035</t>
  </si>
  <si>
    <t>YUMA HAZZA YUDITAMA</t>
  </si>
  <si>
    <t>Yuma Hazza Yuditama</t>
  </si>
  <si>
    <t>yumayuditama@students.undip.ac.id</t>
  </si>
  <si>
    <t>24060124120046</t>
  </si>
  <si>
    <t>ROMUALDUS YOAS WICAKSONO</t>
  </si>
  <si>
    <t>Romualdus Yoas Wicaksono</t>
  </si>
  <si>
    <t>romualdus1406@students.undip.ac.id</t>
  </si>
  <si>
    <t>24060124130066</t>
  </si>
  <si>
    <t>SILVANI SALSABILLA</t>
  </si>
  <si>
    <t>Silvani Salsabilla</t>
  </si>
  <si>
    <t>silvanisalsabilla@students.undip.ac.id</t>
  </si>
  <si>
    <t>24060124130114</t>
  </si>
  <si>
    <t>YUSTINUS HENDI SETYAWAN</t>
  </si>
  <si>
    <t>Yustinus Hendi Setyawan</t>
  </si>
  <si>
    <t>yustinushendi@students.undip.ac.id</t>
  </si>
  <si>
    <t>24060124130122</t>
  </si>
  <si>
    <t>RIDHO TRI SAPUTRA</t>
  </si>
  <si>
    <t>Ridho Tri Saputra</t>
  </si>
  <si>
    <t>rdhtri@students.undip.ac.id</t>
  </si>
  <si>
    <t>24060124140129</t>
  </si>
  <si>
    <t>REVANSKA MUHAMMAD ATHALLAH</t>
  </si>
  <si>
    <t>Revanska Muhammad Athallah</t>
  </si>
  <si>
    <t>revanska@students.undip.ac.id</t>
  </si>
  <si>
    <t>24060124140154</t>
  </si>
  <si>
    <t>SYAHRAFI AHMAD PRADIKA</t>
  </si>
  <si>
    <t>Syahrafi Ahmad Pradika</t>
  </si>
  <si>
    <t>syahrafi@students.undip.ac.id</t>
  </si>
  <si>
    <t>24060124120011</t>
  </si>
  <si>
    <t>KHANZA QAILA</t>
  </si>
  <si>
    <t>Khanza Qaila</t>
  </si>
  <si>
    <t>khanzaqaila@students.undip.ac.id</t>
  </si>
  <si>
    <t>24060124120031</t>
  </si>
  <si>
    <t>MISBACHUL MUNIR</t>
  </si>
  <si>
    <t>Misbachul Munir</t>
  </si>
  <si>
    <t>almunirmisbah@students.undip.ac.id</t>
  </si>
  <si>
    <t>24060124130074</t>
  </si>
  <si>
    <t>KIYOSHI AKILA TIRA</t>
  </si>
  <si>
    <t>Kiyoshi Akila Tira</t>
  </si>
  <si>
    <t>kiyoshiatira@students.undip.ac.id</t>
  </si>
  <si>
    <t>24060124140203</t>
  </si>
  <si>
    <t>MOHAMMAD NAJIB FITRIANTO</t>
  </si>
  <si>
    <t>Mohammad Najib Fitrianto</t>
  </si>
  <si>
    <t>najibfitrianto@students.undip.ac.id</t>
  </si>
  <si>
    <t>24060124130076</t>
  </si>
  <si>
    <t>JOHAN REINHART CALVIN</t>
  </si>
  <si>
    <t>Johan Reinhart Calvin</t>
  </si>
  <si>
    <t>johanrcalvin@students.undip.ac.id</t>
  </si>
  <si>
    <t>24060124130084</t>
  </si>
  <si>
    <t>JESSICA LAURENCIA PANJAITAN</t>
  </si>
  <si>
    <t>Jessica Laurencia Panjaitan</t>
  </si>
  <si>
    <t>jessicalaurencia@students.undip.ac.id</t>
  </si>
  <si>
    <t>24060124140198</t>
  </si>
  <si>
    <t>ILHAM MUHAMMAD RAFFI</t>
  </si>
  <si>
    <t>Ilham Muhammad Raffi</t>
  </si>
  <si>
    <t>ilhamraffi@students.undip.ac.id</t>
  </si>
  <si>
    <t>24060124120037</t>
  </si>
  <si>
    <t>MUHAMMAD FAHRI</t>
  </si>
  <si>
    <t>Muhammad Fahri</t>
  </si>
  <si>
    <t>fahrimuh21@students.undip.ac.id</t>
  </si>
  <si>
    <t>24060124130069</t>
  </si>
  <si>
    <t>MUHAMMAD FIKRI</t>
  </si>
  <si>
    <t>Muhammad Fikri</t>
  </si>
  <si>
    <t>muhffikri@students.undip.ac.id</t>
  </si>
  <si>
    <t>24060124130123</t>
  </si>
  <si>
    <t>MUHAMMAD AKMAL FAZLI RIYADI</t>
  </si>
  <si>
    <t>Muhammad Akmal Fazli Riyadi</t>
  </si>
  <si>
    <t>akmalfazli27@students.undip.ac.id</t>
  </si>
  <si>
    <t>24060124140148</t>
  </si>
  <si>
    <t>MUHAMMAD ALFAIQ RIDO SALAFY</t>
  </si>
  <si>
    <t>Muhammad Alfaiq Rido Salafy</t>
  </si>
  <si>
    <t>alfaiqrido@students.undip.ac.id</t>
  </si>
  <si>
    <t>24060124120007</t>
  </si>
  <si>
    <t>Agung Rama Pramana Putra</t>
  </si>
  <si>
    <t>ramaputra@students.undip.ac.id</t>
  </si>
  <si>
    <t>24060124140147</t>
  </si>
  <si>
    <t>AMMAR ROZAN RUSYAIDAN</t>
  </si>
  <si>
    <t>Ammar Rozan Rusyaidan</t>
  </si>
  <si>
    <t>ammarrozan05@students.undip.ac.id</t>
  </si>
  <si>
    <t>24060124140181</t>
  </si>
  <si>
    <t>ANAS AHSANU AMAL</t>
  </si>
  <si>
    <t>Anas Ahsanu Amal</t>
  </si>
  <si>
    <t>anasahsn@students.undip.ac.id</t>
  </si>
  <si>
    <t>24060124140194</t>
  </si>
  <si>
    <t>ANDINY KHAERANY SUHARTADY</t>
  </si>
  <si>
    <t>Andiny Khaerany Suhartady</t>
  </si>
  <si>
    <t>andinykhaeranys@students.undip.ac.id</t>
  </si>
  <si>
    <t>24060124120018</t>
  </si>
  <si>
    <t>PUTRI ELIZABETH SIMANJUNTAK</t>
  </si>
  <si>
    <t>Putri Elizabeth Simanjuntak</t>
  </si>
  <si>
    <t>putrielizabethjuntak@students.undip.ac.id</t>
  </si>
  <si>
    <t>24060124120029</t>
  </si>
  <si>
    <t>NOUVELLA RAHMA FITRAH LEGARSI</t>
  </si>
  <si>
    <t>Nouvella Rahma Fitrah Legarsi</t>
  </si>
  <si>
    <t>nouvellafitrah@students.undip.ac.id</t>
  </si>
  <si>
    <t>24060124120040</t>
  </si>
  <si>
    <t>OVILIA SUCI RAMADHANI</t>
  </si>
  <si>
    <t>Ovilia Suci Ramadhani</t>
  </si>
  <si>
    <t>oviliasuciramadhani@students.undip.ac.id</t>
  </si>
  <si>
    <t>24060124140158</t>
  </si>
  <si>
    <t>NAYLA HUSNA</t>
  </si>
  <si>
    <t>Nayla Husna</t>
  </si>
  <si>
    <t>naylahusna@students.undip.ac.id</t>
  </si>
  <si>
    <t>24060124120048</t>
  </si>
  <si>
    <t>DANIEL LAMGANDA TUA GULTOM</t>
  </si>
  <si>
    <t>Daniel Lamganda Tua Gultom</t>
  </si>
  <si>
    <t>danielltgm2006@students.undip.ac.id</t>
  </si>
  <si>
    <t>24060124130070</t>
  </si>
  <si>
    <t>BIYANI ANDARISKY MARATIA</t>
  </si>
  <si>
    <t>Biyani Andarisky Maratia</t>
  </si>
  <si>
    <t>biyaniandarisky@students.undip.ac.id</t>
  </si>
  <si>
    <t>24060124130099</t>
  </si>
  <si>
    <t>DEHAR ZAIDAN DZAKI AMIRULLAH</t>
  </si>
  <si>
    <t>Dehar Zaidan Dzaki Amirullah</t>
  </si>
  <si>
    <t>deharzaidan@students.undip.ac.id</t>
  </si>
  <si>
    <t>24060124130103</t>
  </si>
  <si>
    <t>DZAKI FATHUL'ALIM CAHYO</t>
  </si>
  <si>
    <t>Dzaki Fathul'alim Cahyo</t>
  </si>
  <si>
    <t>dzakifathulalimcahyo@students.undip.ac.id</t>
  </si>
  <si>
    <t>24060124140201</t>
  </si>
  <si>
    <t>CINDY KURNIAWAN</t>
  </si>
  <si>
    <t>Cindy Kurniawan</t>
  </si>
  <si>
    <t>cindykurniawan@students.undip.ac.id</t>
  </si>
  <si>
    <t>4</t>
  </si>
  <si>
    <t>0</t>
  </si>
  <si>
    <t>E</t>
  </si>
  <si>
    <t>Metric</t>
  </si>
  <si>
    <t>Jumlah</t>
  </si>
  <si>
    <t>Baris template</t>
  </si>
  <si>
    <t>Tidak ditemukan di Moodle</t>
  </si>
  <si>
    <t>Data Moodle tidak ada di template</t>
  </si>
  <si>
    <t>Template Tidak Ditemukan di Moodle</t>
  </si>
  <si>
    <t>Semua nama template cocok</t>
  </si>
  <si>
    <t>Moodle Tidak Ada di Template</t>
  </si>
  <si>
    <t>24060122140125</t>
  </si>
  <si>
    <t>Ananda Putra Bayu</t>
  </si>
  <si>
    <t>anandaputrabayu@students.undip.ac.id</t>
  </si>
  <si>
    <t>24060123110046</t>
  </si>
  <si>
    <t>Adriano Bawan</t>
  </si>
  <si>
    <t>adrianobawan@students.undip.ac.id</t>
  </si>
  <si>
    <t>24060123120012</t>
  </si>
  <si>
    <t>Syafiq Abiyyu Taqi</t>
  </si>
  <si>
    <t>syafiqabiyyutaqi@students.undip.ac.id</t>
  </si>
  <si>
    <t>24060123120033</t>
  </si>
  <si>
    <t>Cacania Pasu Nalaung Siregar</t>
  </si>
  <si>
    <t>cacaniapns@students.undip.ac.id</t>
  </si>
  <si>
    <t>24060123130090</t>
  </si>
  <si>
    <t>Nathan Benigno Panda</t>
  </si>
  <si>
    <t>nathanbenignopanda@students.undip.ac.id</t>
  </si>
  <si>
    <t>24060123130107</t>
  </si>
  <si>
    <t>Muhammad Renno Baihaqi</t>
  </si>
  <si>
    <t>mrennobai01@students.undip.ac.id</t>
  </si>
  <si>
    <t>24060123140142</t>
  </si>
  <si>
    <t>Parisya Lituhayu Chandrawati Gunawarman</t>
  </si>
  <si>
    <t>parisyalituhayuchand@students.undip.ac.id</t>
  </si>
  <si>
    <t>24060123140163</t>
  </si>
  <si>
    <t>Nasywa Alya Kamila</t>
  </si>
  <si>
    <t>nasywaalyakamila@students.undip.ac.id</t>
  </si>
  <si>
    <t>24060123140183</t>
  </si>
  <si>
    <t>Gaza Al Ghozali Chansa</t>
  </si>
  <si>
    <t>gazaalghozalichansa@students.undip.ac.id</t>
  </si>
  <si>
    <t>24060123140186</t>
  </si>
  <si>
    <t>Muhammad Farhan Al Ghifari</t>
  </si>
  <si>
    <t>farhanghfri@students.undip.ac.id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</si>
</sst>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0AD4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2" borderId="0" xfId="0" applyFont="1" applyFill="1" applyAlignment="1">
      <alignment horizontal="center" vertical="center" wrapText="1"/>
    </xf>
    <xf numFmtId="0" fontId="0" fillId="4" borderId="0" xfId="0" applyFill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0" xfId="0" applyFont="1" applyFill="1"/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"/>
  <sheetViews>
    <sheetView tabSelected="1" topLeftCell="E1" workbookViewId="0">
      <selection activeCell="G36" sqref="G36"/>
    </sheetView>
  </sheetViews>
  <sheetFormatPr defaultRowHeight="15" x14ac:dyDescent="0.25"/>
  <cols>
    <col min="1" max="1" width="17.5703125" bestFit="1" customWidth="1"/>
    <col min="2" max="2" width="55.28515625" bestFit="1" customWidth="1"/>
    <col min="3" max="3" width="10.5703125" bestFit="1" customWidth="1"/>
    <col min="4" max="4" width="8.140625" bestFit="1" customWidth="1"/>
    <col min="5" max="5" width="57.7109375" bestFit="1" customWidth="1"/>
    <col min="6" max="6" width="45.85546875" bestFit="1" customWidth="1"/>
    <col min="7" max="7" width="36.42578125" bestFit="1" customWidth="1"/>
    <col min="8" max="9" width="35.28515625" bestFit="1" customWidth="1"/>
    <col min="10" max="10" width="31.7109375" bestFit="1" customWidth="1"/>
    <col min="11" max="11" width="37.7109375" bestFit="1" customWidth="1"/>
    <col min="12" max="12" width="35.28515625" bestFit="1" customWidth="1"/>
    <col min="13" max="13" width="21.140625" bestFit="1" customWidth="1"/>
    <col min="14" max="26" width="18" customWidth="1"/>
  </cols>
  <sheetData>
    <row r="1" spans="1:26" x14ac:dyDescent="0.25">
      <c r="A1" t="s">
        <v>0</v>
      </c>
      <c r="B1" t="s">
        <v>1</v>
      </c>
    </row>
    <row r="2" spans="1:26" x14ac:dyDescent="0.25">
      <c r="A2" t="s">
        <v>2</v>
      </c>
      <c r="B2" t="s">
        <v>3</v>
      </c>
      <c r="I2" s="1" t="s">
        <v>4</v>
      </c>
    </row>
    <row r="3" spans="1:26" x14ac:dyDescent="0.25">
      <c r="A3" t="s">
        <v>5</v>
      </c>
      <c r="B3" t="s">
        <v>6</v>
      </c>
    </row>
    <row r="4" spans="1:26" x14ac:dyDescent="0.25">
      <c r="A4" t="s">
        <v>7</v>
      </c>
      <c r="B4" t="s">
        <v>8</v>
      </c>
    </row>
    <row r="5" spans="1:26" x14ac:dyDescent="0.25">
      <c r="A5" t="s">
        <v>9</v>
      </c>
      <c r="B5" t="s">
        <v>10</v>
      </c>
    </row>
    <row r="7" spans="1:26" ht="30" x14ac:dyDescent="0.25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  <c r="N7" s="4" t="s">
        <v>23</v>
      </c>
      <c r="O7" s="4" t="s">
        <v>24</v>
      </c>
      <c r="P7" s="4" t="s">
        <v>25</v>
      </c>
      <c r="Q7" s="4" t="s">
        <v>26</v>
      </c>
      <c r="R7" s="4" t="s">
        <v>27</v>
      </c>
      <c r="S7" s="4" t="s">
        <v>28</v>
      </c>
      <c r="T7" s="4" t="s">
        <v>29</v>
      </c>
      <c r="U7" s="4" t="s">
        <v>30</v>
      </c>
      <c r="V7" s="4"/>
      <c r="W7" s="4" t="s">
        <v>31</v>
      </c>
      <c r="X7" s="4"/>
      <c r="Y7" s="4" t="s">
        <v>32</v>
      </c>
      <c r="Z7" s="4" t="s">
        <v>33</v>
      </c>
    </row>
    <row r="8" spans="1:26" x14ac:dyDescent="0.25">
      <c r="A8" t="s">
        <v>34</v>
      </c>
      <c r="B8" t="s">
        <v>35</v>
      </c>
      <c r="C8">
        <v>4</v>
      </c>
      <c r="D8" t="s">
        <v>36</v>
      </c>
      <c r="E8" s="9">
        <v>95</v>
      </c>
      <c r="F8" s="3"/>
      <c r="G8" s="3">
        <f>(E8*0.8)+(H8*0.2)</f>
        <v>92.163499999999999</v>
      </c>
      <c r="H8" s="3">
        <v>80.817499999999995</v>
      </c>
      <c r="I8" s="3"/>
      <c r="J8" s="3"/>
      <c r="K8" s="2">
        <f t="shared" ref="K8:K45" si="0">ROUND( ((E8*10+F8*40+G8*5+H8*5+I8*20+J8*20) / 100), 2)</f>
        <v>18.149999999999999</v>
      </c>
      <c r="L8" s="2" t="str">
        <f t="shared" ref="L8:L45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5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  <c r="N8" s="5" t="s">
        <v>37</v>
      </c>
      <c r="O8" t="s">
        <v>38</v>
      </c>
      <c r="P8" t="s">
        <v>34</v>
      </c>
      <c r="Q8" t="s">
        <v>39</v>
      </c>
      <c r="R8">
        <v>71.430000000000007</v>
      </c>
      <c r="S8">
        <v>87.5</v>
      </c>
      <c r="T8">
        <v>93.75</v>
      </c>
      <c r="U8">
        <v>70.59</v>
      </c>
      <c r="W8">
        <v>9.64</v>
      </c>
      <c r="Y8">
        <v>5.45</v>
      </c>
      <c r="Z8">
        <v>95</v>
      </c>
    </row>
    <row r="9" spans="1:26" x14ac:dyDescent="0.25">
      <c r="A9" t="s">
        <v>40</v>
      </c>
      <c r="B9" t="s">
        <v>41</v>
      </c>
      <c r="C9">
        <v>4</v>
      </c>
      <c r="D9" t="s">
        <v>36</v>
      </c>
      <c r="E9" s="9">
        <v>80.33</v>
      </c>
      <c r="F9" s="3"/>
      <c r="G9" s="3">
        <f t="shared" ref="G9:G45" si="3">(E9*0.8)+(H9*0.2)</f>
        <v>76.986999999999995</v>
      </c>
      <c r="H9" s="3">
        <v>63.614999999999995</v>
      </c>
      <c r="I9" s="3"/>
      <c r="J9" s="3"/>
      <c r="K9" s="2">
        <f t="shared" si="0"/>
        <v>15.06</v>
      </c>
      <c r="L9" s="2" t="str">
        <f t="shared" si="1"/>
        <v>E</v>
      </c>
      <c r="M9" t="str">
        <f t="shared" si="2"/>
        <v>0</v>
      </c>
      <c r="N9" s="5" t="s">
        <v>37</v>
      </c>
      <c r="O9" t="s">
        <v>42</v>
      </c>
      <c r="P9" t="s">
        <v>40</v>
      </c>
      <c r="Q9" t="s">
        <v>43</v>
      </c>
      <c r="R9">
        <v>85.71</v>
      </c>
      <c r="S9">
        <v>81.25</v>
      </c>
      <c r="T9">
        <v>87.5</v>
      </c>
      <c r="Y9">
        <v>1.18</v>
      </c>
      <c r="Z9">
        <v>80.33</v>
      </c>
    </row>
    <row r="10" spans="1:26" x14ac:dyDescent="0.25">
      <c r="A10" t="s">
        <v>44</v>
      </c>
      <c r="B10" t="s">
        <v>45</v>
      </c>
      <c r="C10">
        <v>4</v>
      </c>
      <c r="D10" t="s">
        <v>36</v>
      </c>
      <c r="E10" s="9">
        <v>93</v>
      </c>
      <c r="F10" s="3"/>
      <c r="G10" s="3">
        <f t="shared" si="3"/>
        <v>83.3155</v>
      </c>
      <c r="H10" s="3">
        <v>44.577500000000001</v>
      </c>
      <c r="I10" s="3"/>
      <c r="J10" s="3"/>
      <c r="K10" s="2">
        <f t="shared" si="0"/>
        <v>15.69</v>
      </c>
      <c r="L10" s="2" t="str">
        <f t="shared" si="1"/>
        <v>E</v>
      </c>
      <c r="M10" t="str">
        <f t="shared" si="2"/>
        <v>0</v>
      </c>
      <c r="N10" s="5" t="s">
        <v>37</v>
      </c>
      <c r="O10" t="s">
        <v>46</v>
      </c>
      <c r="P10" t="s">
        <v>44</v>
      </c>
      <c r="Q10" t="s">
        <v>47</v>
      </c>
      <c r="S10">
        <v>81.25</v>
      </c>
      <c r="U10">
        <v>97.06</v>
      </c>
      <c r="W10">
        <v>9.64</v>
      </c>
      <c r="Y10">
        <v>2</v>
      </c>
      <c r="Z10">
        <v>93</v>
      </c>
    </row>
    <row r="11" spans="1:26" x14ac:dyDescent="0.25">
      <c r="A11" t="s">
        <v>48</v>
      </c>
      <c r="B11" t="s">
        <v>49</v>
      </c>
      <c r="C11">
        <v>4</v>
      </c>
      <c r="D11" t="s">
        <v>36</v>
      </c>
      <c r="E11" s="9">
        <v>91</v>
      </c>
      <c r="F11" s="3"/>
      <c r="G11" s="3">
        <f t="shared" si="3"/>
        <v>87.516500000000008</v>
      </c>
      <c r="H11" s="3">
        <v>73.58250000000001</v>
      </c>
      <c r="I11" s="3"/>
      <c r="J11" s="3"/>
      <c r="K11" s="2">
        <f t="shared" si="0"/>
        <v>17.149999999999999</v>
      </c>
      <c r="L11" s="2" t="str">
        <f t="shared" si="1"/>
        <v>E</v>
      </c>
      <c r="M11" t="str">
        <f t="shared" si="2"/>
        <v>0</v>
      </c>
      <c r="N11" s="5" t="s">
        <v>37</v>
      </c>
      <c r="O11" t="s">
        <v>50</v>
      </c>
      <c r="P11" t="s">
        <v>48</v>
      </c>
      <c r="Q11" t="s">
        <v>51</v>
      </c>
      <c r="R11">
        <v>42.86</v>
      </c>
      <c r="S11">
        <v>81.25</v>
      </c>
      <c r="T11">
        <v>93.75</v>
      </c>
      <c r="U11">
        <v>76.47</v>
      </c>
      <c r="W11">
        <v>8.2100000000000009</v>
      </c>
      <c r="Z11">
        <v>91</v>
      </c>
    </row>
    <row r="12" spans="1:26" x14ac:dyDescent="0.25">
      <c r="A12" t="s">
        <v>52</v>
      </c>
      <c r="B12" t="s">
        <v>53</v>
      </c>
      <c r="C12">
        <v>4</v>
      </c>
      <c r="D12" t="s">
        <v>36</v>
      </c>
      <c r="E12" s="9">
        <v>99</v>
      </c>
      <c r="F12" s="3"/>
      <c r="G12" s="3">
        <f t="shared" si="3"/>
        <v>95.087500000000006</v>
      </c>
      <c r="H12" s="3">
        <v>79.4375</v>
      </c>
      <c r="I12" s="3"/>
      <c r="J12" s="3"/>
      <c r="K12" s="2">
        <f t="shared" si="0"/>
        <v>18.63</v>
      </c>
      <c r="L12" s="2" t="str">
        <f t="shared" si="1"/>
        <v>E</v>
      </c>
      <c r="M12" t="str">
        <f t="shared" si="2"/>
        <v>0</v>
      </c>
      <c r="N12" s="5" t="s">
        <v>37</v>
      </c>
      <c r="O12" t="s">
        <v>54</v>
      </c>
      <c r="P12" t="s">
        <v>52</v>
      </c>
      <c r="Q12" t="s">
        <v>55</v>
      </c>
      <c r="R12">
        <v>71.430000000000007</v>
      </c>
      <c r="S12">
        <v>87.5</v>
      </c>
      <c r="T12">
        <v>100</v>
      </c>
      <c r="U12">
        <v>58.82</v>
      </c>
      <c r="W12">
        <v>10</v>
      </c>
      <c r="Y12">
        <v>9.18</v>
      </c>
      <c r="Z12">
        <v>99</v>
      </c>
    </row>
    <row r="13" spans="1:26" x14ac:dyDescent="0.25">
      <c r="A13" t="s">
        <v>56</v>
      </c>
      <c r="B13" t="s">
        <v>57</v>
      </c>
      <c r="C13">
        <v>4</v>
      </c>
      <c r="D13" t="s">
        <v>36</v>
      </c>
      <c r="E13" s="9">
        <v>96</v>
      </c>
      <c r="F13" s="3"/>
      <c r="G13" s="3">
        <f t="shared" si="3"/>
        <v>93.846000000000018</v>
      </c>
      <c r="H13" s="3">
        <v>85.23</v>
      </c>
      <c r="I13" s="3"/>
      <c r="J13" s="3"/>
      <c r="K13" s="2">
        <f t="shared" si="0"/>
        <v>18.55</v>
      </c>
      <c r="L13" s="2" t="str">
        <f t="shared" si="1"/>
        <v>E</v>
      </c>
      <c r="M13" t="str">
        <f t="shared" si="2"/>
        <v>0</v>
      </c>
      <c r="N13" s="5" t="s">
        <v>37</v>
      </c>
      <c r="O13" t="s">
        <v>58</v>
      </c>
      <c r="P13" t="s">
        <v>56</v>
      </c>
      <c r="Q13" t="s">
        <v>59</v>
      </c>
      <c r="R13">
        <v>71.430000000000007</v>
      </c>
      <c r="S13">
        <v>81.25</v>
      </c>
      <c r="T13">
        <v>100</v>
      </c>
      <c r="U13">
        <v>88.24</v>
      </c>
      <c r="W13">
        <v>8.93</v>
      </c>
      <c r="Y13">
        <v>9.14</v>
      </c>
      <c r="Z13">
        <v>96</v>
      </c>
    </row>
    <row r="14" spans="1:26" x14ac:dyDescent="0.25">
      <c r="A14" t="s">
        <v>60</v>
      </c>
      <c r="B14" t="s">
        <v>61</v>
      </c>
      <c r="C14">
        <v>4</v>
      </c>
      <c r="D14" t="s">
        <v>36</v>
      </c>
      <c r="E14" s="9">
        <v>95</v>
      </c>
      <c r="F14" s="3"/>
      <c r="G14" s="3">
        <f t="shared" si="3"/>
        <v>89.991500000000002</v>
      </c>
      <c r="H14" s="3">
        <v>69.957499999999996</v>
      </c>
      <c r="I14" s="3"/>
      <c r="J14" s="3"/>
      <c r="K14" s="2">
        <f t="shared" si="0"/>
        <v>17.5</v>
      </c>
      <c r="L14" s="2" t="str">
        <f t="shared" si="1"/>
        <v>E</v>
      </c>
      <c r="M14" t="str">
        <f t="shared" si="2"/>
        <v>0</v>
      </c>
      <c r="N14" s="5" t="s">
        <v>37</v>
      </c>
      <c r="O14" t="s">
        <v>62</v>
      </c>
      <c r="P14" t="s">
        <v>60</v>
      </c>
      <c r="Q14" t="s">
        <v>63</v>
      </c>
      <c r="R14">
        <v>85.71</v>
      </c>
      <c r="S14">
        <v>62.5</v>
      </c>
      <c r="T14">
        <v>87.5</v>
      </c>
      <c r="U14">
        <v>44.12</v>
      </c>
      <c r="W14">
        <v>10</v>
      </c>
      <c r="Y14">
        <v>4</v>
      </c>
      <c r="Z14">
        <v>95</v>
      </c>
    </row>
    <row r="15" spans="1:26" x14ac:dyDescent="0.25">
      <c r="A15" t="s">
        <v>64</v>
      </c>
      <c r="B15" t="s">
        <v>65</v>
      </c>
      <c r="C15">
        <v>4</v>
      </c>
      <c r="D15" t="s">
        <v>36</v>
      </c>
      <c r="E15" s="9">
        <v>88.33</v>
      </c>
      <c r="F15" s="3"/>
      <c r="G15" s="3">
        <f t="shared" si="3"/>
        <v>87.522999999999996</v>
      </c>
      <c r="H15" s="3">
        <v>84.294999999999987</v>
      </c>
      <c r="I15" s="3"/>
      <c r="J15" s="3"/>
      <c r="K15" s="2">
        <f t="shared" si="0"/>
        <v>17.420000000000002</v>
      </c>
      <c r="L15" s="2" t="str">
        <f t="shared" si="1"/>
        <v>E</v>
      </c>
      <c r="M15" t="str">
        <f t="shared" si="2"/>
        <v>0</v>
      </c>
      <c r="N15" s="5" t="s">
        <v>37</v>
      </c>
      <c r="O15" t="s">
        <v>66</v>
      </c>
      <c r="P15" t="s">
        <v>64</v>
      </c>
      <c r="Q15" t="s">
        <v>67</v>
      </c>
      <c r="R15">
        <v>85.71</v>
      </c>
      <c r="S15">
        <v>75</v>
      </c>
      <c r="T15">
        <v>100</v>
      </c>
      <c r="U15">
        <v>76.47</v>
      </c>
      <c r="W15">
        <v>8.57</v>
      </c>
      <c r="Z15">
        <v>88.33</v>
      </c>
    </row>
    <row r="16" spans="1:26" x14ac:dyDescent="0.25">
      <c r="A16" t="s">
        <v>68</v>
      </c>
      <c r="B16" t="s">
        <v>69</v>
      </c>
      <c r="C16">
        <v>4</v>
      </c>
      <c r="D16" t="s">
        <v>36</v>
      </c>
      <c r="E16" s="9">
        <v>92</v>
      </c>
      <c r="F16" s="3"/>
      <c r="G16" s="3">
        <f t="shared" si="3"/>
        <v>87.337000000000018</v>
      </c>
      <c r="H16" s="3">
        <v>68.685000000000002</v>
      </c>
      <c r="I16" s="3"/>
      <c r="J16" s="3"/>
      <c r="K16" s="2">
        <f t="shared" si="0"/>
        <v>17</v>
      </c>
      <c r="L16" s="2" t="str">
        <f t="shared" si="1"/>
        <v>E</v>
      </c>
      <c r="M16" t="str">
        <f t="shared" si="2"/>
        <v>0</v>
      </c>
      <c r="N16" s="5" t="s">
        <v>37</v>
      </c>
      <c r="O16" t="s">
        <v>70</v>
      </c>
      <c r="P16" t="s">
        <v>68</v>
      </c>
      <c r="Q16" t="s">
        <v>71</v>
      </c>
      <c r="R16">
        <v>71.430000000000007</v>
      </c>
      <c r="S16">
        <v>75</v>
      </c>
      <c r="T16">
        <v>81.25</v>
      </c>
      <c r="U16">
        <v>47.06</v>
      </c>
      <c r="W16">
        <v>8.2100000000000009</v>
      </c>
      <c r="Y16">
        <v>8.0500000000000007</v>
      </c>
      <c r="Z16">
        <v>92</v>
      </c>
    </row>
    <row r="17" spans="1:26" x14ac:dyDescent="0.25">
      <c r="A17" t="s">
        <v>72</v>
      </c>
      <c r="B17" t="s">
        <v>73</v>
      </c>
      <c r="C17">
        <v>4</v>
      </c>
      <c r="D17" t="s">
        <v>36</v>
      </c>
      <c r="E17" s="9">
        <v>99</v>
      </c>
      <c r="F17" s="3"/>
      <c r="G17" s="3">
        <f t="shared" si="3"/>
        <v>96.371499999999997</v>
      </c>
      <c r="H17" s="3">
        <v>85.857499999999987</v>
      </c>
      <c r="I17" s="3"/>
      <c r="J17" s="3"/>
      <c r="K17" s="2">
        <f t="shared" si="0"/>
        <v>19.010000000000002</v>
      </c>
      <c r="L17" s="2" t="str">
        <f t="shared" si="1"/>
        <v>E</v>
      </c>
      <c r="M17" t="str">
        <f t="shared" si="2"/>
        <v>0</v>
      </c>
      <c r="N17" s="5" t="s">
        <v>37</v>
      </c>
      <c r="O17" t="s">
        <v>74</v>
      </c>
      <c r="P17" t="s">
        <v>72</v>
      </c>
      <c r="Q17" t="s">
        <v>75</v>
      </c>
      <c r="R17">
        <v>85.71</v>
      </c>
      <c r="S17">
        <v>81.25</v>
      </c>
      <c r="T17">
        <v>100</v>
      </c>
      <c r="U17">
        <v>76.47</v>
      </c>
      <c r="W17">
        <v>9.2899999999999991</v>
      </c>
      <c r="Y17">
        <v>9.73</v>
      </c>
      <c r="Z17">
        <v>99</v>
      </c>
    </row>
    <row r="18" spans="1:26" x14ac:dyDescent="0.25">
      <c r="A18" t="s">
        <v>76</v>
      </c>
      <c r="B18" t="s">
        <v>77</v>
      </c>
      <c r="C18">
        <v>4</v>
      </c>
      <c r="D18" t="s">
        <v>36</v>
      </c>
      <c r="E18" s="9">
        <v>97</v>
      </c>
      <c r="F18" s="3"/>
      <c r="G18" s="3">
        <f t="shared" si="3"/>
        <v>94.643000000000015</v>
      </c>
      <c r="H18" s="3">
        <v>85.215000000000003</v>
      </c>
      <c r="I18" s="3"/>
      <c r="J18" s="3"/>
      <c r="K18" s="2">
        <f t="shared" si="0"/>
        <v>18.690000000000001</v>
      </c>
      <c r="L18" s="2" t="str">
        <f t="shared" si="1"/>
        <v>E</v>
      </c>
      <c r="M18" t="str">
        <f t="shared" si="2"/>
        <v>0</v>
      </c>
      <c r="N18" s="5" t="s">
        <v>37</v>
      </c>
      <c r="O18" t="s">
        <v>78</v>
      </c>
      <c r="P18" t="s">
        <v>76</v>
      </c>
      <c r="Q18" t="s">
        <v>79</v>
      </c>
      <c r="R18">
        <v>85.71</v>
      </c>
      <c r="S18">
        <v>87.5</v>
      </c>
      <c r="T18">
        <v>100</v>
      </c>
      <c r="U18">
        <v>67.650000000000006</v>
      </c>
      <c r="W18">
        <v>9.2899999999999991</v>
      </c>
      <c r="Y18">
        <v>7.18</v>
      </c>
      <c r="Z18">
        <v>97</v>
      </c>
    </row>
    <row r="19" spans="1:26" x14ac:dyDescent="0.25">
      <c r="A19" t="s">
        <v>80</v>
      </c>
      <c r="B19" t="s">
        <v>81</v>
      </c>
      <c r="C19">
        <v>4</v>
      </c>
      <c r="D19" t="s">
        <v>36</v>
      </c>
      <c r="E19" s="9">
        <v>97</v>
      </c>
      <c r="F19" s="3"/>
      <c r="G19" s="3">
        <f t="shared" si="3"/>
        <v>92.920000000000016</v>
      </c>
      <c r="H19" s="3">
        <v>76.599999999999994</v>
      </c>
      <c r="I19" s="3"/>
      <c r="J19" s="3"/>
      <c r="K19" s="2">
        <f t="shared" si="0"/>
        <v>18.18</v>
      </c>
      <c r="L19" s="2" t="str">
        <f t="shared" si="1"/>
        <v>E</v>
      </c>
      <c r="M19" t="str">
        <f t="shared" si="2"/>
        <v>0</v>
      </c>
      <c r="N19" s="5" t="s">
        <v>37</v>
      </c>
      <c r="O19" t="s">
        <v>82</v>
      </c>
      <c r="P19" t="s">
        <v>80</v>
      </c>
      <c r="Q19" t="s">
        <v>83</v>
      </c>
      <c r="R19">
        <v>57.14</v>
      </c>
      <c r="S19">
        <v>87.5</v>
      </c>
      <c r="T19">
        <v>100</v>
      </c>
      <c r="U19">
        <v>61.76</v>
      </c>
      <c r="W19">
        <v>9.2899999999999991</v>
      </c>
      <c r="Z19">
        <v>97</v>
      </c>
    </row>
    <row r="20" spans="1:26" x14ac:dyDescent="0.25">
      <c r="A20" t="s">
        <v>84</v>
      </c>
      <c r="B20" t="s">
        <v>85</v>
      </c>
      <c r="C20">
        <v>4</v>
      </c>
      <c r="D20" t="s">
        <v>36</v>
      </c>
      <c r="E20" s="9">
        <v>96</v>
      </c>
      <c r="F20" s="3"/>
      <c r="G20" s="3">
        <f t="shared" si="3"/>
        <v>91.033500000000018</v>
      </c>
      <c r="H20" s="3">
        <v>71.167500000000004</v>
      </c>
      <c r="I20" s="3"/>
      <c r="J20" s="3"/>
      <c r="K20" s="2">
        <f t="shared" si="0"/>
        <v>17.71</v>
      </c>
      <c r="L20" s="2" t="str">
        <f t="shared" si="1"/>
        <v>E</v>
      </c>
      <c r="M20" t="str">
        <f t="shared" si="2"/>
        <v>0</v>
      </c>
      <c r="N20" s="5" t="s">
        <v>37</v>
      </c>
      <c r="O20" t="s">
        <v>86</v>
      </c>
      <c r="P20" t="s">
        <v>84</v>
      </c>
      <c r="Q20" t="s">
        <v>87</v>
      </c>
      <c r="R20">
        <v>71.430000000000007</v>
      </c>
      <c r="S20">
        <v>81.25</v>
      </c>
      <c r="T20">
        <v>93.75</v>
      </c>
      <c r="U20">
        <v>38.24</v>
      </c>
      <c r="W20">
        <v>7.86</v>
      </c>
      <c r="Y20">
        <v>6.84</v>
      </c>
      <c r="Z20">
        <v>96</v>
      </c>
    </row>
    <row r="21" spans="1:26" x14ac:dyDescent="0.25">
      <c r="A21" t="s">
        <v>88</v>
      </c>
      <c r="B21" t="s">
        <v>89</v>
      </c>
      <c r="C21">
        <v>4</v>
      </c>
      <c r="D21" t="s">
        <v>36</v>
      </c>
      <c r="E21" s="9">
        <v>94.33</v>
      </c>
      <c r="F21" s="3"/>
      <c r="G21" s="3">
        <f t="shared" si="3"/>
        <v>89.864999999999995</v>
      </c>
      <c r="H21" s="3">
        <v>72.004999999999995</v>
      </c>
      <c r="I21" s="3"/>
      <c r="J21" s="3"/>
      <c r="K21" s="2">
        <f t="shared" si="0"/>
        <v>17.53</v>
      </c>
      <c r="L21" s="2" t="str">
        <f t="shared" si="1"/>
        <v>E</v>
      </c>
      <c r="M21" t="str">
        <f t="shared" si="2"/>
        <v>0</v>
      </c>
      <c r="N21" s="5" t="s">
        <v>37</v>
      </c>
      <c r="O21" t="s">
        <v>90</v>
      </c>
      <c r="P21" t="s">
        <v>88</v>
      </c>
      <c r="Q21" t="s">
        <v>91</v>
      </c>
      <c r="R21">
        <v>57.14</v>
      </c>
      <c r="S21">
        <v>81.25</v>
      </c>
      <c r="T21">
        <v>93.75</v>
      </c>
      <c r="U21">
        <v>55.88</v>
      </c>
      <c r="W21">
        <v>8.2100000000000009</v>
      </c>
      <c r="Y21">
        <v>9.64</v>
      </c>
      <c r="Z21">
        <v>94.33</v>
      </c>
    </row>
    <row r="22" spans="1:26" x14ac:dyDescent="0.25">
      <c r="A22" t="s">
        <v>92</v>
      </c>
      <c r="B22" t="s">
        <v>93</v>
      </c>
      <c r="C22">
        <v>4</v>
      </c>
      <c r="D22" t="s">
        <v>36</v>
      </c>
      <c r="E22" s="9">
        <v>93.33</v>
      </c>
      <c r="F22" s="3"/>
      <c r="G22" s="3">
        <f t="shared" si="3"/>
        <v>89.926500000000004</v>
      </c>
      <c r="H22" s="3">
        <v>76.3125</v>
      </c>
      <c r="I22" s="3"/>
      <c r="J22" s="3"/>
      <c r="K22" s="2">
        <f t="shared" si="0"/>
        <v>17.64</v>
      </c>
      <c r="L22" s="2" t="str">
        <f t="shared" si="1"/>
        <v>E</v>
      </c>
      <c r="M22" t="str">
        <f t="shared" si="2"/>
        <v>0</v>
      </c>
      <c r="N22" s="5" t="s">
        <v>37</v>
      </c>
      <c r="O22" t="s">
        <v>94</v>
      </c>
      <c r="P22" t="s">
        <v>92</v>
      </c>
      <c r="Q22" t="s">
        <v>95</v>
      </c>
      <c r="R22">
        <v>71.430000000000007</v>
      </c>
      <c r="S22">
        <v>87.5</v>
      </c>
      <c r="T22">
        <v>87.5</v>
      </c>
      <c r="U22">
        <v>58.82</v>
      </c>
      <c r="W22">
        <v>8.93</v>
      </c>
      <c r="Z22">
        <v>93.33</v>
      </c>
    </row>
    <row r="23" spans="1:26" x14ac:dyDescent="0.25">
      <c r="A23" t="s">
        <v>96</v>
      </c>
      <c r="B23" t="s">
        <v>97</v>
      </c>
      <c r="C23">
        <v>4</v>
      </c>
      <c r="D23" t="s">
        <v>36</v>
      </c>
      <c r="E23" s="9">
        <v>97.33</v>
      </c>
      <c r="F23" s="3"/>
      <c r="G23" s="3">
        <f t="shared" si="3"/>
        <v>94.634</v>
      </c>
      <c r="H23" s="3">
        <v>83.85</v>
      </c>
      <c r="I23" s="3"/>
      <c r="J23" s="3"/>
      <c r="K23" s="2">
        <f t="shared" si="0"/>
        <v>18.66</v>
      </c>
      <c r="L23" s="2" t="str">
        <f t="shared" si="1"/>
        <v>E</v>
      </c>
      <c r="M23" t="str">
        <f t="shared" si="2"/>
        <v>0</v>
      </c>
      <c r="N23" s="5" t="s">
        <v>37</v>
      </c>
      <c r="O23" t="s">
        <v>98</v>
      </c>
      <c r="P23" t="s">
        <v>96</v>
      </c>
      <c r="Q23" t="s">
        <v>99</v>
      </c>
      <c r="R23">
        <v>71.430000000000007</v>
      </c>
      <c r="S23">
        <v>87.5</v>
      </c>
      <c r="T23">
        <v>100</v>
      </c>
      <c r="U23">
        <v>76.47</v>
      </c>
      <c r="W23">
        <v>8.93</v>
      </c>
      <c r="Y23">
        <v>6.41</v>
      </c>
      <c r="Z23">
        <v>97.33</v>
      </c>
    </row>
    <row r="24" spans="1:26" x14ac:dyDescent="0.25">
      <c r="A24" t="s">
        <v>100</v>
      </c>
      <c r="B24" t="s">
        <v>101</v>
      </c>
      <c r="C24">
        <v>4</v>
      </c>
      <c r="D24" t="s">
        <v>36</v>
      </c>
      <c r="E24" s="9">
        <v>86</v>
      </c>
      <c r="F24" s="3"/>
      <c r="G24" s="3">
        <f t="shared" si="3"/>
        <v>84.466999999999999</v>
      </c>
      <c r="H24" s="3">
        <v>78.335000000000008</v>
      </c>
      <c r="I24" s="3"/>
      <c r="J24" s="3"/>
      <c r="K24" s="2">
        <f t="shared" si="0"/>
        <v>16.739999999999998</v>
      </c>
      <c r="L24" s="2" t="str">
        <f t="shared" si="1"/>
        <v>E</v>
      </c>
      <c r="M24" t="str">
        <f t="shared" si="2"/>
        <v>0</v>
      </c>
      <c r="N24" s="5" t="s">
        <v>37</v>
      </c>
      <c r="O24" t="s">
        <v>102</v>
      </c>
      <c r="P24" t="s">
        <v>100</v>
      </c>
      <c r="Q24" t="s">
        <v>103</v>
      </c>
      <c r="R24">
        <v>71.430000000000007</v>
      </c>
      <c r="S24">
        <v>81.25</v>
      </c>
      <c r="T24">
        <v>81.25</v>
      </c>
      <c r="U24">
        <v>79.41</v>
      </c>
      <c r="W24">
        <v>8.57</v>
      </c>
      <c r="Y24">
        <v>8.09</v>
      </c>
      <c r="Z24">
        <v>86</v>
      </c>
    </row>
    <row r="25" spans="1:26" x14ac:dyDescent="0.25">
      <c r="A25" t="s">
        <v>104</v>
      </c>
      <c r="B25" t="s">
        <v>105</v>
      </c>
      <c r="C25">
        <v>4</v>
      </c>
      <c r="D25" t="s">
        <v>36</v>
      </c>
      <c r="E25" s="9">
        <v>76</v>
      </c>
      <c r="F25" s="3"/>
      <c r="G25" s="3">
        <f t="shared" si="3"/>
        <v>76.396000000000001</v>
      </c>
      <c r="H25" s="3">
        <v>77.97999999999999</v>
      </c>
      <c r="I25" s="3"/>
      <c r="J25" s="3"/>
      <c r="K25" s="2">
        <f t="shared" si="0"/>
        <v>15.32</v>
      </c>
      <c r="L25" s="2" t="str">
        <f t="shared" si="1"/>
        <v>E</v>
      </c>
      <c r="M25" t="str">
        <f t="shared" si="2"/>
        <v>0</v>
      </c>
      <c r="N25" s="5" t="s">
        <v>37</v>
      </c>
      <c r="O25" t="s">
        <v>106</v>
      </c>
      <c r="P25" t="s">
        <v>104</v>
      </c>
      <c r="Q25" t="s">
        <v>107</v>
      </c>
      <c r="R25">
        <v>57.14</v>
      </c>
      <c r="S25">
        <v>87.5</v>
      </c>
      <c r="T25">
        <v>93.75</v>
      </c>
      <c r="U25">
        <v>73.53</v>
      </c>
      <c r="W25">
        <v>7.86</v>
      </c>
      <c r="Y25">
        <v>0.18</v>
      </c>
      <c r="Z25">
        <v>76</v>
      </c>
    </row>
    <row r="26" spans="1:26" x14ac:dyDescent="0.25">
      <c r="A26" t="s">
        <v>108</v>
      </c>
      <c r="B26" t="s">
        <v>109</v>
      </c>
      <c r="C26">
        <v>4</v>
      </c>
      <c r="D26" t="s">
        <v>36</v>
      </c>
      <c r="E26" s="9">
        <v>95</v>
      </c>
      <c r="F26" s="3"/>
      <c r="G26" s="3">
        <f t="shared" si="3"/>
        <v>93.612499999999997</v>
      </c>
      <c r="H26" s="3">
        <v>88.0625</v>
      </c>
      <c r="I26" s="3"/>
      <c r="J26" s="3"/>
      <c r="K26" s="2">
        <f t="shared" si="0"/>
        <v>18.579999999999998</v>
      </c>
      <c r="L26" s="2" t="str">
        <f t="shared" si="1"/>
        <v>E</v>
      </c>
      <c r="M26" t="str">
        <f t="shared" si="2"/>
        <v>0</v>
      </c>
      <c r="N26" s="5" t="s">
        <v>37</v>
      </c>
      <c r="O26" t="s">
        <v>110</v>
      </c>
      <c r="P26" t="s">
        <v>108</v>
      </c>
      <c r="Q26" t="s">
        <v>111</v>
      </c>
      <c r="R26">
        <v>85.71</v>
      </c>
      <c r="S26">
        <v>87.5</v>
      </c>
      <c r="T26">
        <v>93.75</v>
      </c>
      <c r="U26">
        <v>85.29</v>
      </c>
      <c r="W26">
        <v>8.2100000000000009</v>
      </c>
      <c r="Z26">
        <v>95</v>
      </c>
    </row>
    <row r="27" spans="1:26" x14ac:dyDescent="0.25">
      <c r="A27" t="s">
        <v>112</v>
      </c>
      <c r="B27" t="s">
        <v>113</v>
      </c>
      <c r="C27">
        <v>4</v>
      </c>
      <c r="D27" t="s">
        <v>36</v>
      </c>
      <c r="E27" s="9">
        <v>92</v>
      </c>
      <c r="F27" s="3"/>
      <c r="G27" s="3">
        <f t="shared" si="3"/>
        <v>88.734000000000009</v>
      </c>
      <c r="H27" s="3">
        <v>75.67</v>
      </c>
      <c r="I27" s="3"/>
      <c r="J27" s="3"/>
      <c r="K27" s="2">
        <f t="shared" si="0"/>
        <v>17.420000000000002</v>
      </c>
      <c r="L27" s="2" t="str">
        <f t="shared" si="1"/>
        <v>E</v>
      </c>
      <c r="M27" t="str">
        <f t="shared" si="2"/>
        <v>0</v>
      </c>
      <c r="N27" s="5" t="s">
        <v>37</v>
      </c>
      <c r="O27" t="s">
        <v>114</v>
      </c>
      <c r="P27" t="s">
        <v>112</v>
      </c>
      <c r="Q27" t="s">
        <v>115</v>
      </c>
      <c r="R27">
        <v>71.430000000000007</v>
      </c>
      <c r="S27">
        <v>87.5</v>
      </c>
      <c r="T27">
        <v>93.75</v>
      </c>
      <c r="U27">
        <v>50</v>
      </c>
      <c r="W27">
        <v>8.93</v>
      </c>
      <c r="Y27">
        <v>9.18</v>
      </c>
      <c r="Z27">
        <v>92</v>
      </c>
    </row>
    <row r="28" spans="1:26" x14ac:dyDescent="0.25">
      <c r="A28" t="s">
        <v>116</v>
      </c>
      <c r="B28" t="s">
        <v>117</v>
      </c>
      <c r="C28">
        <v>4</v>
      </c>
      <c r="D28" t="s">
        <v>36</v>
      </c>
      <c r="E28" s="9">
        <v>95</v>
      </c>
      <c r="F28" s="3"/>
      <c r="G28" s="3">
        <f t="shared" si="3"/>
        <v>89.277500000000003</v>
      </c>
      <c r="H28" s="3">
        <v>66.387500000000003</v>
      </c>
      <c r="I28" s="3"/>
      <c r="J28" s="3"/>
      <c r="K28" s="2">
        <f t="shared" si="0"/>
        <v>17.28</v>
      </c>
      <c r="L28" s="2" t="str">
        <f t="shared" si="1"/>
        <v>E</v>
      </c>
      <c r="M28" t="str">
        <f t="shared" si="2"/>
        <v>0</v>
      </c>
      <c r="N28" s="5" t="s">
        <v>37</v>
      </c>
      <c r="O28" t="s">
        <v>118</v>
      </c>
      <c r="P28" t="s">
        <v>116</v>
      </c>
      <c r="Q28" t="s">
        <v>119</v>
      </c>
      <c r="R28">
        <v>71.430000000000007</v>
      </c>
      <c r="S28">
        <v>68.75</v>
      </c>
      <c r="T28">
        <v>81.25</v>
      </c>
      <c r="U28">
        <v>44.12</v>
      </c>
      <c r="W28">
        <v>8.93</v>
      </c>
      <c r="Z28">
        <v>95</v>
      </c>
    </row>
    <row r="29" spans="1:26" x14ac:dyDescent="0.25">
      <c r="A29" t="s">
        <v>120</v>
      </c>
      <c r="B29" t="s">
        <v>121</v>
      </c>
      <c r="C29">
        <v>4</v>
      </c>
      <c r="D29" t="s">
        <v>36</v>
      </c>
      <c r="E29" s="9">
        <v>94</v>
      </c>
      <c r="F29" s="3"/>
      <c r="G29" s="3">
        <f t="shared" si="3"/>
        <v>92.429500000000004</v>
      </c>
      <c r="H29" s="3">
        <v>86.147500000000008</v>
      </c>
      <c r="I29" s="3"/>
      <c r="J29" s="3"/>
      <c r="K29" s="2">
        <f t="shared" si="0"/>
        <v>18.329999999999998</v>
      </c>
      <c r="L29" s="2" t="str">
        <f t="shared" si="1"/>
        <v>E</v>
      </c>
      <c r="M29" t="str">
        <f t="shared" si="2"/>
        <v>0</v>
      </c>
      <c r="N29" s="5" t="s">
        <v>37</v>
      </c>
      <c r="O29" t="s">
        <v>122</v>
      </c>
      <c r="P29" t="s">
        <v>120</v>
      </c>
      <c r="Q29" t="s">
        <v>123</v>
      </c>
      <c r="R29">
        <v>71.430000000000007</v>
      </c>
      <c r="S29">
        <v>93.75</v>
      </c>
      <c r="T29">
        <v>100</v>
      </c>
      <c r="U29">
        <v>79.41</v>
      </c>
      <c r="W29">
        <v>9.2899999999999991</v>
      </c>
      <c r="Y29">
        <v>5.36</v>
      </c>
      <c r="Z29">
        <v>94</v>
      </c>
    </row>
    <row r="30" spans="1:26" x14ac:dyDescent="0.25">
      <c r="A30" t="s">
        <v>124</v>
      </c>
      <c r="B30" t="s">
        <v>125</v>
      </c>
      <c r="C30">
        <v>4</v>
      </c>
      <c r="D30" t="s">
        <v>36</v>
      </c>
      <c r="E30" s="9">
        <v>78.33</v>
      </c>
      <c r="F30" s="3"/>
      <c r="G30" s="3">
        <f t="shared" si="3"/>
        <v>78.73</v>
      </c>
      <c r="H30" s="3">
        <v>80.33</v>
      </c>
      <c r="I30" s="3"/>
      <c r="J30" s="3"/>
      <c r="K30" s="2">
        <f t="shared" si="0"/>
        <v>15.79</v>
      </c>
      <c r="L30" s="2" t="str">
        <f t="shared" si="1"/>
        <v>E</v>
      </c>
      <c r="M30" t="str">
        <f t="shared" si="2"/>
        <v>0</v>
      </c>
      <c r="N30" s="5" t="s">
        <v>37</v>
      </c>
      <c r="O30" t="s">
        <v>126</v>
      </c>
      <c r="P30" t="s">
        <v>124</v>
      </c>
      <c r="Q30" t="s">
        <v>127</v>
      </c>
      <c r="R30">
        <v>100</v>
      </c>
      <c r="S30">
        <v>68.75</v>
      </c>
      <c r="T30">
        <v>93.75</v>
      </c>
      <c r="U30">
        <v>58.82</v>
      </c>
      <c r="W30">
        <v>8.93</v>
      </c>
      <c r="Z30">
        <v>78.33</v>
      </c>
    </row>
    <row r="31" spans="1:26" x14ac:dyDescent="0.25">
      <c r="A31" t="s">
        <v>128</v>
      </c>
      <c r="B31" t="s">
        <v>129</v>
      </c>
      <c r="C31">
        <v>4</v>
      </c>
      <c r="D31" t="s">
        <v>36</v>
      </c>
      <c r="E31" s="9">
        <v>96</v>
      </c>
      <c r="F31" s="3"/>
      <c r="G31" s="3">
        <f t="shared" si="3"/>
        <v>93.530500000000018</v>
      </c>
      <c r="H31" s="3">
        <v>83.652500000000003</v>
      </c>
      <c r="I31" s="3"/>
      <c r="J31" s="3"/>
      <c r="K31" s="2">
        <f t="shared" si="0"/>
        <v>18.46</v>
      </c>
      <c r="L31" s="2" t="str">
        <f t="shared" si="1"/>
        <v>E</v>
      </c>
      <c r="M31" t="str">
        <f t="shared" si="2"/>
        <v>0</v>
      </c>
      <c r="N31" s="5" t="s">
        <v>37</v>
      </c>
      <c r="O31" t="s">
        <v>130</v>
      </c>
      <c r="P31" t="s">
        <v>128</v>
      </c>
      <c r="Q31" t="s">
        <v>131</v>
      </c>
      <c r="R31">
        <v>85.71</v>
      </c>
      <c r="S31">
        <v>87.5</v>
      </c>
      <c r="T31">
        <v>93.75</v>
      </c>
      <c r="U31">
        <v>67.650000000000006</v>
      </c>
      <c r="W31">
        <v>9.2899999999999991</v>
      </c>
      <c r="Y31">
        <v>9.09</v>
      </c>
      <c r="Z31">
        <v>96</v>
      </c>
    </row>
    <row r="32" spans="1:26" x14ac:dyDescent="0.25">
      <c r="A32" t="s">
        <v>132</v>
      </c>
      <c r="B32" t="s">
        <v>133</v>
      </c>
      <c r="C32">
        <v>4</v>
      </c>
      <c r="D32" t="s">
        <v>36</v>
      </c>
      <c r="E32" s="9">
        <v>86.33</v>
      </c>
      <c r="F32" s="3"/>
      <c r="G32" s="3">
        <f t="shared" si="3"/>
        <v>84.01400000000001</v>
      </c>
      <c r="H32" s="3">
        <v>74.75</v>
      </c>
      <c r="I32" s="3"/>
      <c r="J32" s="3"/>
      <c r="K32" s="2">
        <f t="shared" si="0"/>
        <v>16.57</v>
      </c>
      <c r="L32" s="2" t="str">
        <f t="shared" si="1"/>
        <v>E</v>
      </c>
      <c r="M32" t="str">
        <f t="shared" si="2"/>
        <v>0</v>
      </c>
      <c r="N32" s="5" t="s">
        <v>37</v>
      </c>
      <c r="O32" t="s">
        <v>134</v>
      </c>
      <c r="P32" t="s">
        <v>132</v>
      </c>
      <c r="Q32" t="s">
        <v>135</v>
      </c>
      <c r="R32">
        <v>71.430000000000007</v>
      </c>
      <c r="S32">
        <v>81.25</v>
      </c>
      <c r="T32">
        <v>87.5</v>
      </c>
      <c r="U32">
        <v>58.82</v>
      </c>
      <c r="W32">
        <v>10</v>
      </c>
      <c r="Y32">
        <v>9.35</v>
      </c>
      <c r="Z32">
        <v>86.33</v>
      </c>
    </row>
    <row r="33" spans="1:26" x14ac:dyDescent="0.25">
      <c r="A33" t="s">
        <v>136</v>
      </c>
      <c r="B33" t="s">
        <v>137</v>
      </c>
      <c r="C33">
        <v>4</v>
      </c>
      <c r="D33" t="s">
        <v>36</v>
      </c>
      <c r="E33" s="9">
        <v>80</v>
      </c>
      <c r="F33" s="3"/>
      <c r="G33" s="3">
        <f t="shared" si="3"/>
        <v>80.329000000000008</v>
      </c>
      <c r="H33" s="3">
        <v>81.64500000000001</v>
      </c>
      <c r="I33" s="3"/>
      <c r="J33" s="3"/>
      <c r="K33" s="2">
        <f t="shared" si="0"/>
        <v>16.100000000000001</v>
      </c>
      <c r="L33" s="2" t="str">
        <f t="shared" si="1"/>
        <v>E</v>
      </c>
      <c r="M33" t="str">
        <f t="shared" si="2"/>
        <v>0</v>
      </c>
      <c r="N33" s="5" t="s">
        <v>37</v>
      </c>
      <c r="O33" t="s">
        <v>137</v>
      </c>
      <c r="P33" t="s">
        <v>136</v>
      </c>
      <c r="Q33" t="s">
        <v>138</v>
      </c>
      <c r="R33">
        <v>71.430000000000007</v>
      </c>
      <c r="S33">
        <v>87.5</v>
      </c>
      <c r="T33">
        <v>100</v>
      </c>
      <c r="U33">
        <v>67.650000000000006</v>
      </c>
      <c r="W33">
        <v>10</v>
      </c>
      <c r="Z33">
        <v>80</v>
      </c>
    </row>
    <row r="34" spans="1:26" x14ac:dyDescent="0.25">
      <c r="A34" t="s">
        <v>139</v>
      </c>
      <c r="B34" t="s">
        <v>140</v>
      </c>
      <c r="C34">
        <v>4</v>
      </c>
      <c r="D34" t="s">
        <v>36</v>
      </c>
      <c r="E34" s="9">
        <v>51</v>
      </c>
      <c r="F34" s="3"/>
      <c r="G34" s="3">
        <f t="shared" si="3"/>
        <v>46.430500000000009</v>
      </c>
      <c r="H34" s="3">
        <v>28.152500000000003</v>
      </c>
      <c r="I34" s="3"/>
      <c r="J34" s="3"/>
      <c r="K34" s="2">
        <f t="shared" si="0"/>
        <v>8.83</v>
      </c>
      <c r="L34" s="2" t="str">
        <f t="shared" si="1"/>
        <v>E</v>
      </c>
      <c r="M34" t="str">
        <f t="shared" si="2"/>
        <v>0</v>
      </c>
      <c r="N34" s="5" t="s">
        <v>37</v>
      </c>
      <c r="O34" t="s">
        <v>141</v>
      </c>
      <c r="P34" t="s">
        <v>139</v>
      </c>
      <c r="Q34" t="s">
        <v>142</v>
      </c>
      <c r="R34">
        <v>71.430000000000007</v>
      </c>
      <c r="U34">
        <v>41.18</v>
      </c>
      <c r="W34">
        <v>9.64</v>
      </c>
      <c r="Y34">
        <v>0.91</v>
      </c>
      <c r="Z34">
        <v>51</v>
      </c>
    </row>
    <row r="35" spans="1:26" x14ac:dyDescent="0.25">
      <c r="A35" t="s">
        <v>143</v>
      </c>
      <c r="B35" t="s">
        <v>144</v>
      </c>
      <c r="C35">
        <v>4</v>
      </c>
      <c r="D35" t="s">
        <v>36</v>
      </c>
      <c r="E35" s="9">
        <v>74.25</v>
      </c>
      <c r="F35" s="3"/>
      <c r="G35" s="3">
        <f t="shared" si="3"/>
        <v>74.203000000000003</v>
      </c>
      <c r="H35" s="3">
        <v>74.015000000000001</v>
      </c>
      <c r="I35" s="3"/>
      <c r="J35" s="3"/>
      <c r="K35" s="2">
        <f t="shared" si="0"/>
        <v>14.84</v>
      </c>
      <c r="L35" s="2" t="str">
        <f t="shared" si="1"/>
        <v>E</v>
      </c>
      <c r="M35" t="str">
        <f t="shared" si="2"/>
        <v>0</v>
      </c>
      <c r="N35" s="5" t="s">
        <v>37</v>
      </c>
      <c r="O35" t="s">
        <v>145</v>
      </c>
      <c r="P35" t="s">
        <v>143</v>
      </c>
      <c r="Q35" t="s">
        <v>146</v>
      </c>
      <c r="R35">
        <v>71.430000000000007</v>
      </c>
      <c r="S35">
        <v>81.25</v>
      </c>
      <c r="T35">
        <v>87.5</v>
      </c>
      <c r="U35">
        <v>55.88</v>
      </c>
      <c r="Z35">
        <v>74.25</v>
      </c>
    </row>
    <row r="36" spans="1:26" x14ac:dyDescent="0.25">
      <c r="A36" t="s">
        <v>147</v>
      </c>
      <c r="B36" t="s">
        <v>148</v>
      </c>
      <c r="C36">
        <v>4</v>
      </c>
      <c r="D36" t="s">
        <v>36</v>
      </c>
      <c r="E36" s="9">
        <v>56</v>
      </c>
      <c r="F36" s="3"/>
      <c r="G36" s="3">
        <f t="shared" si="3"/>
        <v>60.335500000000003</v>
      </c>
      <c r="H36" s="3">
        <v>77.677499999999995</v>
      </c>
      <c r="I36" s="3"/>
      <c r="J36" s="3"/>
      <c r="K36" s="2">
        <f t="shared" si="0"/>
        <v>12.5</v>
      </c>
      <c r="L36" s="2" t="str">
        <f t="shared" si="1"/>
        <v>E</v>
      </c>
      <c r="M36" t="str">
        <f t="shared" si="2"/>
        <v>0</v>
      </c>
      <c r="N36" s="5" t="s">
        <v>37</v>
      </c>
      <c r="O36" t="s">
        <v>149</v>
      </c>
      <c r="P36" t="s">
        <v>147</v>
      </c>
      <c r="Q36" t="s">
        <v>150</v>
      </c>
      <c r="R36">
        <v>85.71</v>
      </c>
      <c r="S36">
        <v>81.25</v>
      </c>
      <c r="T36">
        <v>93.75</v>
      </c>
      <c r="U36">
        <v>50</v>
      </c>
      <c r="W36">
        <v>9.2899999999999991</v>
      </c>
      <c r="Y36">
        <v>8.1999999999999993</v>
      </c>
      <c r="Z36">
        <v>56</v>
      </c>
    </row>
    <row r="37" spans="1:26" x14ac:dyDescent="0.25">
      <c r="A37" t="s">
        <v>151</v>
      </c>
      <c r="B37" t="s">
        <v>152</v>
      </c>
      <c r="C37">
        <v>4</v>
      </c>
      <c r="D37" t="s">
        <v>36</v>
      </c>
      <c r="E37" s="9">
        <v>92</v>
      </c>
      <c r="F37" s="3"/>
      <c r="G37" s="3">
        <f t="shared" si="3"/>
        <v>87.452500000000015</v>
      </c>
      <c r="H37" s="3">
        <v>69.262500000000003</v>
      </c>
      <c r="I37" s="3"/>
      <c r="J37" s="3"/>
      <c r="K37" s="2">
        <f t="shared" si="0"/>
        <v>17.04</v>
      </c>
      <c r="L37" s="2" t="str">
        <f t="shared" si="1"/>
        <v>E</v>
      </c>
      <c r="M37" t="str">
        <f t="shared" si="2"/>
        <v>0</v>
      </c>
      <c r="N37" s="5" t="s">
        <v>37</v>
      </c>
      <c r="O37" t="s">
        <v>153</v>
      </c>
      <c r="P37" t="s">
        <v>151</v>
      </c>
      <c r="Q37" t="s">
        <v>154</v>
      </c>
      <c r="R37">
        <v>42.86</v>
      </c>
      <c r="S37">
        <v>81.25</v>
      </c>
      <c r="T37">
        <v>100</v>
      </c>
      <c r="U37">
        <v>52.94</v>
      </c>
      <c r="W37">
        <v>7.86</v>
      </c>
      <c r="Y37">
        <v>3.55</v>
      </c>
      <c r="Z37">
        <v>92</v>
      </c>
    </row>
    <row r="38" spans="1:26" x14ac:dyDescent="0.25">
      <c r="A38" t="s">
        <v>155</v>
      </c>
      <c r="B38" t="s">
        <v>156</v>
      </c>
      <c r="C38">
        <v>4</v>
      </c>
      <c r="D38" t="s">
        <v>36</v>
      </c>
      <c r="E38" s="9">
        <v>99</v>
      </c>
      <c r="F38" s="3"/>
      <c r="G38" s="3">
        <f t="shared" si="3"/>
        <v>95.216500000000011</v>
      </c>
      <c r="H38" s="3">
        <v>80.08250000000001</v>
      </c>
      <c r="I38" s="3"/>
      <c r="J38" s="3"/>
      <c r="K38" s="2">
        <f t="shared" si="0"/>
        <v>18.66</v>
      </c>
      <c r="L38" s="2" t="str">
        <f t="shared" si="1"/>
        <v>E</v>
      </c>
      <c r="M38" t="str">
        <f t="shared" si="2"/>
        <v>0</v>
      </c>
      <c r="N38" s="5" t="s">
        <v>37</v>
      </c>
      <c r="O38" t="s">
        <v>157</v>
      </c>
      <c r="P38" t="s">
        <v>155</v>
      </c>
      <c r="Q38" t="s">
        <v>158</v>
      </c>
      <c r="R38">
        <v>71.430000000000007</v>
      </c>
      <c r="S38">
        <v>81.25</v>
      </c>
      <c r="T38">
        <v>100</v>
      </c>
      <c r="U38">
        <v>67.650000000000006</v>
      </c>
      <c r="W38">
        <v>9.2899999999999991</v>
      </c>
      <c r="Y38">
        <v>9.52</v>
      </c>
      <c r="Z38">
        <v>99</v>
      </c>
    </row>
    <row r="39" spans="1:26" x14ac:dyDescent="0.25">
      <c r="A39" t="s">
        <v>159</v>
      </c>
      <c r="B39" t="s">
        <v>160</v>
      </c>
      <c r="C39">
        <v>4</v>
      </c>
      <c r="D39" t="s">
        <v>36</v>
      </c>
      <c r="E39" s="9">
        <v>95.33</v>
      </c>
      <c r="F39" s="3"/>
      <c r="G39" s="3">
        <f t="shared" si="3"/>
        <v>91.712999999999994</v>
      </c>
      <c r="H39" s="3">
        <v>77.245000000000005</v>
      </c>
      <c r="I39" s="3"/>
      <c r="J39" s="3"/>
      <c r="K39" s="2">
        <f t="shared" si="0"/>
        <v>17.98</v>
      </c>
      <c r="L39" s="2" t="str">
        <f t="shared" si="1"/>
        <v>E</v>
      </c>
      <c r="M39" t="str">
        <f t="shared" si="2"/>
        <v>0</v>
      </c>
      <c r="N39" s="5" t="s">
        <v>37</v>
      </c>
      <c r="O39" t="s">
        <v>161</v>
      </c>
      <c r="P39" t="s">
        <v>159</v>
      </c>
      <c r="Q39" t="s">
        <v>162</v>
      </c>
      <c r="R39">
        <v>57.14</v>
      </c>
      <c r="S39">
        <v>81.25</v>
      </c>
      <c r="T39">
        <v>100</v>
      </c>
      <c r="U39">
        <v>70.59</v>
      </c>
      <c r="W39">
        <v>7.86</v>
      </c>
      <c r="Y39">
        <v>8.14</v>
      </c>
      <c r="Z39">
        <v>95.33</v>
      </c>
    </row>
    <row r="40" spans="1:26" x14ac:dyDescent="0.25">
      <c r="A40" t="s">
        <v>163</v>
      </c>
      <c r="B40" t="s">
        <v>164</v>
      </c>
      <c r="C40">
        <v>4</v>
      </c>
      <c r="D40" t="s">
        <v>36</v>
      </c>
      <c r="E40" s="9">
        <v>95</v>
      </c>
      <c r="F40" s="3"/>
      <c r="G40" s="3">
        <f t="shared" si="3"/>
        <v>91.281000000000006</v>
      </c>
      <c r="H40" s="3">
        <v>76.405000000000001</v>
      </c>
      <c r="I40" s="3"/>
      <c r="J40" s="3"/>
      <c r="K40" s="2">
        <f t="shared" si="0"/>
        <v>17.88</v>
      </c>
      <c r="L40" s="2" t="str">
        <f t="shared" si="1"/>
        <v>E</v>
      </c>
      <c r="M40" t="str">
        <f t="shared" si="2"/>
        <v>0</v>
      </c>
      <c r="N40" s="5" t="s">
        <v>37</v>
      </c>
      <c r="O40" t="s">
        <v>165</v>
      </c>
      <c r="P40" t="s">
        <v>163</v>
      </c>
      <c r="Q40" t="s">
        <v>166</v>
      </c>
      <c r="R40">
        <v>71.430000000000007</v>
      </c>
      <c r="S40">
        <v>81.25</v>
      </c>
      <c r="T40">
        <v>100</v>
      </c>
      <c r="U40">
        <v>52.94</v>
      </c>
      <c r="W40">
        <v>9.2899999999999991</v>
      </c>
      <c r="Y40">
        <v>8.77</v>
      </c>
      <c r="Z40">
        <v>95</v>
      </c>
    </row>
    <row r="41" spans="1:26" x14ac:dyDescent="0.25">
      <c r="A41" t="s">
        <v>167</v>
      </c>
      <c r="B41" t="s">
        <v>168</v>
      </c>
      <c r="C41">
        <v>4</v>
      </c>
      <c r="D41" t="s">
        <v>36</v>
      </c>
      <c r="E41" s="9">
        <v>97</v>
      </c>
      <c r="F41" s="3"/>
      <c r="G41" s="3">
        <f t="shared" si="3"/>
        <v>95.654000000000011</v>
      </c>
      <c r="H41" s="3">
        <v>90.27</v>
      </c>
      <c r="I41" s="3"/>
      <c r="J41" s="3"/>
      <c r="K41" s="2">
        <f t="shared" si="0"/>
        <v>19</v>
      </c>
      <c r="L41" s="2" t="str">
        <f t="shared" si="1"/>
        <v>E</v>
      </c>
      <c r="M41" t="str">
        <f t="shared" si="2"/>
        <v>0</v>
      </c>
      <c r="N41" s="5" t="s">
        <v>37</v>
      </c>
      <c r="O41" t="s">
        <v>169</v>
      </c>
      <c r="P41" t="s">
        <v>167</v>
      </c>
      <c r="Q41" t="s">
        <v>170</v>
      </c>
      <c r="R41">
        <v>85.71</v>
      </c>
      <c r="S41">
        <v>81.25</v>
      </c>
      <c r="T41">
        <v>100</v>
      </c>
      <c r="U41">
        <v>94.12</v>
      </c>
      <c r="W41">
        <v>9.64</v>
      </c>
      <c r="Y41">
        <v>9.64</v>
      </c>
      <c r="Z41">
        <v>97</v>
      </c>
    </row>
    <row r="42" spans="1:26" x14ac:dyDescent="0.25">
      <c r="A42" t="s">
        <v>171</v>
      </c>
      <c r="B42" t="s">
        <v>172</v>
      </c>
      <c r="C42">
        <v>4</v>
      </c>
      <c r="D42" t="s">
        <v>36</v>
      </c>
      <c r="E42" s="9">
        <v>94.33</v>
      </c>
      <c r="F42" s="3"/>
      <c r="G42" s="3">
        <f t="shared" si="3"/>
        <v>91.311999999999998</v>
      </c>
      <c r="H42" s="3">
        <v>79.239999999999995</v>
      </c>
      <c r="I42" s="3"/>
      <c r="J42" s="3"/>
      <c r="K42" s="2">
        <f t="shared" si="0"/>
        <v>17.96</v>
      </c>
      <c r="L42" s="2" t="str">
        <f t="shared" si="1"/>
        <v>E</v>
      </c>
      <c r="M42" t="str">
        <f t="shared" si="2"/>
        <v>0</v>
      </c>
      <c r="N42" s="5" t="s">
        <v>37</v>
      </c>
      <c r="O42" t="s">
        <v>173</v>
      </c>
      <c r="P42" t="s">
        <v>171</v>
      </c>
      <c r="Q42" t="s">
        <v>174</v>
      </c>
      <c r="R42">
        <v>85.71</v>
      </c>
      <c r="S42">
        <v>81.25</v>
      </c>
      <c r="T42">
        <v>100</v>
      </c>
      <c r="U42">
        <v>50</v>
      </c>
      <c r="W42">
        <v>8.93</v>
      </c>
      <c r="Z42">
        <v>94.33</v>
      </c>
    </row>
    <row r="43" spans="1:26" x14ac:dyDescent="0.25">
      <c r="A43" t="s">
        <v>175</v>
      </c>
      <c r="B43" t="s">
        <v>176</v>
      </c>
      <c r="C43">
        <v>4</v>
      </c>
      <c r="D43" t="s">
        <v>36</v>
      </c>
      <c r="E43" s="9">
        <v>96</v>
      </c>
      <c r="F43" s="3"/>
      <c r="G43" s="3">
        <f t="shared" si="3"/>
        <v>91.219500000000011</v>
      </c>
      <c r="H43" s="3">
        <v>72.097499999999997</v>
      </c>
      <c r="I43" s="3"/>
      <c r="J43" s="3"/>
      <c r="K43" s="2">
        <f t="shared" si="0"/>
        <v>17.77</v>
      </c>
      <c r="L43" s="2" t="str">
        <f t="shared" si="1"/>
        <v>E</v>
      </c>
      <c r="M43" t="str">
        <f t="shared" si="2"/>
        <v>0</v>
      </c>
      <c r="N43" s="5" t="s">
        <v>37</v>
      </c>
      <c r="O43" t="s">
        <v>177</v>
      </c>
      <c r="P43" t="s">
        <v>175</v>
      </c>
      <c r="Q43" t="s">
        <v>178</v>
      </c>
      <c r="R43">
        <v>57.14</v>
      </c>
      <c r="S43">
        <v>87.5</v>
      </c>
      <c r="T43">
        <v>93.75</v>
      </c>
      <c r="U43">
        <v>50</v>
      </c>
      <c r="W43">
        <v>9.2899999999999991</v>
      </c>
      <c r="Z43">
        <v>96</v>
      </c>
    </row>
    <row r="44" spans="1:26" x14ac:dyDescent="0.25">
      <c r="A44" t="s">
        <v>179</v>
      </c>
      <c r="B44" t="s">
        <v>180</v>
      </c>
      <c r="C44">
        <v>4</v>
      </c>
      <c r="D44" t="s">
        <v>36</v>
      </c>
      <c r="E44" s="9">
        <v>98</v>
      </c>
      <c r="F44" s="3"/>
      <c r="G44" s="3">
        <f t="shared" si="3"/>
        <v>96.913499999999999</v>
      </c>
      <c r="H44" s="3">
        <v>92.567499999999995</v>
      </c>
      <c r="I44" s="3"/>
      <c r="J44" s="3"/>
      <c r="K44" s="2">
        <f t="shared" si="0"/>
        <v>19.27</v>
      </c>
      <c r="L44" s="2" t="str">
        <f t="shared" si="1"/>
        <v>E</v>
      </c>
      <c r="M44" t="str">
        <f t="shared" si="2"/>
        <v>0</v>
      </c>
      <c r="N44" s="5" t="s">
        <v>37</v>
      </c>
      <c r="O44" t="s">
        <v>181</v>
      </c>
      <c r="P44" t="s">
        <v>179</v>
      </c>
      <c r="Q44" t="s">
        <v>182</v>
      </c>
      <c r="R44">
        <v>85.71</v>
      </c>
      <c r="S44">
        <v>87.5</v>
      </c>
      <c r="T44">
        <v>100</v>
      </c>
      <c r="U44">
        <v>97.06</v>
      </c>
      <c r="W44">
        <v>8.93</v>
      </c>
      <c r="Y44">
        <v>5.64</v>
      </c>
      <c r="Z44">
        <v>98</v>
      </c>
    </row>
    <row r="45" spans="1:26" x14ac:dyDescent="0.25">
      <c r="A45" t="s">
        <v>183</v>
      </c>
      <c r="B45" t="s">
        <v>184</v>
      </c>
      <c r="C45">
        <v>4</v>
      </c>
      <c r="D45" t="s">
        <v>36</v>
      </c>
      <c r="E45" s="9">
        <v>92.33</v>
      </c>
      <c r="F45" s="3"/>
      <c r="G45" s="3">
        <f t="shared" si="3"/>
        <v>90.006</v>
      </c>
      <c r="H45" s="3">
        <v>80.709999999999994</v>
      </c>
      <c r="I45" s="3"/>
      <c r="J45" s="3"/>
      <c r="K45" s="2">
        <f t="shared" si="0"/>
        <v>17.77</v>
      </c>
      <c r="L45" s="2" t="str">
        <f t="shared" si="1"/>
        <v>E</v>
      </c>
      <c r="M45" t="str">
        <f t="shared" si="2"/>
        <v>0</v>
      </c>
      <c r="N45" s="5" t="s">
        <v>37</v>
      </c>
      <c r="O45" t="s">
        <v>185</v>
      </c>
      <c r="P45" t="s">
        <v>183</v>
      </c>
      <c r="Q45" t="s">
        <v>186</v>
      </c>
      <c r="R45">
        <v>85.71</v>
      </c>
      <c r="S45">
        <v>81.25</v>
      </c>
      <c r="T45">
        <v>100</v>
      </c>
      <c r="U45">
        <v>55.88</v>
      </c>
      <c r="W45">
        <v>9.2899999999999991</v>
      </c>
      <c r="Z45">
        <v>92.33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topLeftCell="M1" workbookViewId="0">
      <pane ySplit="1" topLeftCell="A24" activePane="bottomLeft" state="frozen"/>
      <selection pane="bottomLeft" activeCell="V2" sqref="V2:V39"/>
    </sheetView>
  </sheetViews>
  <sheetFormatPr defaultRowHeight="15" x14ac:dyDescent="0.25"/>
  <cols>
    <col min="1" max="1" width="16" customWidth="1"/>
    <col min="2" max="2" width="31" customWidth="1"/>
    <col min="3" max="3" width="14" customWidth="1"/>
    <col min="4" max="5" width="10" customWidth="1"/>
    <col min="6" max="7" width="35" customWidth="1"/>
    <col min="8" max="8" width="32" customWidth="1"/>
    <col min="9" max="10" width="31" customWidth="1"/>
    <col min="11" max="11" width="28" customWidth="1"/>
    <col min="12" max="12" width="33" customWidth="1"/>
    <col min="13" max="13" width="31" customWidth="1"/>
    <col min="14" max="14" width="19" customWidth="1"/>
    <col min="15" max="15" width="31" customWidth="1"/>
    <col min="16" max="16" width="16" customWidth="1"/>
    <col min="17" max="17" width="35" customWidth="1"/>
    <col min="18" max="23" width="15" customWidth="1"/>
    <col min="24" max="24" width="20" customWidth="1"/>
    <col min="25" max="25" width="12" customWidth="1"/>
  </cols>
  <sheetData>
    <row r="1" spans="1:25" ht="30" x14ac:dyDescent="0.25">
      <c r="A1" s="6" t="s">
        <v>11</v>
      </c>
      <c r="B1" s="6" t="s">
        <v>12</v>
      </c>
      <c r="C1" s="6" t="s">
        <v>23</v>
      </c>
      <c r="D1" s="6" t="s">
        <v>5</v>
      </c>
      <c r="E1" s="6" t="s">
        <v>13</v>
      </c>
      <c r="F1" s="6" t="s">
        <v>14</v>
      </c>
      <c r="G1" s="6" t="s">
        <v>15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6" t="s">
        <v>21</v>
      </c>
      <c r="N1" s="6" t="s">
        <v>22</v>
      </c>
      <c r="O1" s="6" t="s">
        <v>24</v>
      </c>
      <c r="P1" s="6" t="s">
        <v>25</v>
      </c>
      <c r="Q1" s="6" t="s">
        <v>26</v>
      </c>
      <c r="R1" s="6" t="s">
        <v>27</v>
      </c>
      <c r="S1" s="6" t="s">
        <v>28</v>
      </c>
      <c r="T1" s="6" t="s">
        <v>29</v>
      </c>
      <c r="U1" s="6" t="s">
        <v>30</v>
      </c>
      <c r="V1" s="6"/>
      <c r="W1" s="6" t="s">
        <v>31</v>
      </c>
      <c r="X1" s="6" t="s">
        <v>32</v>
      </c>
      <c r="Y1" s="6" t="s">
        <v>33</v>
      </c>
    </row>
    <row r="2" spans="1:25" x14ac:dyDescent="0.25">
      <c r="A2" s="7" t="s">
        <v>34</v>
      </c>
      <c r="B2" s="7" t="s">
        <v>35</v>
      </c>
      <c r="C2" s="7" t="s">
        <v>37</v>
      </c>
      <c r="D2" s="7" t="s">
        <v>187</v>
      </c>
      <c r="E2" s="7" t="s">
        <v>36</v>
      </c>
      <c r="F2" s="7"/>
      <c r="G2" s="7"/>
      <c r="H2" s="7"/>
      <c r="I2" s="7"/>
      <c r="J2" s="7"/>
      <c r="K2" s="7"/>
      <c r="L2" s="7" t="s">
        <v>188</v>
      </c>
      <c r="M2" s="7" t="s">
        <v>189</v>
      </c>
      <c r="N2" s="7" t="s">
        <v>188</v>
      </c>
      <c r="O2" s="7" t="s">
        <v>38</v>
      </c>
      <c r="P2" s="7" t="s">
        <v>34</v>
      </c>
      <c r="Q2" s="7" t="s">
        <v>39</v>
      </c>
      <c r="R2" s="7">
        <v>71.430000000000007</v>
      </c>
      <c r="S2" s="7">
        <v>87.5</v>
      </c>
      <c r="T2" s="7">
        <v>93.75</v>
      </c>
      <c r="U2" s="7">
        <v>70.59</v>
      </c>
      <c r="V2" s="7">
        <f>(SUM(R2:U2)/4)</f>
        <v>80.817499999999995</v>
      </c>
      <c r="W2" s="7">
        <v>9.64</v>
      </c>
      <c r="X2" s="7">
        <v>5.45</v>
      </c>
      <c r="Y2" s="7">
        <v>95</v>
      </c>
    </row>
    <row r="3" spans="1:25" x14ac:dyDescent="0.25">
      <c r="A3" s="7" t="s">
        <v>40</v>
      </c>
      <c r="B3" s="7" t="s">
        <v>41</v>
      </c>
      <c r="C3" s="7" t="s">
        <v>37</v>
      </c>
      <c r="D3" s="7" t="s">
        <v>187</v>
      </c>
      <c r="E3" s="7" t="s">
        <v>36</v>
      </c>
      <c r="F3" s="7"/>
      <c r="G3" s="7"/>
      <c r="H3" s="7"/>
      <c r="I3" s="7"/>
      <c r="J3" s="7"/>
      <c r="K3" s="7"/>
      <c r="L3" s="7" t="s">
        <v>188</v>
      </c>
      <c r="M3" s="7" t="s">
        <v>189</v>
      </c>
      <c r="N3" s="7" t="s">
        <v>188</v>
      </c>
      <c r="O3" s="7" t="s">
        <v>42</v>
      </c>
      <c r="P3" s="7" t="s">
        <v>40</v>
      </c>
      <c r="Q3" s="7" t="s">
        <v>43</v>
      </c>
      <c r="R3" s="7">
        <v>85.71</v>
      </c>
      <c r="S3" s="7">
        <v>81.25</v>
      </c>
      <c r="T3" s="7">
        <v>87.5</v>
      </c>
      <c r="U3" s="7"/>
      <c r="V3" s="7">
        <f t="shared" ref="V3:V39" si="0">(SUM(R3:U3)/4)</f>
        <v>63.614999999999995</v>
      </c>
      <c r="W3" s="7"/>
      <c r="X3" s="7">
        <v>1.18</v>
      </c>
      <c r="Y3" s="7">
        <v>80.33</v>
      </c>
    </row>
    <row r="4" spans="1:25" ht="30" x14ac:dyDescent="0.25">
      <c r="A4" s="7" t="s">
        <v>44</v>
      </c>
      <c r="B4" s="7" t="s">
        <v>45</v>
      </c>
      <c r="C4" s="7" t="s">
        <v>37</v>
      </c>
      <c r="D4" s="7" t="s">
        <v>187</v>
      </c>
      <c r="E4" s="7" t="s">
        <v>36</v>
      </c>
      <c r="F4" s="7"/>
      <c r="G4" s="7"/>
      <c r="H4" s="7"/>
      <c r="I4" s="7"/>
      <c r="J4" s="7"/>
      <c r="K4" s="7"/>
      <c r="L4" s="7" t="s">
        <v>188</v>
      </c>
      <c r="M4" s="7" t="s">
        <v>189</v>
      </c>
      <c r="N4" s="7" t="s">
        <v>188</v>
      </c>
      <c r="O4" s="7" t="s">
        <v>46</v>
      </c>
      <c r="P4" s="7" t="s">
        <v>44</v>
      </c>
      <c r="Q4" s="7" t="s">
        <v>47</v>
      </c>
      <c r="R4" s="7"/>
      <c r="S4" s="7">
        <v>81.25</v>
      </c>
      <c r="T4" s="7"/>
      <c r="U4" s="7">
        <v>97.06</v>
      </c>
      <c r="V4" s="7">
        <f t="shared" si="0"/>
        <v>44.577500000000001</v>
      </c>
      <c r="W4" s="7">
        <v>9.64</v>
      </c>
      <c r="X4" s="7">
        <v>2</v>
      </c>
      <c r="Y4" s="7">
        <v>93</v>
      </c>
    </row>
    <row r="5" spans="1:25" x14ac:dyDescent="0.25">
      <c r="A5" s="7" t="s">
        <v>48</v>
      </c>
      <c r="B5" s="7" t="s">
        <v>49</v>
      </c>
      <c r="C5" s="7" t="s">
        <v>37</v>
      </c>
      <c r="D5" s="7" t="s">
        <v>187</v>
      </c>
      <c r="E5" s="7" t="s">
        <v>36</v>
      </c>
      <c r="F5" s="7"/>
      <c r="G5" s="7"/>
      <c r="H5" s="7"/>
      <c r="I5" s="7"/>
      <c r="J5" s="7"/>
      <c r="K5" s="7"/>
      <c r="L5" s="7" t="s">
        <v>188</v>
      </c>
      <c r="M5" s="7" t="s">
        <v>189</v>
      </c>
      <c r="N5" s="7" t="s">
        <v>188</v>
      </c>
      <c r="O5" s="7" t="s">
        <v>50</v>
      </c>
      <c r="P5" s="7" t="s">
        <v>48</v>
      </c>
      <c r="Q5" s="7" t="s">
        <v>51</v>
      </c>
      <c r="R5" s="7">
        <v>42.86</v>
      </c>
      <c r="S5" s="7">
        <v>81.25</v>
      </c>
      <c r="T5" s="7">
        <v>93.75</v>
      </c>
      <c r="U5" s="7">
        <v>76.47</v>
      </c>
      <c r="V5" s="7">
        <f t="shared" si="0"/>
        <v>73.58250000000001</v>
      </c>
      <c r="W5" s="7">
        <v>8.2100000000000009</v>
      </c>
      <c r="X5" s="7"/>
      <c r="Y5" s="7">
        <v>91</v>
      </c>
    </row>
    <row r="6" spans="1:25" ht="30" x14ac:dyDescent="0.25">
      <c r="A6" s="7" t="s">
        <v>52</v>
      </c>
      <c r="B6" s="7" t="s">
        <v>53</v>
      </c>
      <c r="C6" s="7" t="s">
        <v>37</v>
      </c>
      <c r="D6" s="7" t="s">
        <v>187</v>
      </c>
      <c r="E6" s="7" t="s">
        <v>36</v>
      </c>
      <c r="F6" s="7"/>
      <c r="G6" s="7"/>
      <c r="H6" s="7"/>
      <c r="I6" s="7"/>
      <c r="J6" s="7"/>
      <c r="K6" s="7"/>
      <c r="L6" s="7" t="s">
        <v>188</v>
      </c>
      <c r="M6" s="7" t="s">
        <v>189</v>
      </c>
      <c r="N6" s="7" t="s">
        <v>188</v>
      </c>
      <c r="O6" s="7" t="s">
        <v>54</v>
      </c>
      <c r="P6" s="7" t="s">
        <v>52</v>
      </c>
      <c r="Q6" s="7" t="s">
        <v>55</v>
      </c>
      <c r="R6" s="7">
        <v>71.430000000000007</v>
      </c>
      <c r="S6" s="7">
        <v>87.5</v>
      </c>
      <c r="T6" s="7">
        <v>100</v>
      </c>
      <c r="U6" s="7">
        <v>58.82</v>
      </c>
      <c r="V6" s="7">
        <f t="shared" si="0"/>
        <v>79.4375</v>
      </c>
      <c r="W6" s="7">
        <v>10</v>
      </c>
      <c r="X6" s="7">
        <v>9.18</v>
      </c>
      <c r="Y6" s="7">
        <v>99</v>
      </c>
    </row>
    <row r="7" spans="1:25" x14ac:dyDescent="0.25">
      <c r="A7" s="7" t="s">
        <v>56</v>
      </c>
      <c r="B7" s="7" t="s">
        <v>57</v>
      </c>
      <c r="C7" s="7" t="s">
        <v>37</v>
      </c>
      <c r="D7" s="7" t="s">
        <v>187</v>
      </c>
      <c r="E7" s="7" t="s">
        <v>36</v>
      </c>
      <c r="F7" s="7"/>
      <c r="G7" s="7"/>
      <c r="H7" s="7"/>
      <c r="I7" s="7"/>
      <c r="J7" s="7"/>
      <c r="K7" s="7"/>
      <c r="L7" s="7" t="s">
        <v>188</v>
      </c>
      <c r="M7" s="7" t="s">
        <v>189</v>
      </c>
      <c r="N7" s="7" t="s">
        <v>188</v>
      </c>
      <c r="O7" s="7" t="s">
        <v>58</v>
      </c>
      <c r="P7" s="7" t="s">
        <v>56</v>
      </c>
      <c r="Q7" s="7" t="s">
        <v>59</v>
      </c>
      <c r="R7" s="7">
        <v>71.430000000000007</v>
      </c>
      <c r="S7" s="7">
        <v>81.25</v>
      </c>
      <c r="T7" s="7">
        <v>100</v>
      </c>
      <c r="U7" s="7">
        <v>88.24</v>
      </c>
      <c r="V7" s="7">
        <f t="shared" si="0"/>
        <v>85.23</v>
      </c>
      <c r="W7" s="7">
        <v>8.93</v>
      </c>
      <c r="X7" s="7">
        <v>9.14</v>
      </c>
      <c r="Y7" s="7">
        <v>96</v>
      </c>
    </row>
    <row r="8" spans="1:25" x14ac:dyDescent="0.25">
      <c r="A8" s="7" t="s">
        <v>60</v>
      </c>
      <c r="B8" s="7" t="s">
        <v>61</v>
      </c>
      <c r="C8" s="7" t="s">
        <v>37</v>
      </c>
      <c r="D8" s="7" t="s">
        <v>187</v>
      </c>
      <c r="E8" s="7" t="s">
        <v>36</v>
      </c>
      <c r="F8" s="7"/>
      <c r="G8" s="7"/>
      <c r="H8" s="7"/>
      <c r="I8" s="7"/>
      <c r="J8" s="7"/>
      <c r="K8" s="7"/>
      <c r="L8" s="7" t="s">
        <v>188</v>
      </c>
      <c r="M8" s="7" t="s">
        <v>189</v>
      </c>
      <c r="N8" s="7" t="s">
        <v>188</v>
      </c>
      <c r="O8" s="7" t="s">
        <v>62</v>
      </c>
      <c r="P8" s="7" t="s">
        <v>60</v>
      </c>
      <c r="Q8" s="7" t="s">
        <v>63</v>
      </c>
      <c r="R8" s="7">
        <v>85.71</v>
      </c>
      <c r="S8" s="7">
        <v>62.5</v>
      </c>
      <c r="T8" s="7">
        <v>87.5</v>
      </c>
      <c r="U8" s="7">
        <v>44.12</v>
      </c>
      <c r="V8" s="7">
        <f t="shared" si="0"/>
        <v>69.957499999999996</v>
      </c>
      <c r="W8" s="7">
        <v>10</v>
      </c>
      <c r="X8" s="7">
        <v>4</v>
      </c>
      <c r="Y8" s="7">
        <v>95</v>
      </c>
    </row>
    <row r="9" spans="1:25" x14ac:dyDescent="0.25">
      <c r="A9" s="7" t="s">
        <v>64</v>
      </c>
      <c r="B9" s="7" t="s">
        <v>65</v>
      </c>
      <c r="C9" s="7" t="s">
        <v>37</v>
      </c>
      <c r="D9" s="7" t="s">
        <v>187</v>
      </c>
      <c r="E9" s="7" t="s">
        <v>36</v>
      </c>
      <c r="F9" s="7"/>
      <c r="G9" s="7"/>
      <c r="H9" s="7"/>
      <c r="I9" s="7"/>
      <c r="J9" s="7"/>
      <c r="K9" s="7"/>
      <c r="L9" s="7" t="s">
        <v>188</v>
      </c>
      <c r="M9" s="7" t="s">
        <v>189</v>
      </c>
      <c r="N9" s="7" t="s">
        <v>188</v>
      </c>
      <c r="O9" s="7" t="s">
        <v>66</v>
      </c>
      <c r="P9" s="7" t="s">
        <v>64</v>
      </c>
      <c r="Q9" s="7" t="s">
        <v>67</v>
      </c>
      <c r="R9" s="7">
        <v>85.71</v>
      </c>
      <c r="S9" s="7">
        <v>75</v>
      </c>
      <c r="T9" s="7">
        <v>100</v>
      </c>
      <c r="U9" s="7">
        <v>76.47</v>
      </c>
      <c r="V9" s="7">
        <f t="shared" si="0"/>
        <v>84.294999999999987</v>
      </c>
      <c r="W9" s="7">
        <v>8.57</v>
      </c>
      <c r="X9" s="7"/>
      <c r="Y9" s="7">
        <v>88.33</v>
      </c>
    </row>
    <row r="10" spans="1:25" ht="30" x14ac:dyDescent="0.25">
      <c r="A10" s="7" t="s">
        <v>68</v>
      </c>
      <c r="B10" s="7" t="s">
        <v>69</v>
      </c>
      <c r="C10" s="7" t="s">
        <v>37</v>
      </c>
      <c r="D10" s="7" t="s">
        <v>187</v>
      </c>
      <c r="E10" s="7" t="s">
        <v>36</v>
      </c>
      <c r="F10" s="7"/>
      <c r="G10" s="7"/>
      <c r="H10" s="7"/>
      <c r="I10" s="7"/>
      <c r="J10" s="7"/>
      <c r="K10" s="7"/>
      <c r="L10" s="7" t="s">
        <v>188</v>
      </c>
      <c r="M10" s="7" t="s">
        <v>189</v>
      </c>
      <c r="N10" s="7" t="s">
        <v>188</v>
      </c>
      <c r="O10" s="7" t="s">
        <v>70</v>
      </c>
      <c r="P10" s="7" t="s">
        <v>68</v>
      </c>
      <c r="Q10" s="7" t="s">
        <v>71</v>
      </c>
      <c r="R10" s="7">
        <v>71.430000000000007</v>
      </c>
      <c r="S10" s="7">
        <v>75</v>
      </c>
      <c r="T10" s="7">
        <v>81.25</v>
      </c>
      <c r="U10" s="7">
        <v>47.06</v>
      </c>
      <c r="V10" s="7">
        <f t="shared" si="0"/>
        <v>68.685000000000002</v>
      </c>
      <c r="W10" s="7">
        <v>8.2100000000000009</v>
      </c>
      <c r="X10" s="7">
        <v>8.0500000000000007</v>
      </c>
      <c r="Y10" s="7">
        <v>92</v>
      </c>
    </row>
    <row r="11" spans="1:25" ht="30" x14ac:dyDescent="0.25">
      <c r="A11" s="7" t="s">
        <v>72</v>
      </c>
      <c r="B11" s="7" t="s">
        <v>73</v>
      </c>
      <c r="C11" s="7" t="s">
        <v>37</v>
      </c>
      <c r="D11" s="7" t="s">
        <v>187</v>
      </c>
      <c r="E11" s="7" t="s">
        <v>36</v>
      </c>
      <c r="F11" s="7"/>
      <c r="G11" s="7"/>
      <c r="H11" s="7"/>
      <c r="I11" s="7"/>
      <c r="J11" s="7"/>
      <c r="K11" s="7"/>
      <c r="L11" s="7" t="s">
        <v>188</v>
      </c>
      <c r="M11" s="7" t="s">
        <v>189</v>
      </c>
      <c r="N11" s="7" t="s">
        <v>188</v>
      </c>
      <c r="O11" s="7" t="s">
        <v>74</v>
      </c>
      <c r="P11" s="7" t="s">
        <v>72</v>
      </c>
      <c r="Q11" s="7" t="s">
        <v>75</v>
      </c>
      <c r="R11" s="7">
        <v>85.71</v>
      </c>
      <c r="S11" s="7">
        <v>81.25</v>
      </c>
      <c r="T11" s="7">
        <v>100</v>
      </c>
      <c r="U11" s="7">
        <v>76.47</v>
      </c>
      <c r="V11" s="7">
        <f t="shared" si="0"/>
        <v>85.857499999999987</v>
      </c>
      <c r="W11" s="7">
        <v>9.2899999999999991</v>
      </c>
      <c r="X11" s="7">
        <v>9.73</v>
      </c>
      <c r="Y11" s="7">
        <v>99</v>
      </c>
    </row>
    <row r="12" spans="1:25" x14ac:dyDescent="0.25">
      <c r="A12" s="7" t="s">
        <v>76</v>
      </c>
      <c r="B12" s="7" t="s">
        <v>77</v>
      </c>
      <c r="C12" s="7" t="s">
        <v>37</v>
      </c>
      <c r="D12" s="7" t="s">
        <v>187</v>
      </c>
      <c r="E12" s="7" t="s">
        <v>36</v>
      </c>
      <c r="F12" s="7"/>
      <c r="G12" s="7"/>
      <c r="H12" s="7"/>
      <c r="I12" s="7"/>
      <c r="J12" s="7"/>
      <c r="K12" s="7"/>
      <c r="L12" s="7" t="s">
        <v>188</v>
      </c>
      <c r="M12" s="7" t="s">
        <v>189</v>
      </c>
      <c r="N12" s="7" t="s">
        <v>188</v>
      </c>
      <c r="O12" s="7" t="s">
        <v>78</v>
      </c>
      <c r="P12" s="7" t="s">
        <v>76</v>
      </c>
      <c r="Q12" s="7" t="s">
        <v>79</v>
      </c>
      <c r="R12" s="7">
        <v>85.71</v>
      </c>
      <c r="S12" s="7">
        <v>87.5</v>
      </c>
      <c r="T12" s="7">
        <v>100</v>
      </c>
      <c r="U12" s="7">
        <v>67.650000000000006</v>
      </c>
      <c r="V12" s="7">
        <f t="shared" si="0"/>
        <v>85.215000000000003</v>
      </c>
      <c r="W12" s="7">
        <v>9.2899999999999991</v>
      </c>
      <c r="X12" s="7">
        <v>7.18</v>
      </c>
      <c r="Y12" s="7">
        <v>97</v>
      </c>
    </row>
    <row r="13" spans="1:25" x14ac:dyDescent="0.25">
      <c r="A13" s="7" t="s">
        <v>80</v>
      </c>
      <c r="B13" s="7" t="s">
        <v>81</v>
      </c>
      <c r="C13" s="7" t="s">
        <v>37</v>
      </c>
      <c r="D13" s="7" t="s">
        <v>187</v>
      </c>
      <c r="E13" s="7" t="s">
        <v>36</v>
      </c>
      <c r="F13" s="7"/>
      <c r="G13" s="7"/>
      <c r="H13" s="7"/>
      <c r="I13" s="7"/>
      <c r="J13" s="7"/>
      <c r="K13" s="7"/>
      <c r="L13" s="7" t="s">
        <v>188</v>
      </c>
      <c r="M13" s="7" t="s">
        <v>189</v>
      </c>
      <c r="N13" s="7" t="s">
        <v>188</v>
      </c>
      <c r="O13" s="7" t="s">
        <v>82</v>
      </c>
      <c r="P13" s="7" t="s">
        <v>80</v>
      </c>
      <c r="Q13" s="7" t="s">
        <v>83</v>
      </c>
      <c r="R13" s="7">
        <v>57.14</v>
      </c>
      <c r="S13" s="7">
        <v>87.5</v>
      </c>
      <c r="T13" s="7">
        <v>100</v>
      </c>
      <c r="U13" s="7">
        <v>61.76</v>
      </c>
      <c r="V13" s="7">
        <f t="shared" si="0"/>
        <v>76.599999999999994</v>
      </c>
      <c r="W13" s="7">
        <v>9.2899999999999991</v>
      </c>
      <c r="X13" s="7"/>
      <c r="Y13" s="7">
        <v>97</v>
      </c>
    </row>
    <row r="14" spans="1:25" ht="30" x14ac:dyDescent="0.25">
      <c r="A14" s="7" t="s">
        <v>84</v>
      </c>
      <c r="B14" s="7" t="s">
        <v>85</v>
      </c>
      <c r="C14" s="7" t="s">
        <v>37</v>
      </c>
      <c r="D14" s="7" t="s">
        <v>187</v>
      </c>
      <c r="E14" s="7" t="s">
        <v>36</v>
      </c>
      <c r="F14" s="7"/>
      <c r="G14" s="7"/>
      <c r="H14" s="7"/>
      <c r="I14" s="7"/>
      <c r="J14" s="7"/>
      <c r="K14" s="7"/>
      <c r="L14" s="7" t="s">
        <v>188</v>
      </c>
      <c r="M14" s="7" t="s">
        <v>189</v>
      </c>
      <c r="N14" s="7" t="s">
        <v>188</v>
      </c>
      <c r="O14" s="7" t="s">
        <v>86</v>
      </c>
      <c r="P14" s="7" t="s">
        <v>84</v>
      </c>
      <c r="Q14" s="7" t="s">
        <v>87</v>
      </c>
      <c r="R14" s="7">
        <v>71.430000000000007</v>
      </c>
      <c r="S14" s="7">
        <v>81.25</v>
      </c>
      <c r="T14" s="7">
        <v>93.75</v>
      </c>
      <c r="U14" s="7">
        <v>38.24</v>
      </c>
      <c r="V14" s="7">
        <f t="shared" si="0"/>
        <v>71.167500000000004</v>
      </c>
      <c r="W14" s="7">
        <v>7.86</v>
      </c>
      <c r="X14" s="7">
        <v>6.84</v>
      </c>
      <c r="Y14" s="7">
        <v>96</v>
      </c>
    </row>
    <row r="15" spans="1:25" x14ac:dyDescent="0.25">
      <c r="A15" s="7" t="s">
        <v>88</v>
      </c>
      <c r="B15" s="7" t="s">
        <v>89</v>
      </c>
      <c r="C15" s="7" t="s">
        <v>37</v>
      </c>
      <c r="D15" s="7" t="s">
        <v>187</v>
      </c>
      <c r="E15" s="7" t="s">
        <v>36</v>
      </c>
      <c r="F15" s="7"/>
      <c r="G15" s="7"/>
      <c r="H15" s="7"/>
      <c r="I15" s="7"/>
      <c r="J15" s="7"/>
      <c r="K15" s="7"/>
      <c r="L15" s="7" t="s">
        <v>188</v>
      </c>
      <c r="M15" s="7" t="s">
        <v>189</v>
      </c>
      <c r="N15" s="7" t="s">
        <v>188</v>
      </c>
      <c r="O15" s="7" t="s">
        <v>90</v>
      </c>
      <c r="P15" s="7" t="s">
        <v>88</v>
      </c>
      <c r="Q15" s="7" t="s">
        <v>91</v>
      </c>
      <c r="R15" s="7">
        <v>57.14</v>
      </c>
      <c r="S15" s="7">
        <v>81.25</v>
      </c>
      <c r="T15" s="7">
        <v>93.75</v>
      </c>
      <c r="U15" s="7">
        <v>55.88</v>
      </c>
      <c r="V15" s="7">
        <f t="shared" si="0"/>
        <v>72.004999999999995</v>
      </c>
      <c r="W15" s="7">
        <v>8.2100000000000009</v>
      </c>
      <c r="X15" s="7">
        <v>9.64</v>
      </c>
      <c r="Y15" s="7">
        <v>94.33</v>
      </c>
    </row>
    <row r="16" spans="1:25" x14ac:dyDescent="0.25">
      <c r="A16" s="7" t="s">
        <v>92</v>
      </c>
      <c r="B16" s="7" t="s">
        <v>93</v>
      </c>
      <c r="C16" s="7" t="s">
        <v>37</v>
      </c>
      <c r="D16" s="7" t="s">
        <v>187</v>
      </c>
      <c r="E16" s="7" t="s">
        <v>36</v>
      </c>
      <c r="F16" s="7"/>
      <c r="G16" s="7"/>
      <c r="H16" s="7"/>
      <c r="I16" s="7"/>
      <c r="J16" s="7"/>
      <c r="K16" s="7"/>
      <c r="L16" s="7" t="s">
        <v>188</v>
      </c>
      <c r="M16" s="7" t="s">
        <v>189</v>
      </c>
      <c r="N16" s="7" t="s">
        <v>188</v>
      </c>
      <c r="O16" s="7" t="s">
        <v>94</v>
      </c>
      <c r="P16" s="7" t="s">
        <v>92</v>
      </c>
      <c r="Q16" s="7" t="s">
        <v>95</v>
      </c>
      <c r="R16" s="7">
        <v>71.430000000000007</v>
      </c>
      <c r="S16" s="7">
        <v>87.5</v>
      </c>
      <c r="T16" s="7">
        <v>87.5</v>
      </c>
      <c r="U16" s="7">
        <v>58.82</v>
      </c>
      <c r="V16" s="7">
        <f t="shared" si="0"/>
        <v>76.3125</v>
      </c>
      <c r="W16" s="7">
        <v>8.93</v>
      </c>
      <c r="X16" s="7"/>
      <c r="Y16" s="7">
        <v>93.33</v>
      </c>
    </row>
    <row r="17" spans="1:25" ht="30" x14ac:dyDescent="0.25">
      <c r="A17" s="7" t="s">
        <v>96</v>
      </c>
      <c r="B17" s="7" t="s">
        <v>97</v>
      </c>
      <c r="C17" s="7" t="s">
        <v>37</v>
      </c>
      <c r="D17" s="7" t="s">
        <v>187</v>
      </c>
      <c r="E17" s="7" t="s">
        <v>36</v>
      </c>
      <c r="F17" s="7"/>
      <c r="G17" s="7"/>
      <c r="H17" s="7"/>
      <c r="I17" s="7"/>
      <c r="J17" s="7"/>
      <c r="K17" s="7"/>
      <c r="L17" s="7" t="s">
        <v>188</v>
      </c>
      <c r="M17" s="7" t="s">
        <v>189</v>
      </c>
      <c r="N17" s="7" t="s">
        <v>188</v>
      </c>
      <c r="O17" s="7" t="s">
        <v>98</v>
      </c>
      <c r="P17" s="7" t="s">
        <v>96</v>
      </c>
      <c r="Q17" s="7" t="s">
        <v>99</v>
      </c>
      <c r="R17" s="7">
        <v>71.430000000000007</v>
      </c>
      <c r="S17" s="7">
        <v>87.5</v>
      </c>
      <c r="T17" s="7">
        <v>100</v>
      </c>
      <c r="U17" s="7">
        <v>76.47</v>
      </c>
      <c r="V17" s="7">
        <f t="shared" si="0"/>
        <v>83.85</v>
      </c>
      <c r="W17" s="7">
        <v>8.93</v>
      </c>
      <c r="X17" s="7">
        <v>6.41</v>
      </c>
      <c r="Y17" s="7">
        <v>97.33</v>
      </c>
    </row>
    <row r="18" spans="1:25" x14ac:dyDescent="0.25">
      <c r="A18" s="7" t="s">
        <v>100</v>
      </c>
      <c r="B18" s="7" t="s">
        <v>101</v>
      </c>
      <c r="C18" s="7" t="s">
        <v>37</v>
      </c>
      <c r="D18" s="7" t="s">
        <v>187</v>
      </c>
      <c r="E18" s="7" t="s">
        <v>36</v>
      </c>
      <c r="F18" s="7"/>
      <c r="G18" s="7"/>
      <c r="H18" s="7"/>
      <c r="I18" s="7"/>
      <c r="J18" s="7"/>
      <c r="K18" s="7"/>
      <c r="L18" s="7" t="s">
        <v>188</v>
      </c>
      <c r="M18" s="7" t="s">
        <v>189</v>
      </c>
      <c r="N18" s="7" t="s">
        <v>188</v>
      </c>
      <c r="O18" s="7" t="s">
        <v>102</v>
      </c>
      <c r="P18" s="7" t="s">
        <v>100</v>
      </c>
      <c r="Q18" s="7" t="s">
        <v>103</v>
      </c>
      <c r="R18" s="7">
        <v>71.430000000000007</v>
      </c>
      <c r="S18" s="7">
        <v>81.25</v>
      </c>
      <c r="T18" s="7">
        <v>81.25</v>
      </c>
      <c r="U18" s="7">
        <v>79.41</v>
      </c>
      <c r="V18" s="7">
        <f t="shared" si="0"/>
        <v>78.335000000000008</v>
      </c>
      <c r="W18" s="7">
        <v>8.57</v>
      </c>
      <c r="X18" s="7">
        <v>8.09</v>
      </c>
      <c r="Y18" s="7">
        <v>86</v>
      </c>
    </row>
    <row r="19" spans="1:25" x14ac:dyDescent="0.25">
      <c r="A19" s="7" t="s">
        <v>104</v>
      </c>
      <c r="B19" s="7" t="s">
        <v>105</v>
      </c>
      <c r="C19" s="7" t="s">
        <v>37</v>
      </c>
      <c r="D19" s="7" t="s">
        <v>187</v>
      </c>
      <c r="E19" s="7" t="s">
        <v>36</v>
      </c>
      <c r="F19" s="7"/>
      <c r="G19" s="7"/>
      <c r="H19" s="7"/>
      <c r="I19" s="7"/>
      <c r="J19" s="7"/>
      <c r="K19" s="7"/>
      <c r="L19" s="7" t="s">
        <v>188</v>
      </c>
      <c r="M19" s="7" t="s">
        <v>189</v>
      </c>
      <c r="N19" s="7" t="s">
        <v>188</v>
      </c>
      <c r="O19" s="7" t="s">
        <v>106</v>
      </c>
      <c r="P19" s="7" t="s">
        <v>104</v>
      </c>
      <c r="Q19" s="7" t="s">
        <v>107</v>
      </c>
      <c r="R19" s="7">
        <v>57.14</v>
      </c>
      <c r="S19" s="7">
        <v>87.5</v>
      </c>
      <c r="T19" s="7">
        <v>93.75</v>
      </c>
      <c r="U19" s="7">
        <v>73.53</v>
      </c>
      <c r="V19" s="7">
        <f t="shared" si="0"/>
        <v>77.97999999999999</v>
      </c>
      <c r="W19" s="7">
        <v>7.86</v>
      </c>
      <c r="X19" s="7">
        <v>0.18</v>
      </c>
      <c r="Y19" s="7">
        <v>76</v>
      </c>
    </row>
    <row r="20" spans="1:25" x14ac:dyDescent="0.25">
      <c r="A20" s="7" t="s">
        <v>108</v>
      </c>
      <c r="B20" s="7" t="s">
        <v>109</v>
      </c>
      <c r="C20" s="7" t="s">
        <v>37</v>
      </c>
      <c r="D20" s="7" t="s">
        <v>187</v>
      </c>
      <c r="E20" s="7" t="s">
        <v>36</v>
      </c>
      <c r="F20" s="7"/>
      <c r="G20" s="7"/>
      <c r="H20" s="7"/>
      <c r="I20" s="7"/>
      <c r="J20" s="7"/>
      <c r="K20" s="7"/>
      <c r="L20" s="7" t="s">
        <v>188</v>
      </c>
      <c r="M20" s="7" t="s">
        <v>189</v>
      </c>
      <c r="N20" s="7" t="s">
        <v>188</v>
      </c>
      <c r="O20" s="7" t="s">
        <v>110</v>
      </c>
      <c r="P20" s="7" t="s">
        <v>108</v>
      </c>
      <c r="Q20" s="7" t="s">
        <v>111</v>
      </c>
      <c r="R20" s="7">
        <v>85.71</v>
      </c>
      <c r="S20" s="7">
        <v>87.5</v>
      </c>
      <c r="T20" s="7">
        <v>93.75</v>
      </c>
      <c r="U20" s="7">
        <v>85.29</v>
      </c>
      <c r="V20" s="7">
        <f t="shared" si="0"/>
        <v>88.0625</v>
      </c>
      <c r="W20" s="7">
        <v>8.2100000000000009</v>
      </c>
      <c r="X20" s="7"/>
      <c r="Y20" s="7">
        <v>95</v>
      </c>
    </row>
    <row r="21" spans="1:25" ht="30" x14ac:dyDescent="0.25">
      <c r="A21" s="7" t="s">
        <v>112</v>
      </c>
      <c r="B21" s="7" t="s">
        <v>113</v>
      </c>
      <c r="C21" s="7" t="s">
        <v>37</v>
      </c>
      <c r="D21" s="7" t="s">
        <v>187</v>
      </c>
      <c r="E21" s="7" t="s">
        <v>36</v>
      </c>
      <c r="F21" s="7"/>
      <c r="G21" s="7"/>
      <c r="H21" s="7"/>
      <c r="I21" s="7"/>
      <c r="J21" s="7"/>
      <c r="K21" s="7"/>
      <c r="L21" s="7" t="s">
        <v>188</v>
      </c>
      <c r="M21" s="7" t="s">
        <v>189</v>
      </c>
      <c r="N21" s="7" t="s">
        <v>188</v>
      </c>
      <c r="O21" s="7" t="s">
        <v>114</v>
      </c>
      <c r="P21" s="7" t="s">
        <v>112</v>
      </c>
      <c r="Q21" s="7" t="s">
        <v>115</v>
      </c>
      <c r="R21" s="7">
        <v>71.430000000000007</v>
      </c>
      <c r="S21" s="7">
        <v>87.5</v>
      </c>
      <c r="T21" s="7">
        <v>93.75</v>
      </c>
      <c r="U21" s="7">
        <v>50</v>
      </c>
      <c r="V21" s="7">
        <f t="shared" si="0"/>
        <v>75.67</v>
      </c>
      <c r="W21" s="7">
        <v>8.93</v>
      </c>
      <c r="X21" s="7">
        <v>9.18</v>
      </c>
      <c r="Y21" s="7">
        <v>92</v>
      </c>
    </row>
    <row r="22" spans="1:25" x14ac:dyDescent="0.25">
      <c r="A22" s="7" t="s">
        <v>116</v>
      </c>
      <c r="B22" s="7" t="s">
        <v>117</v>
      </c>
      <c r="C22" s="7" t="s">
        <v>37</v>
      </c>
      <c r="D22" s="7" t="s">
        <v>187</v>
      </c>
      <c r="E22" s="7" t="s">
        <v>36</v>
      </c>
      <c r="F22" s="7"/>
      <c r="G22" s="7"/>
      <c r="H22" s="7"/>
      <c r="I22" s="7"/>
      <c r="J22" s="7"/>
      <c r="K22" s="7"/>
      <c r="L22" s="7" t="s">
        <v>188</v>
      </c>
      <c r="M22" s="7" t="s">
        <v>189</v>
      </c>
      <c r="N22" s="7" t="s">
        <v>188</v>
      </c>
      <c r="O22" s="7" t="s">
        <v>118</v>
      </c>
      <c r="P22" s="7" t="s">
        <v>116</v>
      </c>
      <c r="Q22" s="7" t="s">
        <v>119</v>
      </c>
      <c r="R22" s="7">
        <v>71.430000000000007</v>
      </c>
      <c r="S22" s="7">
        <v>68.75</v>
      </c>
      <c r="T22" s="7">
        <v>81.25</v>
      </c>
      <c r="U22" s="7">
        <v>44.12</v>
      </c>
      <c r="V22" s="7">
        <f t="shared" si="0"/>
        <v>66.387500000000003</v>
      </c>
      <c r="W22" s="7">
        <v>8.93</v>
      </c>
      <c r="X22" s="7"/>
      <c r="Y22" s="7">
        <v>95</v>
      </c>
    </row>
    <row r="23" spans="1:25" x14ac:dyDescent="0.25">
      <c r="A23" s="7" t="s">
        <v>120</v>
      </c>
      <c r="B23" s="7" t="s">
        <v>121</v>
      </c>
      <c r="C23" s="7" t="s">
        <v>37</v>
      </c>
      <c r="D23" s="7" t="s">
        <v>187</v>
      </c>
      <c r="E23" s="7" t="s">
        <v>36</v>
      </c>
      <c r="F23" s="7"/>
      <c r="G23" s="7"/>
      <c r="H23" s="7"/>
      <c r="I23" s="7"/>
      <c r="J23" s="7"/>
      <c r="K23" s="7"/>
      <c r="L23" s="7" t="s">
        <v>188</v>
      </c>
      <c r="M23" s="7" t="s">
        <v>189</v>
      </c>
      <c r="N23" s="7" t="s">
        <v>188</v>
      </c>
      <c r="O23" s="7" t="s">
        <v>122</v>
      </c>
      <c r="P23" s="7" t="s">
        <v>120</v>
      </c>
      <c r="Q23" s="7" t="s">
        <v>123</v>
      </c>
      <c r="R23" s="7">
        <v>71.430000000000007</v>
      </c>
      <c r="S23" s="7">
        <v>93.75</v>
      </c>
      <c r="T23" s="7">
        <v>100</v>
      </c>
      <c r="U23" s="7">
        <v>79.41</v>
      </c>
      <c r="V23" s="7">
        <f t="shared" si="0"/>
        <v>86.147500000000008</v>
      </c>
      <c r="W23" s="7">
        <v>9.2899999999999991</v>
      </c>
      <c r="X23" s="7">
        <v>5.36</v>
      </c>
      <c r="Y23" s="7">
        <v>94</v>
      </c>
    </row>
    <row r="24" spans="1:25" x14ac:dyDescent="0.25">
      <c r="A24" s="7" t="s">
        <v>124</v>
      </c>
      <c r="B24" s="7" t="s">
        <v>125</v>
      </c>
      <c r="C24" s="7" t="s">
        <v>37</v>
      </c>
      <c r="D24" s="7" t="s">
        <v>187</v>
      </c>
      <c r="E24" s="7" t="s">
        <v>36</v>
      </c>
      <c r="F24" s="7"/>
      <c r="G24" s="7"/>
      <c r="H24" s="7"/>
      <c r="I24" s="7"/>
      <c r="J24" s="7"/>
      <c r="K24" s="7"/>
      <c r="L24" s="7" t="s">
        <v>188</v>
      </c>
      <c r="M24" s="7" t="s">
        <v>189</v>
      </c>
      <c r="N24" s="7" t="s">
        <v>188</v>
      </c>
      <c r="O24" s="7" t="s">
        <v>126</v>
      </c>
      <c r="P24" s="7" t="s">
        <v>124</v>
      </c>
      <c r="Q24" s="7" t="s">
        <v>127</v>
      </c>
      <c r="R24" s="7">
        <v>100</v>
      </c>
      <c r="S24" s="7">
        <v>68.75</v>
      </c>
      <c r="T24" s="7">
        <v>93.75</v>
      </c>
      <c r="U24" s="7">
        <v>58.82</v>
      </c>
      <c r="V24" s="7">
        <f t="shared" si="0"/>
        <v>80.33</v>
      </c>
      <c r="W24" s="7">
        <v>8.93</v>
      </c>
      <c r="X24" s="7"/>
      <c r="Y24" s="7">
        <v>78.33</v>
      </c>
    </row>
    <row r="25" spans="1:25" ht="30" x14ac:dyDescent="0.25">
      <c r="A25" s="7" t="s">
        <v>128</v>
      </c>
      <c r="B25" s="7" t="s">
        <v>129</v>
      </c>
      <c r="C25" s="7" t="s">
        <v>37</v>
      </c>
      <c r="D25" s="7" t="s">
        <v>187</v>
      </c>
      <c r="E25" s="7" t="s">
        <v>36</v>
      </c>
      <c r="F25" s="7"/>
      <c r="G25" s="7"/>
      <c r="H25" s="7"/>
      <c r="I25" s="7"/>
      <c r="J25" s="7"/>
      <c r="K25" s="7"/>
      <c r="L25" s="7" t="s">
        <v>188</v>
      </c>
      <c r="M25" s="7" t="s">
        <v>189</v>
      </c>
      <c r="N25" s="7" t="s">
        <v>188</v>
      </c>
      <c r="O25" s="7" t="s">
        <v>130</v>
      </c>
      <c r="P25" s="7" t="s">
        <v>128</v>
      </c>
      <c r="Q25" s="7" t="s">
        <v>131</v>
      </c>
      <c r="R25" s="7">
        <v>85.71</v>
      </c>
      <c r="S25" s="7">
        <v>87.5</v>
      </c>
      <c r="T25" s="7">
        <v>93.75</v>
      </c>
      <c r="U25" s="7">
        <v>67.650000000000006</v>
      </c>
      <c r="V25" s="7">
        <f t="shared" si="0"/>
        <v>83.652500000000003</v>
      </c>
      <c r="W25" s="7">
        <v>9.2899999999999991</v>
      </c>
      <c r="X25" s="7">
        <v>9.09</v>
      </c>
      <c r="Y25" s="7">
        <v>96</v>
      </c>
    </row>
    <row r="26" spans="1:25" ht="30" x14ac:dyDescent="0.25">
      <c r="A26" s="7" t="s">
        <v>132</v>
      </c>
      <c r="B26" s="7" t="s">
        <v>133</v>
      </c>
      <c r="C26" s="7" t="s">
        <v>37</v>
      </c>
      <c r="D26" s="7" t="s">
        <v>187</v>
      </c>
      <c r="E26" s="7" t="s">
        <v>36</v>
      </c>
      <c r="F26" s="7"/>
      <c r="G26" s="7"/>
      <c r="H26" s="7"/>
      <c r="I26" s="7"/>
      <c r="J26" s="7"/>
      <c r="K26" s="7"/>
      <c r="L26" s="7" t="s">
        <v>188</v>
      </c>
      <c r="M26" s="7" t="s">
        <v>189</v>
      </c>
      <c r="N26" s="7" t="s">
        <v>188</v>
      </c>
      <c r="O26" s="7" t="s">
        <v>134</v>
      </c>
      <c r="P26" s="7" t="s">
        <v>132</v>
      </c>
      <c r="Q26" s="7" t="s">
        <v>135</v>
      </c>
      <c r="R26" s="7">
        <v>71.430000000000007</v>
      </c>
      <c r="S26" s="7">
        <v>81.25</v>
      </c>
      <c r="T26" s="7">
        <v>87.5</v>
      </c>
      <c r="U26" s="7">
        <v>58.82</v>
      </c>
      <c r="V26" s="7">
        <f t="shared" si="0"/>
        <v>74.75</v>
      </c>
      <c r="W26" s="7">
        <v>10</v>
      </c>
      <c r="X26" s="7">
        <v>9.35</v>
      </c>
      <c r="Y26" s="7">
        <v>86.33</v>
      </c>
    </row>
    <row r="27" spans="1:25" x14ac:dyDescent="0.25">
      <c r="A27" s="7" t="s">
        <v>136</v>
      </c>
      <c r="B27" s="7" t="s">
        <v>137</v>
      </c>
      <c r="C27" s="7" t="s">
        <v>37</v>
      </c>
      <c r="D27" s="7" t="s">
        <v>187</v>
      </c>
      <c r="E27" s="7" t="s">
        <v>36</v>
      </c>
      <c r="F27" s="7"/>
      <c r="G27" s="7"/>
      <c r="H27" s="7"/>
      <c r="I27" s="7"/>
      <c r="J27" s="7"/>
      <c r="K27" s="7"/>
      <c r="L27" s="7" t="s">
        <v>188</v>
      </c>
      <c r="M27" s="7" t="s">
        <v>189</v>
      </c>
      <c r="N27" s="7" t="s">
        <v>188</v>
      </c>
      <c r="O27" s="7" t="s">
        <v>137</v>
      </c>
      <c r="P27" s="7" t="s">
        <v>136</v>
      </c>
      <c r="Q27" s="7" t="s">
        <v>138</v>
      </c>
      <c r="R27" s="7">
        <v>71.430000000000007</v>
      </c>
      <c r="S27" s="7">
        <v>87.5</v>
      </c>
      <c r="T27" s="7">
        <v>100</v>
      </c>
      <c r="U27" s="7">
        <v>67.650000000000006</v>
      </c>
      <c r="V27" s="7">
        <f t="shared" si="0"/>
        <v>81.64500000000001</v>
      </c>
      <c r="W27" s="7">
        <v>10</v>
      </c>
      <c r="X27" s="7"/>
      <c r="Y27" s="7">
        <v>80</v>
      </c>
    </row>
    <row r="28" spans="1:25" x14ac:dyDescent="0.25">
      <c r="A28" s="7" t="s">
        <v>139</v>
      </c>
      <c r="B28" s="7" t="s">
        <v>140</v>
      </c>
      <c r="C28" s="7" t="s">
        <v>37</v>
      </c>
      <c r="D28" s="7" t="s">
        <v>187</v>
      </c>
      <c r="E28" s="7" t="s">
        <v>36</v>
      </c>
      <c r="F28" s="7"/>
      <c r="G28" s="7"/>
      <c r="H28" s="7"/>
      <c r="I28" s="7"/>
      <c r="J28" s="7"/>
      <c r="K28" s="7"/>
      <c r="L28" s="7" t="s">
        <v>188</v>
      </c>
      <c r="M28" s="7" t="s">
        <v>189</v>
      </c>
      <c r="N28" s="7" t="s">
        <v>188</v>
      </c>
      <c r="O28" s="7" t="s">
        <v>141</v>
      </c>
      <c r="P28" s="7" t="s">
        <v>139</v>
      </c>
      <c r="Q28" s="7" t="s">
        <v>142</v>
      </c>
      <c r="R28" s="7">
        <v>71.430000000000007</v>
      </c>
      <c r="S28" s="7"/>
      <c r="T28" s="7"/>
      <c r="U28" s="7">
        <v>41.18</v>
      </c>
      <c r="V28" s="7">
        <f t="shared" si="0"/>
        <v>28.152500000000003</v>
      </c>
      <c r="W28" s="7">
        <v>9.64</v>
      </c>
      <c r="X28" s="7">
        <v>0.91</v>
      </c>
      <c r="Y28" s="7">
        <v>51</v>
      </c>
    </row>
    <row r="29" spans="1:25" x14ac:dyDescent="0.25">
      <c r="A29" s="7" t="s">
        <v>143</v>
      </c>
      <c r="B29" s="7" t="s">
        <v>144</v>
      </c>
      <c r="C29" s="7" t="s">
        <v>37</v>
      </c>
      <c r="D29" s="7" t="s">
        <v>187</v>
      </c>
      <c r="E29" s="7" t="s">
        <v>36</v>
      </c>
      <c r="F29" s="7"/>
      <c r="G29" s="7"/>
      <c r="H29" s="7"/>
      <c r="I29" s="7"/>
      <c r="J29" s="7"/>
      <c r="K29" s="7"/>
      <c r="L29" s="7" t="s">
        <v>188</v>
      </c>
      <c r="M29" s="7" t="s">
        <v>189</v>
      </c>
      <c r="N29" s="7" t="s">
        <v>188</v>
      </c>
      <c r="O29" s="7" t="s">
        <v>145</v>
      </c>
      <c r="P29" s="7" t="s">
        <v>143</v>
      </c>
      <c r="Q29" s="7" t="s">
        <v>146</v>
      </c>
      <c r="R29" s="7">
        <v>71.430000000000007</v>
      </c>
      <c r="S29" s="7">
        <v>81.25</v>
      </c>
      <c r="T29" s="7">
        <v>87.5</v>
      </c>
      <c r="U29" s="7">
        <v>55.88</v>
      </c>
      <c r="V29" s="7">
        <f t="shared" si="0"/>
        <v>74.015000000000001</v>
      </c>
      <c r="W29" s="7"/>
      <c r="X29" s="7"/>
      <c r="Y29" s="7">
        <v>74.25</v>
      </c>
    </row>
    <row r="30" spans="1:25" ht="30" x14ac:dyDescent="0.25">
      <c r="A30" s="7" t="s">
        <v>147</v>
      </c>
      <c r="B30" s="7" t="s">
        <v>148</v>
      </c>
      <c r="C30" s="7" t="s">
        <v>37</v>
      </c>
      <c r="D30" s="7" t="s">
        <v>187</v>
      </c>
      <c r="E30" s="7" t="s">
        <v>36</v>
      </c>
      <c r="F30" s="7"/>
      <c r="G30" s="7"/>
      <c r="H30" s="7"/>
      <c r="I30" s="7"/>
      <c r="J30" s="7"/>
      <c r="K30" s="7"/>
      <c r="L30" s="7" t="s">
        <v>188</v>
      </c>
      <c r="M30" s="7" t="s">
        <v>189</v>
      </c>
      <c r="N30" s="7" t="s">
        <v>188</v>
      </c>
      <c r="O30" s="7" t="s">
        <v>149</v>
      </c>
      <c r="P30" s="7" t="s">
        <v>147</v>
      </c>
      <c r="Q30" s="7" t="s">
        <v>150</v>
      </c>
      <c r="R30" s="7">
        <v>85.71</v>
      </c>
      <c r="S30" s="7">
        <v>81.25</v>
      </c>
      <c r="T30" s="7">
        <v>93.75</v>
      </c>
      <c r="U30" s="7">
        <v>50</v>
      </c>
      <c r="V30" s="7">
        <f t="shared" si="0"/>
        <v>77.677499999999995</v>
      </c>
      <c r="W30" s="7">
        <v>9.2899999999999991</v>
      </c>
      <c r="X30" s="7">
        <v>8.1999999999999993</v>
      </c>
      <c r="Y30" s="7">
        <v>56</v>
      </c>
    </row>
    <row r="31" spans="1:25" ht="30" x14ac:dyDescent="0.25">
      <c r="A31" s="7" t="s">
        <v>151</v>
      </c>
      <c r="B31" s="7" t="s">
        <v>152</v>
      </c>
      <c r="C31" s="7" t="s">
        <v>37</v>
      </c>
      <c r="D31" s="7" t="s">
        <v>187</v>
      </c>
      <c r="E31" s="7" t="s">
        <v>36</v>
      </c>
      <c r="F31" s="7"/>
      <c r="G31" s="7"/>
      <c r="H31" s="7"/>
      <c r="I31" s="7"/>
      <c r="J31" s="7"/>
      <c r="K31" s="7"/>
      <c r="L31" s="7" t="s">
        <v>188</v>
      </c>
      <c r="M31" s="7" t="s">
        <v>189</v>
      </c>
      <c r="N31" s="7" t="s">
        <v>188</v>
      </c>
      <c r="O31" s="7" t="s">
        <v>153</v>
      </c>
      <c r="P31" s="7" t="s">
        <v>151</v>
      </c>
      <c r="Q31" s="7" t="s">
        <v>154</v>
      </c>
      <c r="R31" s="7">
        <v>42.86</v>
      </c>
      <c r="S31" s="7">
        <v>81.25</v>
      </c>
      <c r="T31" s="7">
        <v>100</v>
      </c>
      <c r="U31" s="7">
        <v>52.94</v>
      </c>
      <c r="V31" s="7">
        <f t="shared" si="0"/>
        <v>69.262500000000003</v>
      </c>
      <c r="W31" s="7">
        <v>7.86</v>
      </c>
      <c r="X31" s="7">
        <v>3.55</v>
      </c>
      <c r="Y31" s="7">
        <v>92</v>
      </c>
    </row>
    <row r="32" spans="1:25" ht="30" x14ac:dyDescent="0.25">
      <c r="A32" s="7" t="s">
        <v>155</v>
      </c>
      <c r="B32" s="7" t="s">
        <v>156</v>
      </c>
      <c r="C32" s="7" t="s">
        <v>37</v>
      </c>
      <c r="D32" s="7" t="s">
        <v>187</v>
      </c>
      <c r="E32" s="7" t="s">
        <v>36</v>
      </c>
      <c r="F32" s="7"/>
      <c r="G32" s="7"/>
      <c r="H32" s="7"/>
      <c r="I32" s="7"/>
      <c r="J32" s="7"/>
      <c r="K32" s="7"/>
      <c r="L32" s="7" t="s">
        <v>188</v>
      </c>
      <c r="M32" s="7" t="s">
        <v>189</v>
      </c>
      <c r="N32" s="7" t="s">
        <v>188</v>
      </c>
      <c r="O32" s="7" t="s">
        <v>157</v>
      </c>
      <c r="P32" s="7" t="s">
        <v>155</v>
      </c>
      <c r="Q32" s="7" t="s">
        <v>158</v>
      </c>
      <c r="R32" s="7">
        <v>71.430000000000007</v>
      </c>
      <c r="S32" s="7">
        <v>81.25</v>
      </c>
      <c r="T32" s="7">
        <v>100</v>
      </c>
      <c r="U32" s="7">
        <v>67.650000000000006</v>
      </c>
      <c r="V32" s="7">
        <f t="shared" si="0"/>
        <v>80.08250000000001</v>
      </c>
      <c r="W32" s="7">
        <v>9.2899999999999991</v>
      </c>
      <c r="X32" s="7">
        <v>9.52</v>
      </c>
      <c r="Y32" s="7">
        <v>99</v>
      </c>
    </row>
    <row r="33" spans="1:25" ht="30" x14ac:dyDescent="0.25">
      <c r="A33" s="7" t="s">
        <v>159</v>
      </c>
      <c r="B33" s="7" t="s">
        <v>160</v>
      </c>
      <c r="C33" s="7" t="s">
        <v>37</v>
      </c>
      <c r="D33" s="7" t="s">
        <v>187</v>
      </c>
      <c r="E33" s="7" t="s">
        <v>36</v>
      </c>
      <c r="F33" s="7"/>
      <c r="G33" s="7"/>
      <c r="H33" s="7"/>
      <c r="I33" s="7"/>
      <c r="J33" s="7"/>
      <c r="K33" s="7"/>
      <c r="L33" s="7" t="s">
        <v>188</v>
      </c>
      <c r="M33" s="7" t="s">
        <v>189</v>
      </c>
      <c r="N33" s="7" t="s">
        <v>188</v>
      </c>
      <c r="O33" s="7" t="s">
        <v>161</v>
      </c>
      <c r="P33" s="7" t="s">
        <v>159</v>
      </c>
      <c r="Q33" s="7" t="s">
        <v>162</v>
      </c>
      <c r="R33" s="7">
        <v>57.14</v>
      </c>
      <c r="S33" s="7">
        <v>81.25</v>
      </c>
      <c r="T33" s="7">
        <v>100</v>
      </c>
      <c r="U33" s="7">
        <v>70.59</v>
      </c>
      <c r="V33" s="7">
        <f t="shared" si="0"/>
        <v>77.245000000000005</v>
      </c>
      <c r="W33" s="7">
        <v>7.86</v>
      </c>
      <c r="X33" s="7">
        <v>8.14</v>
      </c>
      <c r="Y33" s="7">
        <v>95.33</v>
      </c>
    </row>
    <row r="34" spans="1:25" x14ac:dyDescent="0.25">
      <c r="A34" s="7" t="s">
        <v>163</v>
      </c>
      <c r="B34" s="7" t="s">
        <v>164</v>
      </c>
      <c r="C34" s="7" t="s">
        <v>37</v>
      </c>
      <c r="D34" s="7" t="s">
        <v>187</v>
      </c>
      <c r="E34" s="7" t="s">
        <v>36</v>
      </c>
      <c r="F34" s="7"/>
      <c r="G34" s="7"/>
      <c r="H34" s="7"/>
      <c r="I34" s="7"/>
      <c r="J34" s="7"/>
      <c r="K34" s="7"/>
      <c r="L34" s="7" t="s">
        <v>188</v>
      </c>
      <c r="M34" s="7" t="s">
        <v>189</v>
      </c>
      <c r="N34" s="7" t="s">
        <v>188</v>
      </c>
      <c r="O34" s="7" t="s">
        <v>165</v>
      </c>
      <c r="P34" s="7" t="s">
        <v>163</v>
      </c>
      <c r="Q34" s="7" t="s">
        <v>166</v>
      </c>
      <c r="R34" s="7">
        <v>71.430000000000007</v>
      </c>
      <c r="S34" s="7">
        <v>81.25</v>
      </c>
      <c r="T34" s="7">
        <v>100</v>
      </c>
      <c r="U34" s="7">
        <v>52.94</v>
      </c>
      <c r="V34" s="7">
        <f t="shared" si="0"/>
        <v>76.405000000000001</v>
      </c>
      <c r="W34" s="7">
        <v>9.2899999999999991</v>
      </c>
      <c r="X34" s="7">
        <v>8.77</v>
      </c>
      <c r="Y34" s="7">
        <v>95</v>
      </c>
    </row>
    <row r="35" spans="1:25" ht="30" x14ac:dyDescent="0.25">
      <c r="A35" s="7" t="s">
        <v>167</v>
      </c>
      <c r="B35" s="7" t="s">
        <v>168</v>
      </c>
      <c r="C35" s="7" t="s">
        <v>37</v>
      </c>
      <c r="D35" s="7" t="s">
        <v>187</v>
      </c>
      <c r="E35" s="7" t="s">
        <v>36</v>
      </c>
      <c r="F35" s="7"/>
      <c r="G35" s="7"/>
      <c r="H35" s="7"/>
      <c r="I35" s="7"/>
      <c r="J35" s="7"/>
      <c r="K35" s="7"/>
      <c r="L35" s="7" t="s">
        <v>188</v>
      </c>
      <c r="M35" s="7" t="s">
        <v>189</v>
      </c>
      <c r="N35" s="7" t="s">
        <v>188</v>
      </c>
      <c r="O35" s="7" t="s">
        <v>169</v>
      </c>
      <c r="P35" s="7" t="s">
        <v>167</v>
      </c>
      <c r="Q35" s="7" t="s">
        <v>170</v>
      </c>
      <c r="R35" s="7">
        <v>85.71</v>
      </c>
      <c r="S35" s="7">
        <v>81.25</v>
      </c>
      <c r="T35" s="7">
        <v>100</v>
      </c>
      <c r="U35" s="7">
        <v>94.12</v>
      </c>
      <c r="V35" s="7">
        <f t="shared" si="0"/>
        <v>90.27</v>
      </c>
      <c r="W35" s="7">
        <v>9.64</v>
      </c>
      <c r="X35" s="7">
        <v>9.64</v>
      </c>
      <c r="Y35" s="7">
        <v>97</v>
      </c>
    </row>
    <row r="36" spans="1:25" ht="30" x14ac:dyDescent="0.25">
      <c r="A36" s="7" t="s">
        <v>171</v>
      </c>
      <c r="B36" s="7" t="s">
        <v>172</v>
      </c>
      <c r="C36" s="7" t="s">
        <v>37</v>
      </c>
      <c r="D36" s="7" t="s">
        <v>187</v>
      </c>
      <c r="E36" s="7" t="s">
        <v>36</v>
      </c>
      <c r="F36" s="7"/>
      <c r="G36" s="7"/>
      <c r="H36" s="7"/>
      <c r="I36" s="7"/>
      <c r="J36" s="7"/>
      <c r="K36" s="7"/>
      <c r="L36" s="7" t="s">
        <v>188</v>
      </c>
      <c r="M36" s="7" t="s">
        <v>189</v>
      </c>
      <c r="N36" s="7" t="s">
        <v>188</v>
      </c>
      <c r="O36" s="7" t="s">
        <v>173</v>
      </c>
      <c r="P36" s="7" t="s">
        <v>171</v>
      </c>
      <c r="Q36" s="7" t="s">
        <v>174</v>
      </c>
      <c r="R36" s="7">
        <v>85.71</v>
      </c>
      <c r="S36" s="7">
        <v>81.25</v>
      </c>
      <c r="T36" s="7">
        <v>100</v>
      </c>
      <c r="U36" s="7">
        <v>50</v>
      </c>
      <c r="V36" s="7">
        <f t="shared" si="0"/>
        <v>79.239999999999995</v>
      </c>
      <c r="W36" s="7">
        <v>8.93</v>
      </c>
      <c r="X36" s="7"/>
      <c r="Y36" s="7">
        <v>94.33</v>
      </c>
    </row>
    <row r="37" spans="1:25" ht="30" x14ac:dyDescent="0.25">
      <c r="A37" s="7" t="s">
        <v>175</v>
      </c>
      <c r="B37" s="7" t="s">
        <v>176</v>
      </c>
      <c r="C37" s="7" t="s">
        <v>37</v>
      </c>
      <c r="D37" s="7" t="s">
        <v>187</v>
      </c>
      <c r="E37" s="7" t="s">
        <v>36</v>
      </c>
      <c r="F37" s="7"/>
      <c r="G37" s="7"/>
      <c r="H37" s="7"/>
      <c r="I37" s="7"/>
      <c r="J37" s="7"/>
      <c r="K37" s="7"/>
      <c r="L37" s="7" t="s">
        <v>188</v>
      </c>
      <c r="M37" s="7" t="s">
        <v>189</v>
      </c>
      <c r="N37" s="7" t="s">
        <v>188</v>
      </c>
      <c r="O37" s="7" t="s">
        <v>177</v>
      </c>
      <c r="P37" s="7" t="s">
        <v>175</v>
      </c>
      <c r="Q37" s="7" t="s">
        <v>178</v>
      </c>
      <c r="R37" s="7">
        <v>57.14</v>
      </c>
      <c r="S37" s="7">
        <v>87.5</v>
      </c>
      <c r="T37" s="7">
        <v>93.75</v>
      </c>
      <c r="U37" s="7">
        <v>50</v>
      </c>
      <c r="V37" s="7">
        <f t="shared" si="0"/>
        <v>72.097499999999997</v>
      </c>
      <c r="W37" s="7">
        <v>9.2899999999999991</v>
      </c>
      <c r="X37" s="7"/>
      <c r="Y37" s="7">
        <v>96</v>
      </c>
    </row>
    <row r="38" spans="1:25" ht="30" x14ac:dyDescent="0.25">
      <c r="A38" s="7" t="s">
        <v>179</v>
      </c>
      <c r="B38" s="7" t="s">
        <v>180</v>
      </c>
      <c r="C38" s="7" t="s">
        <v>37</v>
      </c>
      <c r="D38" s="7" t="s">
        <v>187</v>
      </c>
      <c r="E38" s="7" t="s">
        <v>36</v>
      </c>
      <c r="F38" s="7"/>
      <c r="G38" s="7"/>
      <c r="H38" s="7"/>
      <c r="I38" s="7"/>
      <c r="J38" s="7"/>
      <c r="K38" s="7"/>
      <c r="L38" s="7" t="s">
        <v>188</v>
      </c>
      <c r="M38" s="7" t="s">
        <v>189</v>
      </c>
      <c r="N38" s="7" t="s">
        <v>188</v>
      </c>
      <c r="O38" s="7" t="s">
        <v>181</v>
      </c>
      <c r="P38" s="7" t="s">
        <v>179</v>
      </c>
      <c r="Q38" s="7" t="s">
        <v>182</v>
      </c>
      <c r="R38" s="7">
        <v>85.71</v>
      </c>
      <c r="S38" s="7">
        <v>87.5</v>
      </c>
      <c r="T38" s="7">
        <v>100</v>
      </c>
      <c r="U38" s="7">
        <v>97.06</v>
      </c>
      <c r="V38" s="7">
        <f t="shared" si="0"/>
        <v>92.567499999999995</v>
      </c>
      <c r="W38" s="7">
        <v>8.93</v>
      </c>
      <c r="X38" s="7">
        <v>5.64</v>
      </c>
      <c r="Y38" s="7">
        <v>98</v>
      </c>
    </row>
    <row r="39" spans="1:25" ht="30" x14ac:dyDescent="0.25">
      <c r="A39" s="7" t="s">
        <v>183</v>
      </c>
      <c r="B39" s="7" t="s">
        <v>184</v>
      </c>
      <c r="C39" s="7" t="s">
        <v>37</v>
      </c>
      <c r="D39" s="7" t="s">
        <v>187</v>
      </c>
      <c r="E39" s="7" t="s">
        <v>36</v>
      </c>
      <c r="F39" s="7"/>
      <c r="G39" s="7"/>
      <c r="H39" s="7"/>
      <c r="I39" s="7"/>
      <c r="J39" s="7"/>
      <c r="K39" s="7"/>
      <c r="L39" s="7" t="s">
        <v>188</v>
      </c>
      <c r="M39" s="7" t="s">
        <v>189</v>
      </c>
      <c r="N39" s="7" t="s">
        <v>188</v>
      </c>
      <c r="O39" s="7" t="s">
        <v>185</v>
      </c>
      <c r="P39" s="7" t="s">
        <v>183</v>
      </c>
      <c r="Q39" s="7" t="s">
        <v>186</v>
      </c>
      <c r="R39" s="7">
        <v>85.71</v>
      </c>
      <c r="S39" s="7">
        <v>81.25</v>
      </c>
      <c r="T39" s="7">
        <v>100</v>
      </c>
      <c r="U39" s="7">
        <v>55.88</v>
      </c>
      <c r="V39" s="7">
        <f t="shared" si="0"/>
        <v>80.709999999999994</v>
      </c>
      <c r="W39" s="7">
        <v>9.2899999999999991</v>
      </c>
      <c r="X39" s="7"/>
      <c r="Y39" s="7">
        <v>92.33</v>
      </c>
    </row>
  </sheetData>
  <autoFilter ref="A1:Y3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activeCell="A10" sqref="A10"/>
    </sheetView>
  </sheetViews>
  <sheetFormatPr defaultRowHeight="15" x14ac:dyDescent="0.25"/>
  <cols>
    <col min="1" max="1" width="36" customWidth="1"/>
    <col min="2" max="2" width="41" customWidth="1"/>
    <col min="3" max="3" width="43" customWidth="1"/>
  </cols>
  <sheetData>
    <row r="1" spans="1:3" x14ac:dyDescent="0.25">
      <c r="A1" s="8" t="s">
        <v>190</v>
      </c>
      <c r="B1" s="8" t="s">
        <v>191</v>
      </c>
      <c r="C1" s="8"/>
    </row>
    <row r="2" spans="1:3" x14ac:dyDescent="0.25">
      <c r="A2" t="s">
        <v>192</v>
      </c>
      <c r="B2">
        <v>38</v>
      </c>
    </row>
    <row r="3" spans="1:3" x14ac:dyDescent="0.25">
      <c r="A3" t="s">
        <v>37</v>
      </c>
      <c r="B3">
        <v>38</v>
      </c>
    </row>
    <row r="4" spans="1:3" x14ac:dyDescent="0.25">
      <c r="A4" t="s">
        <v>193</v>
      </c>
      <c r="B4">
        <v>0</v>
      </c>
    </row>
    <row r="5" spans="1:3" x14ac:dyDescent="0.25">
      <c r="A5" t="s">
        <v>194</v>
      </c>
      <c r="B5">
        <v>10</v>
      </c>
    </row>
    <row r="7" spans="1:3" x14ac:dyDescent="0.25">
      <c r="A7" t="s">
        <v>195</v>
      </c>
    </row>
    <row r="8" spans="1:3" x14ac:dyDescent="0.25">
      <c r="A8" t="s">
        <v>196</v>
      </c>
    </row>
    <row r="10" spans="1:3" x14ac:dyDescent="0.25">
      <c r="A10" t="s">
        <v>197</v>
      </c>
    </row>
    <row r="11" spans="1:3" x14ac:dyDescent="0.25">
      <c r="A11" t="s">
        <v>25</v>
      </c>
      <c r="B11" t="s">
        <v>24</v>
      </c>
      <c r="C11" t="s">
        <v>26</v>
      </c>
    </row>
    <row r="12" spans="1:3" x14ac:dyDescent="0.25">
      <c r="A12" t="s">
        <v>198</v>
      </c>
      <c r="B12" t="s">
        <v>199</v>
      </c>
      <c r="C12" t="s">
        <v>200</v>
      </c>
    </row>
    <row r="13" spans="1:3" x14ac:dyDescent="0.25">
      <c r="A13" t="s">
        <v>201</v>
      </c>
      <c r="B13" t="s">
        <v>202</v>
      </c>
      <c r="C13" t="s">
        <v>203</v>
      </c>
    </row>
    <row r="14" spans="1:3" x14ac:dyDescent="0.25">
      <c r="A14" t="s">
        <v>204</v>
      </c>
      <c r="B14" t="s">
        <v>205</v>
      </c>
      <c r="C14" t="s">
        <v>206</v>
      </c>
    </row>
    <row r="15" spans="1:3" x14ac:dyDescent="0.25">
      <c r="A15" t="s">
        <v>207</v>
      </c>
      <c r="B15" t="s">
        <v>208</v>
      </c>
      <c r="C15" t="s">
        <v>209</v>
      </c>
    </row>
    <row r="16" spans="1:3" x14ac:dyDescent="0.25">
      <c r="A16" t="s">
        <v>210</v>
      </c>
      <c r="B16" t="s">
        <v>211</v>
      </c>
      <c r="C16" t="s">
        <v>212</v>
      </c>
    </row>
    <row r="17" spans="1:3" x14ac:dyDescent="0.25">
      <c r="A17" t="s">
        <v>213</v>
      </c>
      <c r="B17" t="s">
        <v>214</v>
      </c>
      <c r="C17" t="s">
        <v>215</v>
      </c>
    </row>
    <row r="18" spans="1:3" x14ac:dyDescent="0.25">
      <c r="A18" t="s">
        <v>216</v>
      </c>
      <c r="B18" t="s">
        <v>217</v>
      </c>
      <c r="C18" t="s">
        <v>218</v>
      </c>
    </row>
    <row r="19" spans="1:3" x14ac:dyDescent="0.25">
      <c r="A19" t="s">
        <v>219</v>
      </c>
      <c r="B19" t="s">
        <v>220</v>
      </c>
      <c r="C19" t="s">
        <v>221</v>
      </c>
    </row>
    <row r="20" spans="1:3" x14ac:dyDescent="0.25">
      <c r="A20" t="s">
        <v>222</v>
      </c>
      <c r="B20" t="s">
        <v>223</v>
      </c>
      <c r="C20" t="s">
        <v>224</v>
      </c>
    </row>
    <row r="21" spans="1:3" x14ac:dyDescent="0.25">
      <c r="A21" t="s">
        <v>225</v>
      </c>
      <c r="B21" t="s">
        <v>226</v>
      </c>
      <c r="C21" t="s">
        <v>227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Worksheet</vt:lpstr>
      <vt:lpstr>Data_Gabungan</vt:lpstr>
      <vt:lpstr>Ringkasan_Match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HP OHS2021</cp:lastModifiedBy>
  <dcterms:created xsi:type="dcterms:W3CDTF">2026-06-29T21:35:52Z</dcterms:created>
  <dcterms:modified xsi:type="dcterms:W3CDTF">2026-06-29T15:24:21Z</dcterms:modified>
  <cp:category>Test result file</cp:category>
</cp:coreProperties>
</file>