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Worksheet" sheetId="1" state="visible" r:id="rId1"/>
    <sheet name="Data_Gabungan" sheetId="2" state="visible" r:id="rId2"/>
    <sheet name="Ringkasan_Match" sheetId="3" state="visible" r:id="rId3"/>
  </sheets>
  <definedNames>
    <definedName name="_xlnm._FilterDatabase" localSheetId="1" hidden="1">'Data_Gabungan'!$A$1:$Y$39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rgb="FF000000"/>
      <sz val="11"/>
    </font>
    <font>
      <name val="Calibri"/>
      <color rgb="FFFFFFFF"/>
      <sz val="11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4F81BD"/>
      </patternFill>
    </fill>
    <fill>
      <patternFill patternType="solid">
        <fgColor rgb="FF70AD47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2" fontId="0" fillId="0" borderId="0" applyProtection="1" pivotButton="0" quotePrefix="0" xfId="0">
      <protection locked="0" hidden="0"/>
    </xf>
    <xf numFmtId="0" fontId="2" fillId="2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3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5"/>
  <sheetViews>
    <sheetView tabSelected="1" topLeftCell="E1" workbookViewId="0">
      <selection activeCell="G36" sqref="G36"/>
    </sheetView>
  </sheetViews>
  <sheetFormatPr baseColWidth="8" defaultRowHeight="15"/>
  <cols>
    <col width="17.5703125" bestFit="1" customWidth="1" min="1" max="1"/>
    <col width="55.28515625" bestFit="1" customWidth="1" min="2" max="2"/>
    <col width="10.5703125" bestFit="1" customWidth="1" min="3" max="3"/>
    <col width="8.140625" bestFit="1" customWidth="1" min="4" max="4"/>
    <col width="57.7109375" bestFit="1" customWidth="1" min="5" max="5"/>
    <col width="45.85546875" bestFit="1" customWidth="1" min="6" max="6"/>
    <col width="36.42578125" bestFit="1" customWidth="1" min="7" max="7"/>
    <col width="35.28515625" bestFit="1" customWidth="1" min="8" max="9"/>
    <col width="31.7109375" bestFit="1" customWidth="1" min="10" max="10"/>
    <col width="37.7109375" bestFit="1" customWidth="1" min="11" max="11"/>
    <col width="35.28515625" bestFit="1" customWidth="1" min="12" max="12"/>
    <col width="21.140625" bestFit="1" customWidth="1" min="13" max="13"/>
    <col width="18" customWidth="1" min="14" max="26"/>
  </cols>
  <sheetData>
    <row r="1">
      <c r="A1" t="inlineStr">
        <is>
          <t>Mata Kuliah</t>
        </is>
      </c>
      <c r="B1" t="inlineStr">
        <is>
          <t>: MIK1624404 - Analisis dan Strategi Algoritma</t>
        </is>
      </c>
    </row>
    <row r="2">
      <c r="A2" t="inlineStr">
        <is>
          <t>Tahun Ajaran</t>
        </is>
      </c>
      <c r="B2" t="inlineStr">
        <is>
          <t>: 2025</t>
        </is>
      </c>
      <c r="I2" s="1" t="inlineStr">
        <is>
          <t>NDk5NDgx</t>
        </is>
      </c>
    </row>
    <row r="3">
      <c r="A3" t="inlineStr">
        <is>
          <t>Semester</t>
        </is>
      </c>
      <c r="B3" t="inlineStr">
        <is>
          <t>: Genap</t>
        </is>
      </c>
    </row>
    <row r="4">
      <c r="A4" t="inlineStr">
        <is>
          <t>Kelas</t>
        </is>
      </c>
      <c r="B4" t="inlineStr">
        <is>
          <t>: A</t>
        </is>
      </c>
    </row>
    <row r="5">
      <c r="A5" t="inlineStr">
        <is>
          <t>Prodi</t>
        </is>
      </c>
      <c r="B5" t="inlineStr">
        <is>
          <t>: S1-TEKNIK INFORMATIKA</t>
        </is>
      </c>
    </row>
    <row r="7" ht="30" customHeight="1">
      <c r="A7" t="inlineStr">
        <is>
          <t>NIM</t>
        </is>
      </c>
      <c r="B7" t="inlineStr">
        <is>
          <t>Nama Mahasiswa</t>
        </is>
      </c>
      <c r="C7" t="inlineStr">
        <is>
          <t>Semester</t>
        </is>
      </c>
      <c r="D7" t="inlineStr">
        <is>
          <t>Status</t>
        </is>
      </c>
      <c r="E7" t="inlineStr">
        <is>
          <t>Nilai Aktivitas Partisipatif (0,00-100,00) (10%)</t>
        </is>
      </c>
      <c r="F7" t="inlineStr">
        <is>
          <t>Nilai Hasil Proyek (0,00-100,00) (40%)</t>
        </is>
      </c>
      <c r="G7" t="inlineStr">
        <is>
          <t>Nilai Tugas (0,00-100,00) (5%)</t>
        </is>
      </c>
      <c r="H7" t="inlineStr">
        <is>
          <t>Nilai Quiz (0,00-100,00) (5%)</t>
        </is>
      </c>
      <c r="I7" t="inlineStr">
        <is>
          <t>Nilai UTS (0,00-100,00) (20%)</t>
        </is>
      </c>
      <c r="J7" t="inlineStr">
        <is>
          <t>Nilai UAS (0,00-100) (20%)</t>
        </is>
      </c>
      <c r="K7" t="inlineStr">
        <is>
          <t>Nilai Akhir Angka (0,00-100,00)</t>
        </is>
      </c>
      <c r="L7" t="inlineStr">
        <is>
          <t>Nilai Akhir Huruf (A/B/C/D/E)</t>
        </is>
      </c>
      <c r="M7" t="inlineStr">
        <is>
          <t>Nilai Bobot (0-4)</t>
        </is>
      </c>
      <c r="N7" s="4" t="inlineStr">
        <is>
          <t>Status Cocok</t>
        </is>
      </c>
      <c r="O7" s="4" t="inlineStr">
        <is>
          <t>Nama Moodle</t>
        </is>
      </c>
      <c r="P7" s="4" t="inlineStr">
        <is>
          <t>NIM Moodle</t>
        </is>
      </c>
      <c r="Q7" s="4" t="inlineStr">
        <is>
          <t>Email Moodle</t>
        </is>
      </c>
      <c r="R7" s="4" t="inlineStr">
        <is>
          <t>Quis 1 Moodle</t>
        </is>
      </c>
      <c r="S7" s="4" t="inlineStr">
        <is>
          <t>Quis 2 Moodle</t>
        </is>
      </c>
      <c r="T7" s="4" t="inlineStr">
        <is>
          <t>Quis 3 Moodle</t>
        </is>
      </c>
      <c r="U7" s="4" t="inlineStr">
        <is>
          <t>Quis 4 Moodle</t>
        </is>
      </c>
      <c r="V7" s="4" t="n"/>
      <c r="W7" s="4" t="inlineStr">
        <is>
          <t>Quis 5 Moodle</t>
        </is>
      </c>
      <c r="X7" s="4" t="n"/>
      <c r="Y7" s="4" t="inlineStr">
        <is>
          <t>Latihan UTS Moodle</t>
        </is>
      </c>
      <c r="Z7" s="4" t="inlineStr">
        <is>
          <t>UTS Moodle</t>
        </is>
      </c>
    </row>
    <row r="8">
      <c r="A8" t="inlineStr">
        <is>
          <t>24060124120009</t>
        </is>
      </c>
      <c r="B8" t="inlineStr">
        <is>
          <t>ARSY THARIQ MUNAWAR</t>
        </is>
      </c>
      <c r="C8" t="n">
        <v>4</v>
      </c>
      <c r="D8" t="inlineStr">
        <is>
          <t>BARU</t>
        </is>
      </c>
      <c r="E8" s="9" t="n">
        <v>95</v>
      </c>
      <c r="F8" s="3" t="n"/>
      <c r="G8" s="3">
        <f>(E8*0.8)+(H8*0.2)</f>
        <v/>
      </c>
      <c r="H8" s="3" t="n">
        <v>80.8175</v>
      </c>
      <c r="I8" s="3" t="n">
        <v>67</v>
      </c>
      <c r="J8" s="3" t="n"/>
      <c r="K8" s="2">
        <f>ROUND( ((E8*10+F8*40+G8*5+H8*5+I8*20+J8*20) / 100), 2)</f>
        <v/>
      </c>
      <c r="L8" s="2">
        <f>IF(AND(K8&gt;=85, K8&lt;=100), "A", IF(AND(K8&gt;=80, K8&lt;=84.999999999), "AB", IF(AND(K8&gt;=75, K8&lt;=79.999999999), "B", IF(AND(K8&gt;=70, K8&lt;=74.999999999), "BC", IF(AND(K8&gt;=60, K8&lt;=69.9999999999), "C", IF(AND(K8&gt;=40, K8&lt;=59.999999999), "D", IF(AND(K8&gt;=0, K8&lt;=39.999999999), "E",  "E"  )  )  )  )  )  )  )</f>
        <v/>
      </c>
      <c r="M8">
        <f>IF(AND(K8&gt;=85, K8&lt;=100), "4", IF(AND(K8&gt;=80, K8&lt;=84.999999999), "3.5", IF(AND(K8&gt;=75, K8&lt;=79.999999999), "3", IF(AND(K8&gt;=70, K8&lt;=74.999999999), "2.5", IF(AND(K8&gt;=60, K8&lt;=69.9999999999), "2", IF(AND(K8&gt;=40, K8&lt;=59.999999999), "1", IF(AND(K8&gt;=0, K8&lt;=39.999999999), "0",  "0"  )  )  )  )  )  )  )</f>
        <v/>
      </c>
      <c r="N8" s="5" t="inlineStr">
        <is>
          <t>Cocok</t>
        </is>
      </c>
      <c r="O8" t="inlineStr">
        <is>
          <t>Arsy Thariq Munawar</t>
        </is>
      </c>
      <c r="P8" t="inlineStr">
        <is>
          <t>24060124120009</t>
        </is>
      </c>
      <c r="Q8" t="inlineStr">
        <is>
          <t>arsytm@students.undip.ac.id</t>
        </is>
      </c>
      <c r="R8" t="n">
        <v>71.43000000000001</v>
      </c>
      <c r="S8" t="n">
        <v>87.5</v>
      </c>
      <c r="T8" t="n">
        <v>93.75</v>
      </c>
      <c r="U8" t="n">
        <v>70.59</v>
      </c>
      <c r="W8" t="n">
        <v>9.640000000000001</v>
      </c>
      <c r="Y8" t="n">
        <v>5.45</v>
      </c>
      <c r="Z8" t="n">
        <v>95</v>
      </c>
    </row>
    <row r="9">
      <c r="A9" t="inlineStr">
        <is>
          <t>24060124130089</t>
        </is>
      </c>
      <c r="B9" t="inlineStr">
        <is>
          <t>ARYA NAUFAL AKMAL</t>
        </is>
      </c>
      <c r="C9" t="n">
        <v>4</v>
      </c>
      <c r="D9" t="inlineStr">
        <is>
          <t>BARU</t>
        </is>
      </c>
      <c r="E9" s="9" t="n">
        <v>80.33</v>
      </c>
      <c r="F9" s="3" t="n"/>
      <c r="G9" s="3">
        <f>(E9*0.8)+(H9*0.2)</f>
        <v/>
      </c>
      <c r="H9" s="3" t="n">
        <v>63.61499999999999</v>
      </c>
      <c r="I9" s="3" t="n">
        <v>86</v>
      </c>
      <c r="J9" s="3" t="n"/>
      <c r="K9" s="2">
        <f>ROUND( ((E9*10+F9*40+G9*5+H9*5+I9*20+J9*20) / 100), 2)</f>
        <v/>
      </c>
      <c r="L9" s="2">
        <f>IF(AND(K9&gt;=85, K9&lt;=100), "A", IF(AND(K9&gt;=80, K9&lt;=84.999999999), "AB", IF(AND(K9&gt;=75, K9&lt;=79.999999999), "B", IF(AND(K9&gt;=70, K9&lt;=74.999999999), "BC", IF(AND(K9&gt;=60, K9&lt;=69.9999999999), "C", IF(AND(K9&gt;=40, K9&lt;=59.999999999), "D", IF(AND(K9&gt;=0, K9&lt;=39.999999999), "E", "E" ) ) ) ) ) ) )</f>
        <v/>
      </c>
      <c r="M9">
        <f>IF(AND(K9&gt;=85, K9&lt;=100), "4", IF(AND(K9&gt;=80, K9&lt;=84.999999999), "3.5", IF(AND(K9&gt;=75, K9&lt;=79.999999999), "3", IF(AND(K9&gt;=70, K9&lt;=74.999999999), "2.5", IF(AND(K9&gt;=60, K9&lt;=69.9999999999), "2", IF(AND(K9&gt;=40, K9&lt;=59.999999999), "1", IF(AND(K9&gt;=0, K9&lt;=39.999999999), "0", "0" ) ) ) ) ) ) )</f>
        <v/>
      </c>
      <c r="N9" s="5" t="inlineStr">
        <is>
          <t>Cocok</t>
        </is>
      </c>
      <c r="O9" t="inlineStr">
        <is>
          <t>Arya Naufal Akmal</t>
        </is>
      </c>
      <c r="P9" t="inlineStr">
        <is>
          <t>24060124130089</t>
        </is>
      </c>
      <c r="Q9" t="inlineStr">
        <is>
          <t>aryana@students.undip.ac.id</t>
        </is>
      </c>
      <c r="R9" t="n">
        <v>85.70999999999999</v>
      </c>
      <c r="S9" t="n">
        <v>81.25</v>
      </c>
      <c r="T9" t="n">
        <v>87.5</v>
      </c>
      <c r="Y9" t="n">
        <v>1.18</v>
      </c>
      <c r="Z9" t="n">
        <v>80.33</v>
      </c>
    </row>
    <row r="10">
      <c r="A10" t="inlineStr">
        <is>
          <t>24060124140127</t>
        </is>
      </c>
      <c r="B10" t="inlineStr">
        <is>
          <t>AXEL ANGGIAN HAMONANGAN PURBA</t>
        </is>
      </c>
      <c r="C10" t="n">
        <v>4</v>
      </c>
      <c r="D10" t="inlineStr">
        <is>
          <t>BARU</t>
        </is>
      </c>
      <c r="E10" s="9" t="n">
        <v>93</v>
      </c>
      <c r="F10" s="3" t="n"/>
      <c r="G10" s="3">
        <f>(E10*0.8)+(H10*0.2)</f>
        <v/>
      </c>
      <c r="H10" s="3" t="n">
        <v>44.5775</v>
      </c>
      <c r="I10" s="3" t="n">
        <v>82</v>
      </c>
      <c r="J10" s="3" t="n"/>
      <c r="K10" s="2">
        <f>ROUND( ((E10*10+F10*40+G10*5+H10*5+I10*20+J10*20) / 100), 2)</f>
        <v/>
      </c>
      <c r="L10" s="2">
        <f>IF(AND(K10&gt;=85, K10&lt;=100), "A", IF(AND(K10&gt;=80, K10&lt;=84.999999999), "AB", IF(AND(K10&gt;=75, K10&lt;=79.999999999), "B", IF(AND(K10&gt;=70, K10&lt;=74.999999999), "BC", IF(AND(K10&gt;=60, K10&lt;=69.9999999999), "C", IF(AND(K10&gt;=40, K10&lt;=59.999999999), "D", IF(AND(K10&gt;=0, K10&lt;=39.999999999), "E", "E" ) ) ) ) ) ) )</f>
        <v/>
      </c>
      <c r="M10">
        <f>IF(AND(K10&gt;=85, K10&lt;=100), "4", IF(AND(K10&gt;=80, K10&lt;=84.999999999), "3.5", IF(AND(K10&gt;=75, K10&lt;=79.999999999), "3", IF(AND(K10&gt;=70, K10&lt;=74.999999999), "2.5", IF(AND(K10&gt;=60, K10&lt;=69.9999999999), "2", IF(AND(K10&gt;=40, K10&lt;=59.999999999), "1", IF(AND(K10&gt;=0, K10&lt;=39.999999999), "0", "0" ) ) ) ) ) ) )</f>
        <v/>
      </c>
      <c r="N10" s="5" t="inlineStr">
        <is>
          <t>Cocok</t>
        </is>
      </c>
      <c r="O10" t="inlineStr">
        <is>
          <t>Axel Anggian Hamonangan Purba</t>
        </is>
      </c>
      <c r="P10" t="inlineStr">
        <is>
          <t>24060124140127</t>
        </is>
      </c>
      <c r="Q10" t="inlineStr">
        <is>
          <t>axelprb@students.undip.ac.id</t>
        </is>
      </c>
      <c r="S10" t="n">
        <v>81.25</v>
      </c>
      <c r="U10" t="n">
        <v>97.06</v>
      </c>
      <c r="W10" t="n">
        <v>9.640000000000001</v>
      </c>
      <c r="Y10" t="n">
        <v>2</v>
      </c>
      <c r="Z10" t="n">
        <v>93</v>
      </c>
    </row>
    <row r="11">
      <c r="A11" t="inlineStr">
        <is>
          <t>24060124130108</t>
        </is>
      </c>
      <c r="B11" t="inlineStr">
        <is>
          <t>ELANG FADILA AHMAD</t>
        </is>
      </c>
      <c r="C11" t="n">
        <v>4</v>
      </c>
      <c r="D11" t="inlineStr">
        <is>
          <t>BARU</t>
        </is>
      </c>
      <c r="E11" s="9" t="n">
        <v>91</v>
      </c>
      <c r="F11" s="3" t="n"/>
      <c r="G11" s="3">
        <f>(E11*0.8)+(H11*0.2)</f>
        <v/>
      </c>
      <c r="H11" s="3" t="n">
        <v>73.58250000000001</v>
      </c>
      <c r="I11" s="3" t="n">
        <v>81</v>
      </c>
      <c r="J11" s="3" t="n"/>
      <c r="K11" s="2">
        <f>ROUND( ((E11*10+F11*40+G11*5+H11*5+I11*20+J11*20) / 100), 2)</f>
        <v/>
      </c>
      <c r="L11" s="2">
        <f>IF(AND(K11&gt;=85, K11&lt;=100), "A", IF(AND(K11&gt;=80, K11&lt;=84.999999999), "AB", IF(AND(K11&gt;=75, K11&lt;=79.999999999), "B", IF(AND(K11&gt;=70, K11&lt;=74.999999999), "BC", IF(AND(K11&gt;=60, K11&lt;=69.9999999999), "C", IF(AND(K11&gt;=40, K11&lt;=59.999999999), "D", IF(AND(K11&gt;=0, K11&lt;=39.999999999), "E", "E" ) ) ) ) ) ) )</f>
        <v/>
      </c>
      <c r="M11">
        <f>IF(AND(K11&gt;=85, K11&lt;=100), "4", IF(AND(K11&gt;=80, K11&lt;=84.999999999), "3.5", IF(AND(K11&gt;=75, K11&lt;=79.999999999), "3", IF(AND(K11&gt;=70, K11&lt;=74.999999999), "2.5", IF(AND(K11&gt;=60, K11&lt;=69.9999999999), "2", IF(AND(K11&gt;=40, K11&lt;=59.999999999), "1", IF(AND(K11&gt;=0, K11&lt;=39.999999999), "0", "0" ) ) ) ) ) ) )</f>
        <v/>
      </c>
      <c r="N11" s="5" t="inlineStr">
        <is>
          <t>Cocok</t>
        </is>
      </c>
      <c r="O11" t="inlineStr">
        <is>
          <t>Elang Fadila Ahmad</t>
        </is>
      </c>
      <c r="P11" t="inlineStr">
        <is>
          <t>24060124130108</t>
        </is>
      </c>
      <c r="Q11" t="inlineStr">
        <is>
          <t>elangfa@students.undip.ac.id</t>
        </is>
      </c>
      <c r="R11" t="n">
        <v>42.86</v>
      </c>
      <c r="S11" t="n">
        <v>81.25</v>
      </c>
      <c r="T11" t="n">
        <v>93.75</v>
      </c>
      <c r="U11" t="n">
        <v>76.47</v>
      </c>
      <c r="W11" t="n">
        <v>8.210000000000001</v>
      </c>
      <c r="Z11" t="n">
        <v>91</v>
      </c>
    </row>
    <row r="12">
      <c r="A12" t="inlineStr">
        <is>
          <t>24060124140180</t>
        </is>
      </c>
      <c r="B12" t="inlineStr">
        <is>
          <t>EILEEN ALBERT TANDRIO</t>
        </is>
      </c>
      <c r="C12" t="n">
        <v>4</v>
      </c>
      <c r="D12" t="inlineStr">
        <is>
          <t>BARU</t>
        </is>
      </c>
      <c r="E12" s="9" t="n">
        <v>99</v>
      </c>
      <c r="F12" s="3" t="n"/>
      <c r="G12" s="3">
        <f>(E12*0.8)+(H12*0.2)</f>
        <v/>
      </c>
      <c r="H12" s="3" t="n">
        <v>79.4375</v>
      </c>
      <c r="I12" s="3" t="n">
        <v>87</v>
      </c>
      <c r="J12" s="3" t="n"/>
      <c r="K12" s="2">
        <f>ROUND( ((E12*10+F12*40+G12*5+H12*5+I12*20+J12*20) / 100), 2)</f>
        <v/>
      </c>
      <c r="L12" s="2">
        <f>IF(AND(K12&gt;=85, K12&lt;=100), "A", IF(AND(K12&gt;=80, K12&lt;=84.999999999), "AB", IF(AND(K12&gt;=75, K12&lt;=79.999999999), "B", IF(AND(K12&gt;=70, K12&lt;=74.999999999), "BC", IF(AND(K12&gt;=60, K12&lt;=69.9999999999), "C", IF(AND(K12&gt;=40, K12&lt;=59.999999999), "D", IF(AND(K12&gt;=0, K12&lt;=39.999999999), "E", "E" ) ) ) ) ) ) )</f>
        <v/>
      </c>
      <c r="M12">
        <f>IF(AND(K12&gt;=85, K12&lt;=100), "4", IF(AND(K12&gt;=80, K12&lt;=84.999999999), "3.5", IF(AND(K12&gt;=75, K12&lt;=79.999999999), "3", IF(AND(K12&gt;=70, K12&lt;=74.999999999), "2.5", IF(AND(K12&gt;=60, K12&lt;=69.9999999999), "2", IF(AND(K12&gt;=40, K12&lt;=59.999999999), "1", IF(AND(K12&gt;=0, K12&lt;=39.999999999), "0", "0" ) ) ) ) ) ) )</f>
        <v/>
      </c>
      <c r="N12" s="5" t="inlineStr">
        <is>
          <t>Cocok</t>
        </is>
      </c>
      <c r="O12" t="inlineStr">
        <is>
          <t>Eileen Albert Tandrio</t>
        </is>
      </c>
      <c r="P12" t="inlineStr">
        <is>
          <t>24060124140180</t>
        </is>
      </c>
      <c r="Q12" t="inlineStr">
        <is>
          <t>eileenalberttandrio@students.undip.ac.id</t>
        </is>
      </c>
      <c r="R12" t="n">
        <v>71.43000000000001</v>
      </c>
      <c r="S12" t="n">
        <v>87.5</v>
      </c>
      <c r="T12" t="n">
        <v>100</v>
      </c>
      <c r="U12" t="n">
        <v>58.82</v>
      </c>
      <c r="W12" t="n">
        <v>10</v>
      </c>
      <c r="Y12" t="n">
        <v>9.18</v>
      </c>
      <c r="Z12" t="n">
        <v>99</v>
      </c>
    </row>
    <row r="13">
      <c r="A13" t="inlineStr">
        <is>
          <t>24060124140207</t>
        </is>
      </c>
      <c r="B13" t="inlineStr">
        <is>
          <t>HADRIAN SHANDHY YUDHA</t>
        </is>
      </c>
      <c r="C13" t="n">
        <v>4</v>
      </c>
      <c r="D13" t="inlineStr">
        <is>
          <t>BARU</t>
        </is>
      </c>
      <c r="E13" s="9" t="n">
        <v>96</v>
      </c>
      <c r="F13" s="3" t="n"/>
      <c r="G13" s="3">
        <f>(E13*0.8)+(H13*0.2)</f>
        <v/>
      </c>
      <c r="H13" s="3" t="n">
        <v>85.23</v>
      </c>
      <c r="I13" s="3" t="n">
        <v>83</v>
      </c>
      <c r="J13" s="3" t="n"/>
      <c r="K13" s="2">
        <f>ROUND( ((E13*10+F13*40+G13*5+H13*5+I13*20+J13*20) / 100), 2)</f>
        <v/>
      </c>
      <c r="L13" s="2">
        <f>IF(AND(K13&gt;=85, K13&lt;=100), "A", IF(AND(K13&gt;=80, K13&lt;=84.999999999), "AB", IF(AND(K13&gt;=75, K13&lt;=79.999999999), "B", IF(AND(K13&gt;=70, K13&lt;=74.999999999), "BC", IF(AND(K13&gt;=60, K13&lt;=69.9999999999), "C", IF(AND(K13&gt;=40, K13&lt;=59.999999999), "D", IF(AND(K13&gt;=0, K13&lt;=39.999999999), "E", "E" ) ) ) ) ) ) )</f>
        <v/>
      </c>
      <c r="M13">
        <f>IF(AND(K13&gt;=85, K13&lt;=100), "4", IF(AND(K13&gt;=80, K13&lt;=84.999999999), "3.5", IF(AND(K13&gt;=75, K13&lt;=79.999999999), "3", IF(AND(K13&gt;=70, K13&lt;=74.999999999), "2.5", IF(AND(K13&gt;=60, K13&lt;=69.9999999999), "2", IF(AND(K13&gt;=40, K13&lt;=59.999999999), "1", IF(AND(K13&gt;=0, K13&lt;=39.999999999), "0", "0" ) ) ) ) ) ) )</f>
        <v/>
      </c>
      <c r="N13" s="5" t="inlineStr">
        <is>
          <t>Cocok</t>
        </is>
      </c>
      <c r="O13" t="inlineStr">
        <is>
          <t>Hadrian Shandhy Yudha</t>
        </is>
      </c>
      <c r="P13" t="inlineStr">
        <is>
          <t>24060124140207</t>
        </is>
      </c>
      <c r="Q13" t="inlineStr">
        <is>
          <t>shandhyyudha@students.undip.ac.id</t>
        </is>
      </c>
      <c r="R13" t="n">
        <v>71.43000000000001</v>
      </c>
      <c r="S13" t="n">
        <v>81.25</v>
      </c>
      <c r="T13" t="n">
        <v>100</v>
      </c>
      <c r="U13" t="n">
        <v>88.23999999999999</v>
      </c>
      <c r="W13" t="n">
        <v>8.93</v>
      </c>
      <c r="Y13" t="n">
        <v>9.140000000000001</v>
      </c>
      <c r="Z13" t="n">
        <v>96</v>
      </c>
    </row>
    <row r="14">
      <c r="A14" t="inlineStr">
        <is>
          <t>24060124120033</t>
        </is>
      </c>
      <c r="B14" t="inlineStr">
        <is>
          <t>SHALOM KURNIAWAN</t>
        </is>
      </c>
      <c r="C14" t="n">
        <v>4</v>
      </c>
      <c r="D14" t="inlineStr">
        <is>
          <t>BARU</t>
        </is>
      </c>
      <c r="E14" s="9" t="n">
        <v>95</v>
      </c>
      <c r="F14" s="3" t="n"/>
      <c r="G14" s="3">
        <f>(E14*0.8)+(H14*0.2)</f>
        <v/>
      </c>
      <c r="H14" s="3" t="n">
        <v>69.9575</v>
      </c>
      <c r="I14" s="3" t="n">
        <v>67</v>
      </c>
      <c r="J14" s="3" t="n"/>
      <c r="K14" s="2">
        <f>ROUND( ((E14*10+F14*40+G14*5+H14*5+I14*20+J14*20) / 100), 2)</f>
        <v/>
      </c>
      <c r="L14" s="2">
        <f>IF(AND(K14&gt;=85, K14&lt;=100), "A", IF(AND(K14&gt;=80, K14&lt;=84.999999999), "AB", IF(AND(K14&gt;=75, K14&lt;=79.999999999), "B", IF(AND(K14&gt;=70, K14&lt;=74.999999999), "BC", IF(AND(K14&gt;=60, K14&lt;=69.9999999999), "C", IF(AND(K14&gt;=40, K14&lt;=59.999999999), "D", IF(AND(K14&gt;=0, K14&lt;=39.999999999), "E", "E" ) ) ) ) ) ) )</f>
        <v/>
      </c>
      <c r="M14">
        <f>IF(AND(K14&gt;=85, K14&lt;=100), "4", IF(AND(K14&gt;=80, K14&lt;=84.999999999), "3.5", IF(AND(K14&gt;=75, K14&lt;=79.999999999), "3", IF(AND(K14&gt;=70, K14&lt;=74.999999999), "2.5", IF(AND(K14&gt;=60, K14&lt;=69.9999999999), "2", IF(AND(K14&gt;=40, K14&lt;=59.999999999), "1", IF(AND(K14&gt;=0, K14&lt;=39.999999999), "0", "0" ) ) ) ) ) ) )</f>
        <v/>
      </c>
      <c r="N14" s="5" t="inlineStr">
        <is>
          <t>Cocok</t>
        </is>
      </c>
      <c r="O14" t="inlineStr">
        <is>
          <t>Shalom Kurniawan</t>
        </is>
      </c>
      <c r="P14" t="inlineStr">
        <is>
          <t>24060124120033</t>
        </is>
      </c>
      <c r="Q14" t="inlineStr">
        <is>
          <t>chloudius@students.undip.ac.id</t>
        </is>
      </c>
      <c r="R14" t="n">
        <v>85.70999999999999</v>
      </c>
      <c r="S14" t="n">
        <v>62.5</v>
      </c>
      <c r="T14" t="n">
        <v>87.5</v>
      </c>
      <c r="U14" t="n">
        <v>44.12</v>
      </c>
      <c r="W14" t="n">
        <v>10</v>
      </c>
      <c r="Y14" t="n">
        <v>4</v>
      </c>
      <c r="Z14" t="n">
        <v>95</v>
      </c>
    </row>
    <row r="15">
      <c r="A15" t="inlineStr">
        <is>
          <t>24060124120035</t>
        </is>
      </c>
      <c r="B15" t="inlineStr">
        <is>
          <t>YUMA HAZZA YUDITAMA</t>
        </is>
      </c>
      <c r="C15" t="n">
        <v>4</v>
      </c>
      <c r="D15" t="inlineStr">
        <is>
          <t>BARU</t>
        </is>
      </c>
      <c r="E15" s="9" t="n">
        <v>88.33</v>
      </c>
      <c r="F15" s="3" t="n"/>
      <c r="G15" s="3">
        <f>(E15*0.8)+(H15*0.2)</f>
        <v/>
      </c>
      <c r="H15" s="3" t="n">
        <v>84.29499999999999</v>
      </c>
      <c r="I15" s="3" t="n">
        <v>67</v>
      </c>
      <c r="J15" s="3" t="n"/>
      <c r="K15" s="2">
        <f>ROUND( ((E15*10+F15*40+G15*5+H15*5+I15*20+J15*20) / 100), 2)</f>
        <v/>
      </c>
      <c r="L15" s="2">
        <f>IF(AND(K15&gt;=85, K15&lt;=100), "A", IF(AND(K15&gt;=80, K15&lt;=84.999999999), "AB", IF(AND(K15&gt;=75, K15&lt;=79.999999999), "B", IF(AND(K15&gt;=70, K15&lt;=74.999999999), "BC", IF(AND(K15&gt;=60, K15&lt;=69.9999999999), "C", IF(AND(K15&gt;=40, K15&lt;=59.999999999), "D", IF(AND(K15&gt;=0, K15&lt;=39.999999999), "E", "E" ) ) ) ) ) ) )</f>
        <v/>
      </c>
      <c r="M15">
        <f>IF(AND(K15&gt;=85, K15&lt;=100), "4", IF(AND(K15&gt;=80, K15&lt;=84.999999999), "3.5", IF(AND(K15&gt;=75, K15&lt;=79.999999999), "3", IF(AND(K15&gt;=70, K15&lt;=74.999999999), "2.5", IF(AND(K15&gt;=60, K15&lt;=69.9999999999), "2", IF(AND(K15&gt;=40, K15&lt;=59.999999999), "1", IF(AND(K15&gt;=0, K15&lt;=39.999999999), "0", "0" ) ) ) ) ) ) )</f>
        <v/>
      </c>
      <c r="N15" s="5" t="inlineStr">
        <is>
          <t>Cocok</t>
        </is>
      </c>
      <c r="O15" t="inlineStr">
        <is>
          <t>Yuma Hazza Yuditama</t>
        </is>
      </c>
      <c r="P15" t="inlineStr">
        <is>
          <t>24060124120035</t>
        </is>
      </c>
      <c r="Q15" t="inlineStr">
        <is>
          <t>yumayuditama@students.undip.ac.id</t>
        </is>
      </c>
      <c r="R15" t="n">
        <v>85.70999999999999</v>
      </c>
      <c r="S15" t="n">
        <v>75</v>
      </c>
      <c r="T15" t="n">
        <v>100</v>
      </c>
      <c r="U15" t="n">
        <v>76.47</v>
      </c>
      <c r="W15" t="n">
        <v>8.57</v>
      </c>
      <c r="Z15" t="n">
        <v>88.33</v>
      </c>
    </row>
    <row r="16">
      <c r="A16" t="inlineStr">
        <is>
          <t>24060124120046</t>
        </is>
      </c>
      <c r="B16" t="inlineStr">
        <is>
          <t>ROMUALDUS YOAS WICAKSONO</t>
        </is>
      </c>
      <c r="C16" t="n">
        <v>4</v>
      </c>
      <c r="D16" t="inlineStr">
        <is>
          <t>BARU</t>
        </is>
      </c>
      <c r="E16" s="9" t="n">
        <v>92</v>
      </c>
      <c r="F16" s="3" t="n"/>
      <c r="G16" s="3">
        <f>(E16*0.8)+(H16*0.2)</f>
        <v/>
      </c>
      <c r="H16" s="3" t="n">
        <v>68.685</v>
      </c>
      <c r="I16" s="3" t="n">
        <v>65</v>
      </c>
      <c r="J16" s="3" t="n"/>
      <c r="K16" s="2">
        <f>ROUND( ((E16*10+F16*40+G16*5+H16*5+I16*20+J16*20) / 100), 2)</f>
        <v/>
      </c>
      <c r="L16" s="2">
        <f>IF(AND(K16&gt;=85, K16&lt;=100), "A", IF(AND(K16&gt;=80, K16&lt;=84.999999999), "AB", IF(AND(K16&gt;=75, K16&lt;=79.999999999), "B", IF(AND(K16&gt;=70, K16&lt;=74.999999999), "BC", IF(AND(K16&gt;=60, K16&lt;=69.9999999999), "C", IF(AND(K16&gt;=40, K16&lt;=59.999999999), "D", IF(AND(K16&gt;=0, K16&lt;=39.999999999), "E", "E" ) ) ) ) ) ) )</f>
        <v/>
      </c>
      <c r="M16">
        <f>IF(AND(K16&gt;=85, K16&lt;=100), "4", IF(AND(K16&gt;=80, K16&lt;=84.999999999), "3.5", IF(AND(K16&gt;=75, K16&lt;=79.999999999), "3", IF(AND(K16&gt;=70, K16&lt;=74.999999999), "2.5", IF(AND(K16&gt;=60, K16&lt;=69.9999999999), "2", IF(AND(K16&gt;=40, K16&lt;=59.999999999), "1", IF(AND(K16&gt;=0, K16&lt;=39.999999999), "0", "0" ) ) ) ) ) ) )</f>
        <v/>
      </c>
      <c r="N16" s="5" t="inlineStr">
        <is>
          <t>Cocok</t>
        </is>
      </c>
      <c r="O16" t="inlineStr">
        <is>
          <t>Romualdus Yoas Wicaksono</t>
        </is>
      </c>
      <c r="P16" t="inlineStr">
        <is>
          <t>24060124120046</t>
        </is>
      </c>
      <c r="Q16" t="inlineStr">
        <is>
          <t>romualdus1406@students.undip.ac.id</t>
        </is>
      </c>
      <c r="R16" t="n">
        <v>71.43000000000001</v>
      </c>
      <c r="S16" t="n">
        <v>75</v>
      </c>
      <c r="T16" t="n">
        <v>81.25</v>
      </c>
      <c r="U16" t="n">
        <v>47.06</v>
      </c>
      <c r="W16" t="n">
        <v>8.210000000000001</v>
      </c>
      <c r="Y16" t="n">
        <v>8.050000000000001</v>
      </c>
      <c r="Z16" t="n">
        <v>92</v>
      </c>
    </row>
    <row r="17">
      <c r="A17" t="inlineStr">
        <is>
          <t>24060124130066</t>
        </is>
      </c>
      <c r="B17" t="inlineStr">
        <is>
          <t>SILVANI SALSABILLA</t>
        </is>
      </c>
      <c r="C17" t="n">
        <v>4</v>
      </c>
      <c r="D17" t="inlineStr">
        <is>
          <t>BARU</t>
        </is>
      </c>
      <c r="E17" s="9" t="n">
        <v>99</v>
      </c>
      <c r="F17" s="3" t="n"/>
      <c r="G17" s="3">
        <f>(E17*0.8)+(H17*0.2)</f>
        <v/>
      </c>
      <c r="H17" s="3" t="n">
        <v>85.85749999999999</v>
      </c>
      <c r="I17" s="3" t="n">
        <v>64</v>
      </c>
      <c r="J17" s="3" t="n"/>
      <c r="K17" s="2">
        <f>ROUND( ((E17*10+F17*40+G17*5+H17*5+I17*20+J17*20) / 100), 2)</f>
        <v/>
      </c>
      <c r="L17" s="2">
        <f>IF(AND(K17&gt;=85, K17&lt;=100), "A", IF(AND(K17&gt;=80, K17&lt;=84.999999999), "AB", IF(AND(K17&gt;=75, K17&lt;=79.999999999), "B", IF(AND(K17&gt;=70, K17&lt;=74.999999999), "BC", IF(AND(K17&gt;=60, K17&lt;=69.9999999999), "C", IF(AND(K17&gt;=40, K17&lt;=59.999999999), "D", IF(AND(K17&gt;=0, K17&lt;=39.999999999), "E", "E" ) ) ) ) ) ) )</f>
        <v/>
      </c>
      <c r="M17">
        <f>IF(AND(K17&gt;=85, K17&lt;=100), "4", IF(AND(K17&gt;=80, K17&lt;=84.999999999), "3.5", IF(AND(K17&gt;=75, K17&lt;=79.999999999), "3", IF(AND(K17&gt;=70, K17&lt;=74.999999999), "2.5", IF(AND(K17&gt;=60, K17&lt;=69.9999999999), "2", IF(AND(K17&gt;=40, K17&lt;=59.999999999), "1", IF(AND(K17&gt;=0, K17&lt;=39.999999999), "0", "0" ) ) ) ) ) ) )</f>
        <v/>
      </c>
      <c r="N17" s="5" t="inlineStr">
        <is>
          <t>Cocok</t>
        </is>
      </c>
      <c r="O17" t="inlineStr">
        <is>
          <t>Silvani Salsabilla</t>
        </is>
      </c>
      <c r="P17" t="inlineStr">
        <is>
          <t>24060124130066</t>
        </is>
      </c>
      <c r="Q17" t="inlineStr">
        <is>
          <t>silvanisalsabilla@students.undip.ac.id</t>
        </is>
      </c>
      <c r="R17" t="n">
        <v>85.70999999999999</v>
      </c>
      <c r="S17" t="n">
        <v>81.25</v>
      </c>
      <c r="T17" t="n">
        <v>100</v>
      </c>
      <c r="U17" t="n">
        <v>76.47</v>
      </c>
      <c r="W17" t="n">
        <v>9.289999999999999</v>
      </c>
      <c r="Y17" t="n">
        <v>9.73</v>
      </c>
      <c r="Z17" t="n">
        <v>99</v>
      </c>
    </row>
    <row r="18">
      <c r="A18" t="inlineStr">
        <is>
          <t>24060124130114</t>
        </is>
      </c>
      <c r="B18" t="inlineStr">
        <is>
          <t>YUSTINUS HENDI SETYAWAN</t>
        </is>
      </c>
      <c r="C18" t="n">
        <v>4</v>
      </c>
      <c r="D18" t="inlineStr">
        <is>
          <t>BARU</t>
        </is>
      </c>
      <c r="E18" s="9" t="n">
        <v>97</v>
      </c>
      <c r="F18" s="3" t="n"/>
      <c r="G18" s="3">
        <f>(E18*0.8)+(H18*0.2)</f>
        <v/>
      </c>
      <c r="H18" s="3" t="n">
        <v>85.215</v>
      </c>
      <c r="I18" s="3" t="n">
        <v>65</v>
      </c>
      <c r="J18" s="3" t="n"/>
      <c r="K18" s="2">
        <f>ROUND( ((E18*10+F18*40+G18*5+H18*5+I18*20+J18*20) / 100), 2)</f>
        <v/>
      </c>
      <c r="L18" s="2">
        <f>IF(AND(K18&gt;=85, K18&lt;=100), "A", IF(AND(K18&gt;=80, K18&lt;=84.999999999), "AB", IF(AND(K18&gt;=75, K18&lt;=79.999999999), "B", IF(AND(K18&gt;=70, K18&lt;=74.999999999), "BC", IF(AND(K18&gt;=60, K18&lt;=69.9999999999), "C", IF(AND(K18&gt;=40, K18&lt;=59.999999999), "D", IF(AND(K18&gt;=0, K18&lt;=39.999999999), "E", "E" ) ) ) ) ) ) )</f>
        <v/>
      </c>
      <c r="M18">
        <f>IF(AND(K18&gt;=85, K18&lt;=100), "4", IF(AND(K18&gt;=80, K18&lt;=84.999999999), "3.5", IF(AND(K18&gt;=75, K18&lt;=79.999999999), "3", IF(AND(K18&gt;=70, K18&lt;=74.999999999), "2.5", IF(AND(K18&gt;=60, K18&lt;=69.9999999999), "2", IF(AND(K18&gt;=40, K18&lt;=59.999999999), "1", IF(AND(K18&gt;=0, K18&lt;=39.999999999), "0", "0" ) ) ) ) ) ) )</f>
        <v/>
      </c>
      <c r="N18" s="5" t="inlineStr">
        <is>
          <t>Cocok</t>
        </is>
      </c>
      <c r="O18" t="inlineStr">
        <is>
          <t>Yustinus Hendi Setyawan</t>
        </is>
      </c>
      <c r="P18" t="inlineStr">
        <is>
          <t>24060124130114</t>
        </is>
      </c>
      <c r="Q18" t="inlineStr">
        <is>
          <t>yustinushendi@students.undip.ac.id</t>
        </is>
      </c>
      <c r="R18" t="n">
        <v>85.70999999999999</v>
      </c>
      <c r="S18" t="n">
        <v>87.5</v>
      </c>
      <c r="T18" t="n">
        <v>100</v>
      </c>
      <c r="U18" t="n">
        <v>67.65000000000001</v>
      </c>
      <c r="W18" t="n">
        <v>9.289999999999999</v>
      </c>
      <c r="Y18" t="n">
        <v>7.18</v>
      </c>
      <c r="Z18" t="n">
        <v>97</v>
      </c>
    </row>
    <row r="19">
      <c r="A19" t="inlineStr">
        <is>
          <t>24060124130122</t>
        </is>
      </c>
      <c r="B19" t="inlineStr">
        <is>
          <t>RIDHO TRI SAPUTRA</t>
        </is>
      </c>
      <c r="C19" t="n">
        <v>4</v>
      </c>
      <c r="D19" t="inlineStr">
        <is>
          <t>BARU</t>
        </is>
      </c>
      <c r="E19" s="9" t="n">
        <v>97</v>
      </c>
      <c r="F19" s="3" t="n"/>
      <c r="G19" s="3">
        <f>(E19*0.8)+(H19*0.2)</f>
        <v/>
      </c>
      <c r="H19" s="3" t="n">
        <v>76.59999999999999</v>
      </c>
      <c r="I19" s="3" t="n">
        <v>82</v>
      </c>
      <c r="J19" s="3" t="n"/>
      <c r="K19" s="2">
        <f>ROUND( ((E19*10+F19*40+G19*5+H19*5+I19*20+J19*20) / 100), 2)</f>
        <v/>
      </c>
      <c r="L19" s="2">
        <f>IF(AND(K19&gt;=85, K19&lt;=100), "A", IF(AND(K19&gt;=80, K19&lt;=84.999999999), "AB", IF(AND(K19&gt;=75, K19&lt;=79.999999999), "B", IF(AND(K19&gt;=70, K19&lt;=74.999999999), "BC", IF(AND(K19&gt;=60, K19&lt;=69.9999999999), "C", IF(AND(K19&gt;=40, K19&lt;=59.999999999), "D", IF(AND(K19&gt;=0, K19&lt;=39.999999999), "E", "E" ) ) ) ) ) ) )</f>
        <v/>
      </c>
      <c r="M19">
        <f>IF(AND(K19&gt;=85, K19&lt;=100), "4", IF(AND(K19&gt;=80, K19&lt;=84.999999999), "3.5", IF(AND(K19&gt;=75, K19&lt;=79.999999999), "3", IF(AND(K19&gt;=70, K19&lt;=74.999999999), "2.5", IF(AND(K19&gt;=60, K19&lt;=69.9999999999), "2", IF(AND(K19&gt;=40, K19&lt;=59.999999999), "1", IF(AND(K19&gt;=0, K19&lt;=39.999999999), "0", "0" ) ) ) ) ) ) )</f>
        <v/>
      </c>
      <c r="N19" s="5" t="inlineStr">
        <is>
          <t>Cocok</t>
        </is>
      </c>
      <c r="O19" t="inlineStr">
        <is>
          <t>Ridho Tri Saputra</t>
        </is>
      </c>
      <c r="P19" t="inlineStr">
        <is>
          <t>24060124130122</t>
        </is>
      </c>
      <c r="Q19" t="inlineStr">
        <is>
          <t>rdhtri@students.undip.ac.id</t>
        </is>
      </c>
      <c r="R19" t="n">
        <v>57.14</v>
      </c>
      <c r="S19" t="n">
        <v>87.5</v>
      </c>
      <c r="T19" t="n">
        <v>100</v>
      </c>
      <c r="U19" t="n">
        <v>61.76</v>
      </c>
      <c r="W19" t="n">
        <v>9.289999999999999</v>
      </c>
      <c r="Z19" t="n">
        <v>97</v>
      </c>
    </row>
    <row r="20">
      <c r="A20" t="inlineStr">
        <is>
          <t>24060124140129</t>
        </is>
      </c>
      <c r="B20" t="inlineStr">
        <is>
          <t>REVANSKA MUHAMMAD ATHALLAH</t>
        </is>
      </c>
      <c r="C20" t="n">
        <v>4</v>
      </c>
      <c r="D20" t="inlineStr">
        <is>
          <t>BARU</t>
        </is>
      </c>
      <c r="E20" s="9" t="n">
        <v>96</v>
      </c>
      <c r="F20" s="3" t="n"/>
      <c r="G20" s="3">
        <f>(E20*0.8)+(H20*0.2)</f>
        <v/>
      </c>
      <c r="H20" s="3" t="n">
        <v>71.1675</v>
      </c>
      <c r="I20" s="3" t="n">
        <v>65</v>
      </c>
      <c r="J20" s="3" t="n"/>
      <c r="K20" s="2">
        <f>ROUND( ((E20*10+F20*40+G20*5+H20*5+I20*20+J20*20) / 100), 2)</f>
        <v/>
      </c>
      <c r="L20" s="2">
        <f>IF(AND(K20&gt;=85, K20&lt;=100), "A", IF(AND(K20&gt;=80, K20&lt;=84.999999999), "AB", IF(AND(K20&gt;=75, K20&lt;=79.999999999), "B", IF(AND(K20&gt;=70, K20&lt;=74.999999999), "BC", IF(AND(K20&gt;=60, K20&lt;=69.9999999999), "C", IF(AND(K20&gt;=40, K20&lt;=59.999999999), "D", IF(AND(K20&gt;=0, K20&lt;=39.999999999), "E", "E" ) ) ) ) ) ) )</f>
        <v/>
      </c>
      <c r="M20">
        <f>IF(AND(K20&gt;=85, K20&lt;=100), "4", IF(AND(K20&gt;=80, K20&lt;=84.999999999), "3.5", IF(AND(K20&gt;=75, K20&lt;=79.999999999), "3", IF(AND(K20&gt;=70, K20&lt;=74.999999999), "2.5", IF(AND(K20&gt;=60, K20&lt;=69.9999999999), "2", IF(AND(K20&gt;=40, K20&lt;=59.999999999), "1", IF(AND(K20&gt;=0, K20&lt;=39.999999999), "0", "0" ) ) ) ) ) ) )</f>
        <v/>
      </c>
      <c r="N20" s="5" t="inlineStr">
        <is>
          <t>Cocok</t>
        </is>
      </c>
      <c r="O20" t="inlineStr">
        <is>
          <t>Revanska Muhammad Athallah</t>
        </is>
      </c>
      <c r="P20" t="inlineStr">
        <is>
          <t>24060124140129</t>
        </is>
      </c>
      <c r="Q20" t="inlineStr">
        <is>
          <t>revanska@students.undip.ac.id</t>
        </is>
      </c>
      <c r="R20" t="n">
        <v>71.43000000000001</v>
      </c>
      <c r="S20" t="n">
        <v>81.25</v>
      </c>
      <c r="T20" t="n">
        <v>93.75</v>
      </c>
      <c r="U20" t="n">
        <v>38.24</v>
      </c>
      <c r="W20" t="n">
        <v>7.86</v>
      </c>
      <c r="Y20" t="n">
        <v>6.84</v>
      </c>
      <c r="Z20" t="n">
        <v>96</v>
      </c>
    </row>
    <row r="21">
      <c r="A21" t="inlineStr">
        <is>
          <t>24060124140154</t>
        </is>
      </c>
      <c r="B21" t="inlineStr">
        <is>
          <t>SYAHRAFI AHMAD PRADIKA</t>
        </is>
      </c>
      <c r="C21" t="n">
        <v>4</v>
      </c>
      <c r="D21" t="inlineStr">
        <is>
          <t>BARU</t>
        </is>
      </c>
      <c r="E21" s="9" t="n">
        <v>94.33</v>
      </c>
      <c r="F21" s="3" t="n"/>
      <c r="G21" s="3">
        <f>(E21*0.8)+(H21*0.2)</f>
        <v/>
      </c>
      <c r="H21" s="3" t="n">
        <v>72.005</v>
      </c>
      <c r="I21" s="3" t="n">
        <v>86</v>
      </c>
      <c r="J21" s="3" t="n"/>
      <c r="K21" s="2">
        <f>ROUND( ((E21*10+F21*40+G21*5+H21*5+I21*20+J21*20) / 100), 2)</f>
        <v/>
      </c>
      <c r="L21" s="2">
        <f>IF(AND(K21&gt;=85, K21&lt;=100), "A", IF(AND(K21&gt;=80, K21&lt;=84.999999999), "AB", IF(AND(K21&gt;=75, K21&lt;=79.999999999), "B", IF(AND(K21&gt;=70, K21&lt;=74.999999999), "BC", IF(AND(K21&gt;=60, K21&lt;=69.9999999999), "C", IF(AND(K21&gt;=40, K21&lt;=59.999999999), "D", IF(AND(K21&gt;=0, K21&lt;=39.999999999), "E", "E" ) ) ) ) ) ) )</f>
        <v/>
      </c>
      <c r="M21">
        <f>IF(AND(K21&gt;=85, K21&lt;=100), "4", IF(AND(K21&gt;=80, K21&lt;=84.999999999), "3.5", IF(AND(K21&gt;=75, K21&lt;=79.999999999), "3", IF(AND(K21&gt;=70, K21&lt;=74.999999999), "2.5", IF(AND(K21&gt;=60, K21&lt;=69.9999999999), "2", IF(AND(K21&gt;=40, K21&lt;=59.999999999), "1", IF(AND(K21&gt;=0, K21&lt;=39.999999999), "0", "0" ) ) ) ) ) ) )</f>
        <v/>
      </c>
      <c r="N21" s="5" t="inlineStr">
        <is>
          <t>Cocok</t>
        </is>
      </c>
      <c r="O21" t="inlineStr">
        <is>
          <t>Syahrafi Ahmad Pradika</t>
        </is>
      </c>
      <c r="P21" t="inlineStr">
        <is>
          <t>24060124140154</t>
        </is>
      </c>
      <c r="Q21" t="inlineStr">
        <is>
          <t>syahrafi@students.undip.ac.id</t>
        </is>
      </c>
      <c r="R21" t="n">
        <v>57.14</v>
      </c>
      <c r="S21" t="n">
        <v>81.25</v>
      </c>
      <c r="T21" t="n">
        <v>93.75</v>
      </c>
      <c r="U21" t="n">
        <v>55.88</v>
      </c>
      <c r="W21" t="n">
        <v>8.210000000000001</v>
      </c>
      <c r="Y21" t="n">
        <v>9.640000000000001</v>
      </c>
      <c r="Z21" t="n">
        <v>94.33</v>
      </c>
    </row>
    <row r="22">
      <c r="A22" t="inlineStr">
        <is>
          <t>24060124120011</t>
        </is>
      </c>
      <c r="B22" t="inlineStr">
        <is>
          <t>KHANZA QAILA</t>
        </is>
      </c>
      <c r="C22" t="n">
        <v>4</v>
      </c>
      <c r="D22" t="inlineStr">
        <is>
          <t>BARU</t>
        </is>
      </c>
      <c r="E22" s="9" t="n">
        <v>93.33</v>
      </c>
      <c r="F22" s="3" t="n"/>
      <c r="G22" s="3">
        <f>(E22*0.8)+(H22*0.2)</f>
        <v/>
      </c>
      <c r="H22" s="3" t="n">
        <v>76.3125</v>
      </c>
      <c r="I22" s="3" t="n">
        <v>80</v>
      </c>
      <c r="J22" s="3" t="n"/>
      <c r="K22" s="2">
        <f>ROUND( ((E22*10+F22*40+G22*5+H22*5+I22*20+J22*20) / 100), 2)</f>
        <v/>
      </c>
      <c r="L22" s="2">
        <f>IF(AND(K22&gt;=85, K22&lt;=100), "A", IF(AND(K22&gt;=80, K22&lt;=84.999999999), "AB", IF(AND(K22&gt;=75, K22&lt;=79.999999999), "B", IF(AND(K22&gt;=70, K22&lt;=74.999999999), "BC", IF(AND(K22&gt;=60, K22&lt;=69.9999999999), "C", IF(AND(K22&gt;=40, K22&lt;=59.999999999), "D", IF(AND(K22&gt;=0, K22&lt;=39.999999999), "E", "E" ) ) ) ) ) ) )</f>
        <v/>
      </c>
      <c r="M22">
        <f>IF(AND(K22&gt;=85, K22&lt;=100), "4", IF(AND(K22&gt;=80, K22&lt;=84.999999999), "3.5", IF(AND(K22&gt;=75, K22&lt;=79.999999999), "3", IF(AND(K22&gt;=70, K22&lt;=74.999999999), "2.5", IF(AND(K22&gt;=60, K22&lt;=69.9999999999), "2", IF(AND(K22&gt;=40, K22&lt;=59.999999999), "1", IF(AND(K22&gt;=0, K22&lt;=39.999999999), "0", "0" ) ) ) ) ) ) )</f>
        <v/>
      </c>
      <c r="N22" s="5" t="inlineStr">
        <is>
          <t>Cocok</t>
        </is>
      </c>
      <c r="O22" t="inlineStr">
        <is>
          <t>Khanza Qaila</t>
        </is>
      </c>
      <c r="P22" t="inlineStr">
        <is>
          <t>24060124120011</t>
        </is>
      </c>
      <c r="Q22" t="inlineStr">
        <is>
          <t>khanzaqaila@students.undip.ac.id</t>
        </is>
      </c>
      <c r="R22" t="n">
        <v>71.43000000000001</v>
      </c>
      <c r="S22" t="n">
        <v>87.5</v>
      </c>
      <c r="T22" t="n">
        <v>87.5</v>
      </c>
      <c r="U22" t="n">
        <v>58.82</v>
      </c>
      <c r="W22" t="n">
        <v>8.93</v>
      </c>
      <c r="Z22" t="n">
        <v>93.33</v>
      </c>
    </row>
    <row r="23">
      <c r="A23" t="inlineStr">
        <is>
          <t>24060124120031</t>
        </is>
      </c>
      <c r="B23" t="inlineStr">
        <is>
          <t>MISBACHUL MUNIR</t>
        </is>
      </c>
      <c r="C23" t="n">
        <v>4</v>
      </c>
      <c r="D23" t="inlineStr">
        <is>
          <t>BARU</t>
        </is>
      </c>
      <c r="E23" s="9" t="n">
        <v>97.33</v>
      </c>
      <c r="F23" s="3" t="n"/>
      <c r="G23" s="3">
        <f>(E23*0.8)+(H23*0.2)</f>
        <v/>
      </c>
      <c r="H23" s="3" t="n">
        <v>83.84999999999999</v>
      </c>
      <c r="I23" s="3" t="n">
        <v>86</v>
      </c>
      <c r="J23" s="3" t="n"/>
      <c r="K23" s="2">
        <f>ROUND( ((E23*10+F23*40+G23*5+H23*5+I23*20+J23*20) / 100), 2)</f>
        <v/>
      </c>
      <c r="L23" s="2">
        <f>IF(AND(K23&gt;=85, K23&lt;=100), "A", IF(AND(K23&gt;=80, K23&lt;=84.999999999), "AB", IF(AND(K23&gt;=75, K23&lt;=79.999999999), "B", IF(AND(K23&gt;=70, K23&lt;=74.999999999), "BC", IF(AND(K23&gt;=60, K23&lt;=69.9999999999), "C", IF(AND(K23&gt;=40, K23&lt;=59.999999999), "D", IF(AND(K23&gt;=0, K23&lt;=39.999999999), "E", "E" ) ) ) ) ) ) )</f>
        <v/>
      </c>
      <c r="M23">
        <f>IF(AND(K23&gt;=85, K23&lt;=100), "4", IF(AND(K23&gt;=80, K23&lt;=84.999999999), "3.5", IF(AND(K23&gt;=75, K23&lt;=79.999999999), "3", IF(AND(K23&gt;=70, K23&lt;=74.999999999), "2.5", IF(AND(K23&gt;=60, K23&lt;=69.9999999999), "2", IF(AND(K23&gt;=40, K23&lt;=59.999999999), "1", IF(AND(K23&gt;=0, K23&lt;=39.999999999), "0", "0" ) ) ) ) ) ) )</f>
        <v/>
      </c>
      <c r="N23" s="5" t="inlineStr">
        <is>
          <t>Cocok</t>
        </is>
      </c>
      <c r="O23" t="inlineStr">
        <is>
          <t>Misbachul Munir</t>
        </is>
      </c>
      <c r="P23" t="inlineStr">
        <is>
          <t>24060124120031</t>
        </is>
      </c>
      <c r="Q23" t="inlineStr">
        <is>
          <t>almunirmisbah@students.undip.ac.id</t>
        </is>
      </c>
      <c r="R23" t="n">
        <v>71.43000000000001</v>
      </c>
      <c r="S23" t="n">
        <v>87.5</v>
      </c>
      <c r="T23" t="n">
        <v>100</v>
      </c>
      <c r="U23" t="n">
        <v>76.47</v>
      </c>
      <c r="W23" t="n">
        <v>8.93</v>
      </c>
      <c r="Y23" t="n">
        <v>6.41</v>
      </c>
      <c r="Z23" t="n">
        <v>97.33</v>
      </c>
    </row>
    <row r="24">
      <c r="A24" t="inlineStr">
        <is>
          <t>24060124130074</t>
        </is>
      </c>
      <c r="B24" t="inlineStr">
        <is>
          <t>KIYOSHI AKILA TIRA</t>
        </is>
      </c>
      <c r="C24" t="n">
        <v>4</v>
      </c>
      <c r="D24" t="inlineStr">
        <is>
          <t>BARU</t>
        </is>
      </c>
      <c r="E24" s="9" t="n">
        <v>86</v>
      </c>
      <c r="F24" s="3" t="n"/>
      <c r="G24" s="3">
        <f>(E24*0.8)+(H24*0.2)</f>
        <v/>
      </c>
      <c r="H24" s="3" t="n">
        <v>78.33500000000001</v>
      </c>
      <c r="I24" s="3" t="n">
        <v>69</v>
      </c>
      <c r="J24" s="3" t="n"/>
      <c r="K24" s="2">
        <f>ROUND( ((E24*10+F24*40+G24*5+H24*5+I24*20+J24*20) / 100), 2)</f>
        <v/>
      </c>
      <c r="L24" s="2">
        <f>IF(AND(K24&gt;=85, K24&lt;=100), "A", IF(AND(K24&gt;=80, K24&lt;=84.999999999), "AB", IF(AND(K24&gt;=75, K24&lt;=79.999999999), "B", IF(AND(K24&gt;=70, K24&lt;=74.999999999), "BC", IF(AND(K24&gt;=60, K24&lt;=69.9999999999), "C", IF(AND(K24&gt;=40, K24&lt;=59.999999999), "D", IF(AND(K24&gt;=0, K24&lt;=39.999999999), "E", "E" ) ) ) ) ) ) )</f>
        <v/>
      </c>
      <c r="M24">
        <f>IF(AND(K24&gt;=85, K24&lt;=100), "4", IF(AND(K24&gt;=80, K24&lt;=84.999999999), "3.5", IF(AND(K24&gt;=75, K24&lt;=79.999999999), "3", IF(AND(K24&gt;=70, K24&lt;=74.999999999), "2.5", IF(AND(K24&gt;=60, K24&lt;=69.9999999999), "2", IF(AND(K24&gt;=40, K24&lt;=59.999999999), "1", IF(AND(K24&gt;=0, K24&lt;=39.999999999), "0", "0" ) ) ) ) ) ) )</f>
        <v/>
      </c>
      <c r="N24" s="5" t="inlineStr">
        <is>
          <t>Cocok</t>
        </is>
      </c>
      <c r="O24" t="inlineStr">
        <is>
          <t>Kiyoshi Akila Tira</t>
        </is>
      </c>
      <c r="P24" t="inlineStr">
        <is>
          <t>24060124130074</t>
        </is>
      </c>
      <c r="Q24" t="inlineStr">
        <is>
          <t>kiyoshiatira@students.undip.ac.id</t>
        </is>
      </c>
      <c r="R24" t="n">
        <v>71.43000000000001</v>
      </c>
      <c r="S24" t="n">
        <v>81.25</v>
      </c>
      <c r="T24" t="n">
        <v>81.25</v>
      </c>
      <c r="U24" t="n">
        <v>79.41</v>
      </c>
      <c r="W24" t="n">
        <v>8.57</v>
      </c>
      <c r="Y24" t="n">
        <v>8.09</v>
      </c>
      <c r="Z24" t="n">
        <v>86</v>
      </c>
    </row>
    <row r="25">
      <c r="A25" t="inlineStr">
        <is>
          <t>24060124140203</t>
        </is>
      </c>
      <c r="B25" t="inlineStr">
        <is>
          <t>MOHAMMAD NAJIB FITRIANTO</t>
        </is>
      </c>
      <c r="C25" t="n">
        <v>4</v>
      </c>
      <c r="D25" t="inlineStr">
        <is>
          <t>BARU</t>
        </is>
      </c>
      <c r="E25" s="9" t="n">
        <v>76</v>
      </c>
      <c r="F25" s="3" t="n"/>
      <c r="G25" s="3">
        <f>(E25*0.8)+(H25*0.2)</f>
        <v/>
      </c>
      <c r="H25" s="3" t="n">
        <v>77.97999999999999</v>
      </c>
      <c r="I25" s="3" t="n">
        <v>84</v>
      </c>
      <c r="J25" s="3" t="n"/>
      <c r="K25" s="2">
        <f>ROUND( ((E25*10+F25*40+G25*5+H25*5+I25*20+J25*20) / 100), 2)</f>
        <v/>
      </c>
      <c r="L25" s="2">
        <f>IF(AND(K25&gt;=85, K25&lt;=100), "A", IF(AND(K25&gt;=80, K25&lt;=84.999999999), "AB", IF(AND(K25&gt;=75, K25&lt;=79.999999999), "B", IF(AND(K25&gt;=70, K25&lt;=74.999999999), "BC", IF(AND(K25&gt;=60, K25&lt;=69.9999999999), "C", IF(AND(K25&gt;=40, K25&lt;=59.999999999), "D", IF(AND(K25&gt;=0, K25&lt;=39.999999999), "E", "E" ) ) ) ) ) ) )</f>
        <v/>
      </c>
      <c r="M25">
        <f>IF(AND(K25&gt;=85, K25&lt;=100), "4", IF(AND(K25&gt;=80, K25&lt;=84.999999999), "3.5", IF(AND(K25&gt;=75, K25&lt;=79.999999999), "3", IF(AND(K25&gt;=70, K25&lt;=74.999999999), "2.5", IF(AND(K25&gt;=60, K25&lt;=69.9999999999), "2", IF(AND(K25&gt;=40, K25&lt;=59.999999999), "1", IF(AND(K25&gt;=0, K25&lt;=39.999999999), "0", "0" ) ) ) ) ) ) )</f>
        <v/>
      </c>
      <c r="N25" s="5" t="inlineStr">
        <is>
          <t>Cocok</t>
        </is>
      </c>
      <c r="O25" t="inlineStr">
        <is>
          <t>Mohammad Najib Fitrianto</t>
        </is>
      </c>
      <c r="P25" t="inlineStr">
        <is>
          <t>24060124140203</t>
        </is>
      </c>
      <c r="Q25" t="inlineStr">
        <is>
          <t>najibfitrianto@students.undip.ac.id</t>
        </is>
      </c>
      <c r="R25" t="n">
        <v>57.14</v>
      </c>
      <c r="S25" t="n">
        <v>87.5</v>
      </c>
      <c r="T25" t="n">
        <v>93.75</v>
      </c>
      <c r="U25" t="n">
        <v>73.53</v>
      </c>
      <c r="W25" t="n">
        <v>7.86</v>
      </c>
      <c r="Y25" t="n">
        <v>0.18</v>
      </c>
      <c r="Z25" t="n">
        <v>76</v>
      </c>
    </row>
    <row r="26">
      <c r="A26" t="inlineStr">
        <is>
          <t>24060124130076</t>
        </is>
      </c>
      <c r="B26" t="inlineStr">
        <is>
          <t>JOHAN REINHART CALVIN</t>
        </is>
      </c>
      <c r="C26" t="n">
        <v>4</v>
      </c>
      <c r="D26" t="inlineStr">
        <is>
          <t>BARU</t>
        </is>
      </c>
      <c r="E26" s="9" t="n">
        <v>95</v>
      </c>
      <c r="F26" s="3" t="n"/>
      <c r="G26" s="3">
        <f>(E26*0.8)+(H26*0.2)</f>
        <v/>
      </c>
      <c r="H26" s="3" t="n">
        <v>88.0625</v>
      </c>
      <c r="I26" s="3" t="n">
        <v>69</v>
      </c>
      <c r="J26" s="3" t="n"/>
      <c r="K26" s="2">
        <f>ROUND( ((E26*10+F26*40+G26*5+H26*5+I26*20+J26*20) / 100), 2)</f>
        <v/>
      </c>
      <c r="L26" s="2">
        <f>IF(AND(K26&gt;=85, K26&lt;=100), "A", IF(AND(K26&gt;=80, K26&lt;=84.999999999), "AB", IF(AND(K26&gt;=75, K26&lt;=79.999999999), "B", IF(AND(K26&gt;=70, K26&lt;=74.999999999), "BC", IF(AND(K26&gt;=60, K26&lt;=69.9999999999), "C", IF(AND(K26&gt;=40, K26&lt;=59.999999999), "D", IF(AND(K26&gt;=0, K26&lt;=39.999999999), "E", "E" ) ) ) ) ) ) )</f>
        <v/>
      </c>
      <c r="M26">
        <f>IF(AND(K26&gt;=85, K26&lt;=100), "4", IF(AND(K26&gt;=80, K26&lt;=84.999999999), "3.5", IF(AND(K26&gt;=75, K26&lt;=79.999999999), "3", IF(AND(K26&gt;=70, K26&lt;=74.999999999), "2.5", IF(AND(K26&gt;=60, K26&lt;=69.9999999999), "2", IF(AND(K26&gt;=40, K26&lt;=59.999999999), "1", IF(AND(K26&gt;=0, K26&lt;=39.999999999), "0", "0" ) ) ) ) ) ) )</f>
        <v/>
      </c>
      <c r="N26" s="5" t="inlineStr">
        <is>
          <t>Cocok</t>
        </is>
      </c>
      <c r="O26" t="inlineStr">
        <is>
          <t>Johan Reinhart Calvin</t>
        </is>
      </c>
      <c r="P26" t="inlineStr">
        <is>
          <t>24060124130076</t>
        </is>
      </c>
      <c r="Q26" t="inlineStr">
        <is>
          <t>johanrcalvin@students.undip.ac.id</t>
        </is>
      </c>
      <c r="R26" t="n">
        <v>85.70999999999999</v>
      </c>
      <c r="S26" t="n">
        <v>87.5</v>
      </c>
      <c r="T26" t="n">
        <v>93.75</v>
      </c>
      <c r="U26" t="n">
        <v>85.29000000000001</v>
      </c>
      <c r="W26" t="n">
        <v>8.210000000000001</v>
      </c>
      <c r="Z26" t="n">
        <v>95</v>
      </c>
    </row>
    <row r="27">
      <c r="A27" t="inlineStr">
        <is>
          <t>24060124130084</t>
        </is>
      </c>
      <c r="B27" t="inlineStr">
        <is>
          <t>JESSICA LAURENCIA PANJAITAN</t>
        </is>
      </c>
      <c r="C27" t="n">
        <v>4</v>
      </c>
      <c r="D27" t="inlineStr">
        <is>
          <t>BARU</t>
        </is>
      </c>
      <c r="E27" s="9" t="n">
        <v>92</v>
      </c>
      <c r="F27" s="3" t="n"/>
      <c r="G27" s="3">
        <f>(E27*0.8)+(H27*0.2)</f>
        <v/>
      </c>
      <c r="H27" s="3" t="n">
        <v>75.67</v>
      </c>
      <c r="I27" s="3" t="n">
        <v>82</v>
      </c>
      <c r="J27" s="3" t="n"/>
      <c r="K27" s="2">
        <f>ROUND( ((E27*10+F27*40+G27*5+H27*5+I27*20+J27*20) / 100), 2)</f>
        <v/>
      </c>
      <c r="L27" s="2">
        <f>IF(AND(K27&gt;=85, K27&lt;=100), "A", IF(AND(K27&gt;=80, K27&lt;=84.999999999), "AB", IF(AND(K27&gt;=75, K27&lt;=79.999999999), "B", IF(AND(K27&gt;=70, K27&lt;=74.999999999), "BC", IF(AND(K27&gt;=60, K27&lt;=69.9999999999), "C", IF(AND(K27&gt;=40, K27&lt;=59.999999999), "D", IF(AND(K27&gt;=0, K27&lt;=39.999999999), "E", "E" ) ) ) ) ) ) )</f>
        <v/>
      </c>
      <c r="M27">
        <f>IF(AND(K27&gt;=85, K27&lt;=100), "4", IF(AND(K27&gt;=80, K27&lt;=84.999999999), "3.5", IF(AND(K27&gt;=75, K27&lt;=79.999999999), "3", IF(AND(K27&gt;=70, K27&lt;=74.999999999), "2.5", IF(AND(K27&gt;=60, K27&lt;=69.9999999999), "2", IF(AND(K27&gt;=40, K27&lt;=59.999999999), "1", IF(AND(K27&gt;=0, K27&lt;=39.999999999), "0", "0" ) ) ) ) ) ) )</f>
        <v/>
      </c>
      <c r="N27" s="5" t="inlineStr">
        <is>
          <t>Cocok</t>
        </is>
      </c>
      <c r="O27" t="inlineStr">
        <is>
          <t>Jessica Laurencia Panjaitan</t>
        </is>
      </c>
      <c r="P27" t="inlineStr">
        <is>
          <t>24060124130084</t>
        </is>
      </c>
      <c r="Q27" t="inlineStr">
        <is>
          <t>jessicalaurencia@students.undip.ac.id</t>
        </is>
      </c>
      <c r="R27" t="n">
        <v>71.43000000000001</v>
      </c>
      <c r="S27" t="n">
        <v>87.5</v>
      </c>
      <c r="T27" t="n">
        <v>93.75</v>
      </c>
      <c r="U27" t="n">
        <v>50</v>
      </c>
      <c r="W27" t="n">
        <v>8.93</v>
      </c>
      <c r="Y27" t="n">
        <v>9.18</v>
      </c>
      <c r="Z27" t="n">
        <v>92</v>
      </c>
    </row>
    <row r="28">
      <c r="A28" t="inlineStr">
        <is>
          <t>24060124140198</t>
        </is>
      </c>
      <c r="B28" t="inlineStr">
        <is>
          <t>ILHAM MUHAMMAD RAFFI</t>
        </is>
      </c>
      <c r="C28" t="n">
        <v>4</v>
      </c>
      <c r="D28" t="inlineStr">
        <is>
          <t>BARU</t>
        </is>
      </c>
      <c r="E28" s="9" t="n">
        <v>95</v>
      </c>
      <c r="F28" s="3" t="n"/>
      <c r="G28" s="3">
        <f>(E28*0.8)+(H28*0.2)</f>
        <v/>
      </c>
      <c r="H28" s="3" t="n">
        <v>66.3875</v>
      </c>
      <c r="I28" s="3" t="n">
        <v>69</v>
      </c>
      <c r="J28" s="3" t="n"/>
      <c r="K28" s="2">
        <f>ROUND( ((E28*10+F28*40+G28*5+H28*5+I28*20+J28*20) / 100), 2)</f>
        <v/>
      </c>
      <c r="L28" s="2">
        <f>IF(AND(K28&gt;=85, K28&lt;=100), "A", IF(AND(K28&gt;=80, K28&lt;=84.999999999), "AB", IF(AND(K28&gt;=75, K28&lt;=79.999999999), "B", IF(AND(K28&gt;=70, K28&lt;=74.999999999), "BC", IF(AND(K28&gt;=60, K28&lt;=69.9999999999), "C", IF(AND(K28&gt;=40, K28&lt;=59.999999999), "D", IF(AND(K28&gt;=0, K28&lt;=39.999999999), "E", "E" ) ) ) ) ) ) )</f>
        <v/>
      </c>
      <c r="M28">
        <f>IF(AND(K28&gt;=85, K28&lt;=100), "4", IF(AND(K28&gt;=80, K28&lt;=84.999999999), "3.5", IF(AND(K28&gt;=75, K28&lt;=79.999999999), "3", IF(AND(K28&gt;=70, K28&lt;=74.999999999), "2.5", IF(AND(K28&gt;=60, K28&lt;=69.9999999999), "2", IF(AND(K28&gt;=40, K28&lt;=59.999999999), "1", IF(AND(K28&gt;=0, K28&lt;=39.999999999), "0", "0" ) ) ) ) ) ) )</f>
        <v/>
      </c>
      <c r="N28" s="5" t="inlineStr">
        <is>
          <t>Cocok</t>
        </is>
      </c>
      <c r="O28" t="inlineStr">
        <is>
          <t>Ilham Muhammad Raffi</t>
        </is>
      </c>
      <c r="P28" t="inlineStr">
        <is>
          <t>24060124140198</t>
        </is>
      </c>
      <c r="Q28" t="inlineStr">
        <is>
          <t>ilhamraffi@students.undip.ac.id</t>
        </is>
      </c>
      <c r="R28" t="n">
        <v>71.43000000000001</v>
      </c>
      <c r="S28" t="n">
        <v>68.75</v>
      </c>
      <c r="T28" t="n">
        <v>81.25</v>
      </c>
      <c r="U28" t="n">
        <v>44.12</v>
      </c>
      <c r="W28" t="n">
        <v>8.93</v>
      </c>
      <c r="Z28" t="n">
        <v>95</v>
      </c>
    </row>
    <row r="29">
      <c r="A29" t="inlineStr">
        <is>
          <t>24060124120037</t>
        </is>
      </c>
      <c r="B29" t="inlineStr">
        <is>
          <t>MUHAMMAD FAHRI</t>
        </is>
      </c>
      <c r="C29" t="n">
        <v>4</v>
      </c>
      <c r="D29" t="inlineStr">
        <is>
          <t>BARU</t>
        </is>
      </c>
      <c r="E29" s="9" t="n">
        <v>94</v>
      </c>
      <c r="F29" s="3" t="n"/>
      <c r="G29" s="3">
        <f>(E29*0.8)+(H29*0.2)</f>
        <v/>
      </c>
      <c r="H29" s="3" t="n">
        <v>86.14750000000001</v>
      </c>
      <c r="I29" s="3" t="n">
        <v>83</v>
      </c>
      <c r="J29" s="3" t="n"/>
      <c r="K29" s="2">
        <f>ROUND( ((E29*10+F29*40+G29*5+H29*5+I29*20+J29*20) / 100), 2)</f>
        <v/>
      </c>
      <c r="L29" s="2">
        <f>IF(AND(K29&gt;=85, K29&lt;=100), "A", IF(AND(K29&gt;=80, K29&lt;=84.999999999), "AB", IF(AND(K29&gt;=75, K29&lt;=79.999999999), "B", IF(AND(K29&gt;=70, K29&lt;=74.999999999), "BC", IF(AND(K29&gt;=60, K29&lt;=69.9999999999), "C", IF(AND(K29&gt;=40, K29&lt;=59.999999999), "D", IF(AND(K29&gt;=0, K29&lt;=39.999999999), "E", "E" ) ) ) ) ) ) )</f>
        <v/>
      </c>
      <c r="M29">
        <f>IF(AND(K29&gt;=85, K29&lt;=100), "4", IF(AND(K29&gt;=80, K29&lt;=84.999999999), "3.5", IF(AND(K29&gt;=75, K29&lt;=79.999999999), "3", IF(AND(K29&gt;=70, K29&lt;=74.999999999), "2.5", IF(AND(K29&gt;=60, K29&lt;=69.9999999999), "2", IF(AND(K29&gt;=40, K29&lt;=59.999999999), "1", IF(AND(K29&gt;=0, K29&lt;=39.999999999), "0", "0" ) ) ) ) ) ) )</f>
        <v/>
      </c>
      <c r="N29" s="5" t="inlineStr">
        <is>
          <t>Cocok</t>
        </is>
      </c>
      <c r="O29" t="inlineStr">
        <is>
          <t>Muhammad Fahri</t>
        </is>
      </c>
      <c r="P29" t="inlineStr">
        <is>
          <t>24060124120037</t>
        </is>
      </c>
      <c r="Q29" t="inlineStr">
        <is>
          <t>fahrimuh21@students.undip.ac.id</t>
        </is>
      </c>
      <c r="R29" t="n">
        <v>71.43000000000001</v>
      </c>
      <c r="S29" t="n">
        <v>93.75</v>
      </c>
      <c r="T29" t="n">
        <v>100</v>
      </c>
      <c r="U29" t="n">
        <v>79.41</v>
      </c>
      <c r="W29" t="n">
        <v>9.289999999999999</v>
      </c>
      <c r="Y29" t="n">
        <v>5.36</v>
      </c>
      <c r="Z29" t="n">
        <v>94</v>
      </c>
    </row>
    <row r="30">
      <c r="A30" t="inlineStr">
        <is>
          <t>24060124130069</t>
        </is>
      </c>
      <c r="B30" t="inlineStr">
        <is>
          <t>MUHAMMAD FIKRI</t>
        </is>
      </c>
      <c r="C30" t="n">
        <v>4</v>
      </c>
      <c r="D30" t="inlineStr">
        <is>
          <t>BARU</t>
        </is>
      </c>
      <c r="E30" s="9" t="n">
        <v>78.33</v>
      </c>
      <c r="F30" s="3" t="n"/>
      <c r="G30" s="3">
        <f>(E30*0.8)+(H30*0.2)</f>
        <v/>
      </c>
      <c r="H30" s="3" t="n">
        <v>80.33</v>
      </c>
      <c r="I30" s="3" t="n">
        <v>80</v>
      </c>
      <c r="J30" s="3" t="n"/>
      <c r="K30" s="2">
        <f>ROUND( ((E30*10+F30*40+G30*5+H30*5+I30*20+J30*20) / 100), 2)</f>
        <v/>
      </c>
      <c r="L30" s="2">
        <f>IF(AND(K30&gt;=85, K30&lt;=100), "A", IF(AND(K30&gt;=80, K30&lt;=84.999999999), "AB", IF(AND(K30&gt;=75, K30&lt;=79.999999999), "B", IF(AND(K30&gt;=70, K30&lt;=74.999999999), "BC", IF(AND(K30&gt;=60, K30&lt;=69.9999999999), "C", IF(AND(K30&gt;=40, K30&lt;=59.999999999), "D", IF(AND(K30&gt;=0, K30&lt;=39.999999999), "E", "E" ) ) ) ) ) ) )</f>
        <v/>
      </c>
      <c r="M30">
        <f>IF(AND(K30&gt;=85, K30&lt;=100), "4", IF(AND(K30&gt;=80, K30&lt;=84.999999999), "3.5", IF(AND(K30&gt;=75, K30&lt;=79.999999999), "3", IF(AND(K30&gt;=70, K30&lt;=74.999999999), "2.5", IF(AND(K30&gt;=60, K30&lt;=69.9999999999), "2", IF(AND(K30&gt;=40, K30&lt;=59.999999999), "1", IF(AND(K30&gt;=0, K30&lt;=39.999999999), "0", "0" ) ) ) ) ) ) )</f>
        <v/>
      </c>
      <c r="N30" s="5" t="inlineStr">
        <is>
          <t>Cocok</t>
        </is>
      </c>
      <c r="O30" t="inlineStr">
        <is>
          <t>Muhammad Fikri</t>
        </is>
      </c>
      <c r="P30" t="inlineStr">
        <is>
          <t>24060124130069</t>
        </is>
      </c>
      <c r="Q30" t="inlineStr">
        <is>
          <t>muhffikri@students.undip.ac.id</t>
        </is>
      </c>
      <c r="R30" t="n">
        <v>100</v>
      </c>
      <c r="S30" t="n">
        <v>68.75</v>
      </c>
      <c r="T30" t="n">
        <v>93.75</v>
      </c>
      <c r="U30" t="n">
        <v>58.82</v>
      </c>
      <c r="W30" t="n">
        <v>8.93</v>
      </c>
      <c r="Z30" t="n">
        <v>78.33</v>
      </c>
    </row>
    <row r="31">
      <c r="A31" t="inlineStr">
        <is>
          <t>24060124130123</t>
        </is>
      </c>
      <c r="B31" t="inlineStr">
        <is>
          <t>MUHAMMAD AKMAL FAZLI RIYADI</t>
        </is>
      </c>
      <c r="C31" t="n">
        <v>4</v>
      </c>
      <c r="D31" t="inlineStr">
        <is>
          <t>BARU</t>
        </is>
      </c>
      <c r="E31" s="9" t="n">
        <v>96</v>
      </c>
      <c r="F31" s="3" t="n"/>
      <c r="G31" s="3">
        <f>(E31*0.8)+(H31*0.2)</f>
        <v/>
      </c>
      <c r="H31" s="3" t="n">
        <v>83.6525</v>
      </c>
      <c r="I31" s="3" t="n">
        <v>83</v>
      </c>
      <c r="J31" s="3" t="n"/>
      <c r="K31" s="2">
        <f>ROUND( ((E31*10+F31*40+G31*5+H31*5+I31*20+J31*20) / 100), 2)</f>
        <v/>
      </c>
      <c r="L31" s="2">
        <f>IF(AND(K31&gt;=85, K31&lt;=100), "A", IF(AND(K31&gt;=80, K31&lt;=84.999999999), "AB", IF(AND(K31&gt;=75, K31&lt;=79.999999999), "B", IF(AND(K31&gt;=70, K31&lt;=74.999999999), "BC", IF(AND(K31&gt;=60, K31&lt;=69.9999999999), "C", IF(AND(K31&gt;=40, K31&lt;=59.999999999), "D", IF(AND(K31&gt;=0, K31&lt;=39.999999999), "E", "E" ) ) ) ) ) ) )</f>
        <v/>
      </c>
      <c r="M31">
        <f>IF(AND(K31&gt;=85, K31&lt;=100), "4", IF(AND(K31&gt;=80, K31&lt;=84.999999999), "3.5", IF(AND(K31&gt;=75, K31&lt;=79.999999999), "3", IF(AND(K31&gt;=70, K31&lt;=74.999999999), "2.5", IF(AND(K31&gt;=60, K31&lt;=69.9999999999), "2", IF(AND(K31&gt;=40, K31&lt;=59.999999999), "1", IF(AND(K31&gt;=0, K31&lt;=39.999999999), "0", "0" ) ) ) ) ) ) )</f>
        <v/>
      </c>
      <c r="N31" s="5" t="inlineStr">
        <is>
          <t>Cocok</t>
        </is>
      </c>
      <c r="O31" t="inlineStr">
        <is>
          <t>Muhammad Akmal Fazli Riyadi</t>
        </is>
      </c>
      <c r="P31" t="inlineStr">
        <is>
          <t>24060124130123</t>
        </is>
      </c>
      <c r="Q31" t="inlineStr">
        <is>
          <t>akmalfazli27@students.undip.ac.id</t>
        </is>
      </c>
      <c r="R31" t="n">
        <v>85.70999999999999</v>
      </c>
      <c r="S31" t="n">
        <v>87.5</v>
      </c>
      <c r="T31" t="n">
        <v>93.75</v>
      </c>
      <c r="U31" t="n">
        <v>67.65000000000001</v>
      </c>
      <c r="W31" t="n">
        <v>9.289999999999999</v>
      </c>
      <c r="Y31" t="n">
        <v>9.09</v>
      </c>
      <c r="Z31" t="n">
        <v>96</v>
      </c>
    </row>
    <row r="32">
      <c r="A32" t="inlineStr">
        <is>
          <t>24060124140148</t>
        </is>
      </c>
      <c r="B32" t="inlineStr">
        <is>
          <t>MUHAMMAD ALFAIQ RIDO SALAFY</t>
        </is>
      </c>
      <c r="C32" t="n">
        <v>4</v>
      </c>
      <c r="D32" t="inlineStr">
        <is>
          <t>BARU</t>
        </is>
      </c>
      <c r="E32" s="9" t="n">
        <v>86.33</v>
      </c>
      <c r="F32" s="3" t="n"/>
      <c r="G32" s="3">
        <f>(E32*0.8)+(H32*0.2)</f>
        <v/>
      </c>
      <c r="H32" s="3" t="n">
        <v>74.75</v>
      </c>
      <c r="I32" s="3" t="n">
        <v>84</v>
      </c>
      <c r="J32" s="3" t="n"/>
      <c r="K32" s="2">
        <f>ROUND( ((E32*10+F32*40+G32*5+H32*5+I32*20+J32*20) / 100), 2)</f>
        <v/>
      </c>
      <c r="L32" s="2">
        <f>IF(AND(K32&gt;=85, K32&lt;=100), "A", IF(AND(K32&gt;=80, K32&lt;=84.999999999), "AB", IF(AND(K32&gt;=75, K32&lt;=79.999999999), "B", IF(AND(K32&gt;=70, K32&lt;=74.999999999), "BC", IF(AND(K32&gt;=60, K32&lt;=69.9999999999), "C", IF(AND(K32&gt;=40, K32&lt;=59.999999999), "D", IF(AND(K32&gt;=0, K32&lt;=39.999999999), "E", "E" ) ) ) ) ) ) )</f>
        <v/>
      </c>
      <c r="M32">
        <f>IF(AND(K32&gt;=85, K32&lt;=100), "4", IF(AND(K32&gt;=80, K32&lt;=84.999999999), "3.5", IF(AND(K32&gt;=75, K32&lt;=79.999999999), "3", IF(AND(K32&gt;=70, K32&lt;=74.999999999), "2.5", IF(AND(K32&gt;=60, K32&lt;=69.9999999999), "2", IF(AND(K32&gt;=40, K32&lt;=59.999999999), "1", IF(AND(K32&gt;=0, K32&lt;=39.999999999), "0", "0" ) ) ) ) ) ) )</f>
        <v/>
      </c>
      <c r="N32" s="5" t="inlineStr">
        <is>
          <t>Cocok</t>
        </is>
      </c>
      <c r="O32" t="inlineStr">
        <is>
          <t>Muhammad Alfaiq Rido Salafy</t>
        </is>
      </c>
      <c r="P32" t="inlineStr">
        <is>
          <t>24060124140148</t>
        </is>
      </c>
      <c r="Q32" t="inlineStr">
        <is>
          <t>alfaiqrido@students.undip.ac.id</t>
        </is>
      </c>
      <c r="R32" t="n">
        <v>71.43000000000001</v>
      </c>
      <c r="S32" t="n">
        <v>81.25</v>
      </c>
      <c r="T32" t="n">
        <v>87.5</v>
      </c>
      <c r="U32" t="n">
        <v>58.82</v>
      </c>
      <c r="W32" t="n">
        <v>10</v>
      </c>
      <c r="Y32" t="n">
        <v>9.35</v>
      </c>
      <c r="Z32" t="n">
        <v>86.33</v>
      </c>
    </row>
    <row r="33">
      <c r="A33" t="inlineStr">
        <is>
          <t>24060124120007</t>
        </is>
      </c>
      <c r="B33" t="inlineStr">
        <is>
          <t>Agung Rama Pramana Putra</t>
        </is>
      </c>
      <c r="C33" t="n">
        <v>4</v>
      </c>
      <c r="D33" t="inlineStr">
        <is>
          <t>BARU</t>
        </is>
      </c>
      <c r="E33" s="9" t="n">
        <v>80</v>
      </c>
      <c r="F33" s="3" t="n"/>
      <c r="G33" s="3">
        <f>(E33*0.8)+(H33*0.2)</f>
        <v/>
      </c>
      <c r="H33" s="3" t="n">
        <v>81.64500000000001</v>
      </c>
      <c r="I33" s="3" t="n">
        <v>64</v>
      </c>
      <c r="J33" s="3" t="n"/>
      <c r="K33" s="2">
        <f>ROUND( ((E33*10+F33*40+G33*5+H33*5+I33*20+J33*20) / 100), 2)</f>
        <v/>
      </c>
      <c r="L33" s="2">
        <f>IF(AND(K33&gt;=85, K33&lt;=100), "A", IF(AND(K33&gt;=80, K33&lt;=84.999999999), "AB", IF(AND(K33&gt;=75, K33&lt;=79.999999999), "B", IF(AND(K33&gt;=70, K33&lt;=74.999999999), "BC", IF(AND(K33&gt;=60, K33&lt;=69.9999999999), "C", IF(AND(K33&gt;=40, K33&lt;=59.999999999), "D", IF(AND(K33&gt;=0, K33&lt;=39.999999999), "E", "E" ) ) ) ) ) ) )</f>
        <v/>
      </c>
      <c r="M33">
        <f>IF(AND(K33&gt;=85, K33&lt;=100), "4", IF(AND(K33&gt;=80, K33&lt;=84.999999999), "3.5", IF(AND(K33&gt;=75, K33&lt;=79.999999999), "3", IF(AND(K33&gt;=70, K33&lt;=74.999999999), "2.5", IF(AND(K33&gt;=60, K33&lt;=69.9999999999), "2", IF(AND(K33&gt;=40, K33&lt;=59.999999999), "1", IF(AND(K33&gt;=0, K33&lt;=39.999999999), "0", "0" ) ) ) ) ) ) )</f>
        <v/>
      </c>
      <c r="N33" s="5" t="inlineStr">
        <is>
          <t>Cocok</t>
        </is>
      </c>
      <c r="O33" t="inlineStr">
        <is>
          <t>Agung Rama Pramana Putra</t>
        </is>
      </c>
      <c r="P33" t="inlineStr">
        <is>
          <t>24060124120007</t>
        </is>
      </c>
      <c r="Q33" t="inlineStr">
        <is>
          <t>ramaputra@students.undip.ac.id</t>
        </is>
      </c>
      <c r="R33" t="n">
        <v>71.43000000000001</v>
      </c>
      <c r="S33" t="n">
        <v>87.5</v>
      </c>
      <c r="T33" t="n">
        <v>100</v>
      </c>
      <c r="U33" t="n">
        <v>67.65000000000001</v>
      </c>
      <c r="W33" t="n">
        <v>10</v>
      </c>
      <c r="Z33" t="n">
        <v>80</v>
      </c>
    </row>
    <row r="34">
      <c r="A34" t="inlineStr">
        <is>
          <t>24060124140147</t>
        </is>
      </c>
      <c r="B34" t="inlineStr">
        <is>
          <t>AMMAR ROZAN RUSYAIDAN</t>
        </is>
      </c>
      <c r="C34" t="n">
        <v>4</v>
      </c>
      <c r="D34" t="inlineStr">
        <is>
          <t>BARU</t>
        </is>
      </c>
      <c r="E34" s="9" t="n">
        <v>51</v>
      </c>
      <c r="F34" s="3" t="n"/>
      <c r="G34" s="3">
        <f>(E34*0.8)+(H34*0.2)</f>
        <v/>
      </c>
      <c r="H34" s="3" t="n">
        <v>28.1525</v>
      </c>
      <c r="I34" s="3" t="n">
        <v>86</v>
      </c>
      <c r="J34" s="3" t="n"/>
      <c r="K34" s="2">
        <f>ROUND( ((E34*10+F34*40+G34*5+H34*5+I34*20+J34*20) / 100), 2)</f>
        <v/>
      </c>
      <c r="L34" s="2">
        <f>IF(AND(K34&gt;=85, K34&lt;=100), "A", IF(AND(K34&gt;=80, K34&lt;=84.999999999), "AB", IF(AND(K34&gt;=75, K34&lt;=79.999999999), "B", IF(AND(K34&gt;=70, K34&lt;=74.999999999), "BC", IF(AND(K34&gt;=60, K34&lt;=69.9999999999), "C", IF(AND(K34&gt;=40, K34&lt;=59.999999999), "D", IF(AND(K34&gt;=0, K34&lt;=39.999999999), "E", "E" ) ) ) ) ) ) )</f>
        <v/>
      </c>
      <c r="M34">
        <f>IF(AND(K34&gt;=85, K34&lt;=100), "4", IF(AND(K34&gt;=80, K34&lt;=84.999999999), "3.5", IF(AND(K34&gt;=75, K34&lt;=79.999999999), "3", IF(AND(K34&gt;=70, K34&lt;=74.999999999), "2.5", IF(AND(K34&gt;=60, K34&lt;=69.9999999999), "2", IF(AND(K34&gt;=40, K34&lt;=59.999999999), "1", IF(AND(K34&gt;=0, K34&lt;=39.999999999), "0", "0" ) ) ) ) ) ) )</f>
        <v/>
      </c>
      <c r="N34" s="5" t="inlineStr">
        <is>
          <t>Cocok</t>
        </is>
      </c>
      <c r="O34" t="inlineStr">
        <is>
          <t>Ammar Rozan Rusyaidan</t>
        </is>
      </c>
      <c r="P34" t="inlineStr">
        <is>
          <t>24060124140147</t>
        </is>
      </c>
      <c r="Q34" t="inlineStr">
        <is>
          <t>ammarrozan05@students.undip.ac.id</t>
        </is>
      </c>
      <c r="R34" t="n">
        <v>71.43000000000001</v>
      </c>
      <c r="U34" t="n">
        <v>41.18</v>
      </c>
      <c r="W34" t="n">
        <v>9.640000000000001</v>
      </c>
      <c r="Y34" t="n">
        <v>0.91</v>
      </c>
      <c r="Z34" t="n">
        <v>51</v>
      </c>
    </row>
    <row r="35">
      <c r="A35" t="inlineStr">
        <is>
          <t>24060124140181</t>
        </is>
      </c>
      <c r="B35" t="inlineStr">
        <is>
          <t>ANAS AHSANU AMAL</t>
        </is>
      </c>
      <c r="C35" t="n">
        <v>4</v>
      </c>
      <c r="D35" t="inlineStr">
        <is>
          <t>BARU</t>
        </is>
      </c>
      <c r="E35" s="9" t="n">
        <v>74.25</v>
      </c>
      <c r="F35" s="3" t="n"/>
      <c r="G35" s="3">
        <f>(E35*0.8)+(H35*0.2)</f>
        <v/>
      </c>
      <c r="H35" s="3" t="n">
        <v>74.015</v>
      </c>
      <c r="I35" s="3" t="n"/>
      <c r="J35" s="3" t="n"/>
      <c r="K35" s="2">
        <f>ROUND( ((E35*10+F35*40+G35*5+H35*5+I35*20+J35*20) / 100), 2)</f>
        <v/>
      </c>
      <c r="L35" s="2">
        <f>IF(AND(K35&gt;=85, K35&lt;=100), "A", IF(AND(K35&gt;=80, K35&lt;=84.999999999), "AB", IF(AND(K35&gt;=75, K35&lt;=79.999999999), "B", IF(AND(K35&gt;=70, K35&lt;=74.999999999), "BC", IF(AND(K35&gt;=60, K35&lt;=69.9999999999), "C", IF(AND(K35&gt;=40, K35&lt;=59.999999999), "D", IF(AND(K35&gt;=0, K35&lt;=39.999999999), "E", "E" ) ) ) ) ) ) )</f>
        <v/>
      </c>
      <c r="M35">
        <f>IF(AND(K35&gt;=85, K35&lt;=100), "4", IF(AND(K35&gt;=80, K35&lt;=84.999999999), "3.5", IF(AND(K35&gt;=75, K35&lt;=79.999999999), "3", IF(AND(K35&gt;=70, K35&lt;=74.999999999), "2.5", IF(AND(K35&gt;=60, K35&lt;=69.9999999999), "2", IF(AND(K35&gt;=40, K35&lt;=59.999999999), "1", IF(AND(K35&gt;=0, K35&lt;=39.999999999), "0", "0" ) ) ) ) ) ) )</f>
        <v/>
      </c>
      <c r="N35" s="5" t="inlineStr">
        <is>
          <t>Cocok</t>
        </is>
      </c>
      <c r="O35" t="inlineStr">
        <is>
          <t>Anas Ahsanu Amal</t>
        </is>
      </c>
      <c r="P35" t="inlineStr">
        <is>
          <t>24060124140181</t>
        </is>
      </c>
      <c r="Q35" t="inlineStr">
        <is>
          <t>anasahsn@students.undip.ac.id</t>
        </is>
      </c>
      <c r="R35" t="n">
        <v>71.43000000000001</v>
      </c>
      <c r="S35" t="n">
        <v>81.25</v>
      </c>
      <c r="T35" t="n">
        <v>87.5</v>
      </c>
      <c r="U35" t="n">
        <v>55.88</v>
      </c>
      <c r="Z35" t="n">
        <v>74.25</v>
      </c>
    </row>
    <row r="36">
      <c r="A36" t="inlineStr">
        <is>
          <t>24060124140194</t>
        </is>
      </c>
      <c r="B36" t="inlineStr">
        <is>
          <t>ANDINY KHAERANY SUHARTADY</t>
        </is>
      </c>
      <c r="C36" t="n">
        <v>4</v>
      </c>
      <c r="D36" t="inlineStr">
        <is>
          <t>BARU</t>
        </is>
      </c>
      <c r="E36" s="9" t="n">
        <v>56</v>
      </c>
      <c r="F36" s="3" t="n"/>
      <c r="G36" s="3">
        <f>(E36*0.8)+(H36*0.2)</f>
        <v/>
      </c>
      <c r="H36" s="3" t="n">
        <v>77.67749999999999</v>
      </c>
      <c r="I36" s="3" t="n">
        <v>64</v>
      </c>
      <c r="J36" s="3" t="n"/>
      <c r="K36" s="2">
        <f>ROUND( ((E36*10+F36*40+G36*5+H36*5+I36*20+J36*20) / 100), 2)</f>
        <v/>
      </c>
      <c r="L36" s="2">
        <f>IF(AND(K36&gt;=85, K36&lt;=100), "A", IF(AND(K36&gt;=80, K36&lt;=84.999999999), "AB", IF(AND(K36&gt;=75, K36&lt;=79.999999999), "B", IF(AND(K36&gt;=70, K36&lt;=74.999999999), "BC", IF(AND(K36&gt;=60, K36&lt;=69.9999999999), "C", IF(AND(K36&gt;=40, K36&lt;=59.999999999), "D", IF(AND(K36&gt;=0, K36&lt;=39.999999999), "E", "E" ) ) ) ) ) ) )</f>
        <v/>
      </c>
      <c r="M36">
        <f>IF(AND(K36&gt;=85, K36&lt;=100), "4", IF(AND(K36&gt;=80, K36&lt;=84.999999999), "3.5", IF(AND(K36&gt;=75, K36&lt;=79.999999999), "3", IF(AND(K36&gt;=70, K36&lt;=74.999999999), "2.5", IF(AND(K36&gt;=60, K36&lt;=69.9999999999), "2", IF(AND(K36&gt;=40, K36&lt;=59.999999999), "1", IF(AND(K36&gt;=0, K36&lt;=39.999999999), "0", "0" ) ) ) ) ) ) )</f>
        <v/>
      </c>
      <c r="N36" s="5" t="inlineStr">
        <is>
          <t>Cocok</t>
        </is>
      </c>
      <c r="O36" t="inlineStr">
        <is>
          <t>Andiny Khaerany Suhartady</t>
        </is>
      </c>
      <c r="P36" t="inlineStr">
        <is>
          <t>24060124140194</t>
        </is>
      </c>
      <c r="Q36" t="inlineStr">
        <is>
          <t>andinykhaeranys@students.undip.ac.id</t>
        </is>
      </c>
      <c r="R36" t="n">
        <v>85.70999999999999</v>
      </c>
      <c r="S36" t="n">
        <v>81.25</v>
      </c>
      <c r="T36" t="n">
        <v>93.75</v>
      </c>
      <c r="U36" t="n">
        <v>50</v>
      </c>
      <c r="W36" t="n">
        <v>9.289999999999999</v>
      </c>
      <c r="Y36" t="n">
        <v>8.199999999999999</v>
      </c>
      <c r="Z36" t="n">
        <v>56</v>
      </c>
    </row>
    <row r="37">
      <c r="A37" t="inlineStr">
        <is>
          <t>24060124120018</t>
        </is>
      </c>
      <c r="B37" t="inlineStr">
        <is>
          <t>PUTRI ELIZABETH SIMANJUNTAK</t>
        </is>
      </c>
      <c r="C37" t="n">
        <v>4</v>
      </c>
      <c r="D37" t="inlineStr">
        <is>
          <t>BARU</t>
        </is>
      </c>
      <c r="E37" s="9" t="n">
        <v>92</v>
      </c>
      <c r="F37" s="3" t="n"/>
      <c r="G37" s="3">
        <f>(E37*0.8)+(H37*0.2)</f>
        <v/>
      </c>
      <c r="H37" s="3" t="n">
        <v>69.2625</v>
      </c>
      <c r="I37" s="3" t="n">
        <v>82</v>
      </c>
      <c r="J37" s="3" t="n"/>
      <c r="K37" s="2">
        <f>ROUND( ((E37*10+F37*40+G37*5+H37*5+I37*20+J37*20) / 100), 2)</f>
        <v/>
      </c>
      <c r="L37" s="2">
        <f>IF(AND(K37&gt;=85, K37&lt;=100), "A", IF(AND(K37&gt;=80, K37&lt;=84.999999999), "AB", IF(AND(K37&gt;=75, K37&lt;=79.999999999), "B", IF(AND(K37&gt;=70, K37&lt;=74.999999999), "BC", IF(AND(K37&gt;=60, K37&lt;=69.9999999999), "C", IF(AND(K37&gt;=40, K37&lt;=59.999999999), "D", IF(AND(K37&gt;=0, K37&lt;=39.999999999), "E", "E" ) ) ) ) ) ) )</f>
        <v/>
      </c>
      <c r="M37">
        <f>IF(AND(K37&gt;=85, K37&lt;=100), "4", IF(AND(K37&gt;=80, K37&lt;=84.999999999), "3.5", IF(AND(K37&gt;=75, K37&lt;=79.999999999), "3", IF(AND(K37&gt;=70, K37&lt;=74.999999999), "2.5", IF(AND(K37&gt;=60, K37&lt;=69.9999999999), "2", IF(AND(K37&gt;=40, K37&lt;=59.999999999), "1", IF(AND(K37&gt;=0, K37&lt;=39.999999999), "0", "0" ) ) ) ) ) ) )</f>
        <v/>
      </c>
      <c r="N37" s="5" t="inlineStr">
        <is>
          <t>Cocok</t>
        </is>
      </c>
      <c r="O37" t="inlineStr">
        <is>
          <t>Putri Elizabeth Simanjuntak</t>
        </is>
      </c>
      <c r="P37" t="inlineStr">
        <is>
          <t>24060124120018</t>
        </is>
      </c>
      <c r="Q37" t="inlineStr">
        <is>
          <t>putrielizabethjuntak@students.undip.ac.id</t>
        </is>
      </c>
      <c r="R37" t="n">
        <v>42.86</v>
      </c>
      <c r="S37" t="n">
        <v>81.25</v>
      </c>
      <c r="T37" t="n">
        <v>100</v>
      </c>
      <c r="U37" t="n">
        <v>52.94</v>
      </c>
      <c r="W37" t="n">
        <v>7.86</v>
      </c>
      <c r="Y37" t="n">
        <v>3.55</v>
      </c>
      <c r="Z37" t="n">
        <v>92</v>
      </c>
    </row>
    <row r="38">
      <c r="A38" t="inlineStr">
        <is>
          <t>24060124120029</t>
        </is>
      </c>
      <c r="B38" t="inlineStr">
        <is>
          <t>NOUVELLA RAHMA FITRAH LEGARSI</t>
        </is>
      </c>
      <c r="C38" t="n">
        <v>4</v>
      </c>
      <c r="D38" t="inlineStr">
        <is>
          <t>BARU</t>
        </is>
      </c>
      <c r="E38" s="9" t="n">
        <v>99</v>
      </c>
      <c r="F38" s="3" t="n"/>
      <c r="G38" s="3">
        <f>(E38*0.8)+(H38*0.2)</f>
        <v/>
      </c>
      <c r="H38" s="3" t="n">
        <v>80.08250000000001</v>
      </c>
      <c r="I38" s="3" t="n">
        <v>87</v>
      </c>
      <c r="J38" s="3" t="n"/>
      <c r="K38" s="2">
        <f>ROUND( ((E38*10+F38*40+G38*5+H38*5+I38*20+J38*20) / 100), 2)</f>
        <v/>
      </c>
      <c r="L38" s="2">
        <f>IF(AND(K38&gt;=85, K38&lt;=100), "A", IF(AND(K38&gt;=80, K38&lt;=84.999999999), "AB", IF(AND(K38&gt;=75, K38&lt;=79.999999999), "B", IF(AND(K38&gt;=70, K38&lt;=74.999999999), "BC", IF(AND(K38&gt;=60, K38&lt;=69.9999999999), "C", IF(AND(K38&gt;=40, K38&lt;=59.999999999), "D", IF(AND(K38&gt;=0, K38&lt;=39.999999999), "E", "E" ) ) ) ) ) ) )</f>
        <v/>
      </c>
      <c r="M38">
        <f>IF(AND(K38&gt;=85, K38&lt;=100), "4", IF(AND(K38&gt;=80, K38&lt;=84.999999999), "3.5", IF(AND(K38&gt;=75, K38&lt;=79.999999999), "3", IF(AND(K38&gt;=70, K38&lt;=74.999999999), "2.5", IF(AND(K38&gt;=60, K38&lt;=69.9999999999), "2", IF(AND(K38&gt;=40, K38&lt;=59.999999999), "1", IF(AND(K38&gt;=0, K38&lt;=39.999999999), "0", "0" ) ) ) ) ) ) )</f>
        <v/>
      </c>
      <c r="N38" s="5" t="inlineStr">
        <is>
          <t>Cocok</t>
        </is>
      </c>
      <c r="O38" t="inlineStr">
        <is>
          <t>Nouvella Rahma Fitrah Legarsi</t>
        </is>
      </c>
      <c r="P38" t="inlineStr">
        <is>
          <t>24060124120029</t>
        </is>
      </c>
      <c r="Q38" t="inlineStr">
        <is>
          <t>nouvellafitrah@students.undip.ac.id</t>
        </is>
      </c>
      <c r="R38" t="n">
        <v>71.43000000000001</v>
      </c>
      <c r="S38" t="n">
        <v>81.25</v>
      </c>
      <c r="T38" t="n">
        <v>100</v>
      </c>
      <c r="U38" t="n">
        <v>67.65000000000001</v>
      </c>
      <c r="W38" t="n">
        <v>9.289999999999999</v>
      </c>
      <c r="Y38" t="n">
        <v>9.52</v>
      </c>
      <c r="Z38" t="n">
        <v>99</v>
      </c>
    </row>
    <row r="39">
      <c r="A39" t="inlineStr">
        <is>
          <t>24060124120040</t>
        </is>
      </c>
      <c r="B39" t="inlineStr">
        <is>
          <t>OVILIA SUCI RAMADHANI</t>
        </is>
      </c>
      <c r="C39" t="n">
        <v>4</v>
      </c>
      <c r="D39" t="inlineStr">
        <is>
          <t>BARU</t>
        </is>
      </c>
      <c r="E39" s="9" t="n">
        <v>95.33</v>
      </c>
      <c r="F39" s="3" t="n"/>
      <c r="G39" s="3">
        <f>(E39*0.8)+(H39*0.2)</f>
        <v/>
      </c>
      <c r="H39" s="3" t="n">
        <v>77.245</v>
      </c>
      <c r="I39" s="3" t="n">
        <v>87</v>
      </c>
      <c r="J39" s="3" t="n"/>
      <c r="K39" s="2">
        <f>ROUND( ((E39*10+F39*40+G39*5+H39*5+I39*20+J39*20) / 100), 2)</f>
        <v/>
      </c>
      <c r="L39" s="2">
        <f>IF(AND(K39&gt;=85, K39&lt;=100), "A", IF(AND(K39&gt;=80, K39&lt;=84.999999999), "AB", IF(AND(K39&gt;=75, K39&lt;=79.999999999), "B", IF(AND(K39&gt;=70, K39&lt;=74.999999999), "BC", IF(AND(K39&gt;=60, K39&lt;=69.9999999999), "C", IF(AND(K39&gt;=40, K39&lt;=59.999999999), "D", IF(AND(K39&gt;=0, K39&lt;=39.999999999), "E", "E" ) ) ) ) ) ) )</f>
        <v/>
      </c>
      <c r="M39">
        <f>IF(AND(K39&gt;=85, K39&lt;=100), "4", IF(AND(K39&gt;=80, K39&lt;=84.999999999), "3.5", IF(AND(K39&gt;=75, K39&lt;=79.999999999), "3", IF(AND(K39&gt;=70, K39&lt;=74.999999999), "2.5", IF(AND(K39&gt;=60, K39&lt;=69.9999999999), "2", IF(AND(K39&gt;=40, K39&lt;=59.999999999), "1", IF(AND(K39&gt;=0, K39&lt;=39.999999999), "0", "0" ) ) ) ) ) ) )</f>
        <v/>
      </c>
      <c r="N39" s="5" t="inlineStr">
        <is>
          <t>Cocok</t>
        </is>
      </c>
      <c r="O39" t="inlineStr">
        <is>
          <t>Ovilia Suci Ramadhani</t>
        </is>
      </c>
      <c r="P39" t="inlineStr">
        <is>
          <t>24060124120040</t>
        </is>
      </c>
      <c r="Q39" t="inlineStr">
        <is>
          <t>oviliasuciramadhani@students.undip.ac.id</t>
        </is>
      </c>
      <c r="R39" t="n">
        <v>57.14</v>
      </c>
      <c r="S39" t="n">
        <v>81.25</v>
      </c>
      <c r="T39" t="n">
        <v>100</v>
      </c>
      <c r="U39" t="n">
        <v>70.59</v>
      </c>
      <c r="W39" t="n">
        <v>7.86</v>
      </c>
      <c r="Y39" t="n">
        <v>8.140000000000001</v>
      </c>
      <c r="Z39" t="n">
        <v>95.33</v>
      </c>
    </row>
    <row r="40">
      <c r="A40" t="inlineStr">
        <is>
          <t>24060124140158</t>
        </is>
      </c>
      <c r="B40" t="inlineStr">
        <is>
          <t>NAYLA HUSNA</t>
        </is>
      </c>
      <c r="C40" t="n">
        <v>4</v>
      </c>
      <c r="D40" t="inlineStr">
        <is>
          <t>BARU</t>
        </is>
      </c>
      <c r="E40" s="9" t="n">
        <v>95</v>
      </c>
      <c r="F40" s="3" t="n"/>
      <c r="G40" s="3">
        <f>(E40*0.8)+(H40*0.2)</f>
        <v/>
      </c>
      <c r="H40" s="3" t="n">
        <v>76.405</v>
      </c>
      <c r="I40" s="3" t="n">
        <v>80</v>
      </c>
      <c r="J40" s="3" t="n"/>
      <c r="K40" s="2">
        <f>ROUND( ((E40*10+F40*40+G40*5+H40*5+I40*20+J40*20) / 100), 2)</f>
        <v/>
      </c>
      <c r="L40" s="2">
        <f>IF(AND(K40&gt;=85, K40&lt;=100), "A", IF(AND(K40&gt;=80, K40&lt;=84.999999999), "AB", IF(AND(K40&gt;=75, K40&lt;=79.999999999), "B", IF(AND(K40&gt;=70, K40&lt;=74.999999999), "BC", IF(AND(K40&gt;=60, K40&lt;=69.9999999999), "C", IF(AND(K40&gt;=40, K40&lt;=59.999999999), "D", IF(AND(K40&gt;=0, K40&lt;=39.999999999), "E", "E" ) ) ) ) ) ) )</f>
        <v/>
      </c>
      <c r="M40">
        <f>IF(AND(K40&gt;=85, K40&lt;=100), "4", IF(AND(K40&gt;=80, K40&lt;=84.999999999), "3.5", IF(AND(K40&gt;=75, K40&lt;=79.999999999), "3", IF(AND(K40&gt;=70, K40&lt;=74.999999999), "2.5", IF(AND(K40&gt;=60, K40&lt;=69.9999999999), "2", IF(AND(K40&gt;=40, K40&lt;=59.999999999), "1", IF(AND(K40&gt;=0, K40&lt;=39.999999999), "0", "0" ) ) ) ) ) ) )</f>
        <v/>
      </c>
      <c r="N40" s="5" t="inlineStr">
        <is>
          <t>Cocok</t>
        </is>
      </c>
      <c r="O40" t="inlineStr">
        <is>
          <t>Nayla Husna</t>
        </is>
      </c>
      <c r="P40" t="inlineStr">
        <is>
          <t>24060124140158</t>
        </is>
      </c>
      <c r="Q40" t="inlineStr">
        <is>
          <t>naylahusna@students.undip.ac.id</t>
        </is>
      </c>
      <c r="R40" t="n">
        <v>71.43000000000001</v>
      </c>
      <c r="S40" t="n">
        <v>81.25</v>
      </c>
      <c r="T40" t="n">
        <v>100</v>
      </c>
      <c r="U40" t="n">
        <v>52.94</v>
      </c>
      <c r="W40" t="n">
        <v>9.289999999999999</v>
      </c>
      <c r="Y40" t="n">
        <v>8.77</v>
      </c>
      <c r="Z40" t="n">
        <v>95</v>
      </c>
    </row>
    <row r="41">
      <c r="A41" t="inlineStr">
        <is>
          <t>24060124120048</t>
        </is>
      </c>
      <c r="B41" t="inlineStr">
        <is>
          <t>DANIEL LAMGANDA TUA GULTOM</t>
        </is>
      </c>
      <c r="C41" t="n">
        <v>4</v>
      </c>
      <c r="D41" t="inlineStr">
        <is>
          <t>BARU</t>
        </is>
      </c>
      <c r="E41" s="9" t="n">
        <v>97</v>
      </c>
      <c r="F41" s="3" t="n"/>
      <c r="G41" s="3">
        <f>(E41*0.8)+(H41*0.2)</f>
        <v/>
      </c>
      <c r="H41" s="3" t="n">
        <v>90.27</v>
      </c>
      <c r="I41" s="3" t="n">
        <v>81</v>
      </c>
      <c r="J41" s="3" t="n"/>
      <c r="K41" s="2">
        <f>ROUND( ((E41*10+F41*40+G41*5+H41*5+I41*20+J41*20) / 100), 2)</f>
        <v/>
      </c>
      <c r="L41" s="2">
        <f>IF(AND(K41&gt;=85, K41&lt;=100), "A", IF(AND(K41&gt;=80, K41&lt;=84.999999999), "AB", IF(AND(K41&gt;=75, K41&lt;=79.999999999), "B", IF(AND(K41&gt;=70, K41&lt;=74.999999999), "BC", IF(AND(K41&gt;=60, K41&lt;=69.9999999999), "C", IF(AND(K41&gt;=40, K41&lt;=59.999999999), "D", IF(AND(K41&gt;=0, K41&lt;=39.999999999), "E", "E" ) ) ) ) ) ) )</f>
        <v/>
      </c>
      <c r="M41">
        <f>IF(AND(K41&gt;=85, K41&lt;=100), "4", IF(AND(K41&gt;=80, K41&lt;=84.999999999), "3.5", IF(AND(K41&gt;=75, K41&lt;=79.999999999), "3", IF(AND(K41&gt;=70, K41&lt;=74.999999999), "2.5", IF(AND(K41&gt;=60, K41&lt;=69.9999999999), "2", IF(AND(K41&gt;=40, K41&lt;=59.999999999), "1", IF(AND(K41&gt;=0, K41&lt;=39.999999999), "0", "0" ) ) ) ) ) ) )</f>
        <v/>
      </c>
      <c r="N41" s="5" t="inlineStr">
        <is>
          <t>Cocok</t>
        </is>
      </c>
      <c r="O41" t="inlineStr">
        <is>
          <t>Daniel Lamganda Tua Gultom</t>
        </is>
      </c>
      <c r="P41" t="inlineStr">
        <is>
          <t>24060124120048</t>
        </is>
      </c>
      <c r="Q41" t="inlineStr">
        <is>
          <t>danielltgm2006@students.undip.ac.id</t>
        </is>
      </c>
      <c r="R41" t="n">
        <v>85.70999999999999</v>
      </c>
      <c r="S41" t="n">
        <v>81.25</v>
      </c>
      <c r="T41" t="n">
        <v>100</v>
      </c>
      <c r="U41" t="n">
        <v>94.12</v>
      </c>
      <c r="W41" t="n">
        <v>9.640000000000001</v>
      </c>
      <c r="Y41" t="n">
        <v>9.640000000000001</v>
      </c>
      <c r="Z41" t="n">
        <v>97</v>
      </c>
    </row>
    <row r="42">
      <c r="A42" t="inlineStr">
        <is>
          <t>24060124130070</t>
        </is>
      </c>
      <c r="B42" t="inlineStr">
        <is>
          <t>BIYANI ANDARISKY MARATIA</t>
        </is>
      </c>
      <c r="C42" t="n">
        <v>4</v>
      </c>
      <c r="D42" t="inlineStr">
        <is>
          <t>BARU</t>
        </is>
      </c>
      <c r="E42" s="9" t="n">
        <v>94.33</v>
      </c>
      <c r="F42" s="3" t="n"/>
      <c r="G42" s="3">
        <f>(E42*0.8)+(H42*0.2)</f>
        <v/>
      </c>
      <c r="H42" s="3" t="n">
        <v>79.23999999999999</v>
      </c>
      <c r="I42" s="3" t="n">
        <v>87</v>
      </c>
      <c r="J42" s="3" t="n"/>
      <c r="K42" s="2">
        <f>ROUND( ((E42*10+F42*40+G42*5+H42*5+I42*20+J42*20) / 100), 2)</f>
        <v/>
      </c>
      <c r="L42" s="2">
        <f>IF(AND(K42&gt;=85, K42&lt;=100), "A", IF(AND(K42&gt;=80, K42&lt;=84.999999999), "AB", IF(AND(K42&gt;=75, K42&lt;=79.999999999), "B", IF(AND(K42&gt;=70, K42&lt;=74.999999999), "BC", IF(AND(K42&gt;=60, K42&lt;=69.9999999999), "C", IF(AND(K42&gt;=40, K42&lt;=59.999999999), "D", IF(AND(K42&gt;=0, K42&lt;=39.999999999), "E", "E" ) ) ) ) ) ) )</f>
        <v/>
      </c>
      <c r="M42">
        <f>IF(AND(K42&gt;=85, K42&lt;=100), "4", IF(AND(K42&gt;=80, K42&lt;=84.999999999), "3.5", IF(AND(K42&gt;=75, K42&lt;=79.999999999), "3", IF(AND(K42&gt;=70, K42&lt;=74.999999999), "2.5", IF(AND(K42&gt;=60, K42&lt;=69.9999999999), "2", IF(AND(K42&gt;=40, K42&lt;=59.999999999), "1", IF(AND(K42&gt;=0, K42&lt;=39.999999999), "0", "0" ) ) ) ) ) ) )</f>
        <v/>
      </c>
      <c r="N42" s="5" t="inlineStr">
        <is>
          <t>Cocok</t>
        </is>
      </c>
      <c r="O42" t="inlineStr">
        <is>
          <t>Biyani Andarisky Maratia</t>
        </is>
      </c>
      <c r="P42" t="inlineStr">
        <is>
          <t>24060124130070</t>
        </is>
      </c>
      <c r="Q42" t="inlineStr">
        <is>
          <t>biyaniandarisky@students.undip.ac.id</t>
        </is>
      </c>
      <c r="R42" t="n">
        <v>85.70999999999999</v>
      </c>
      <c r="S42" t="n">
        <v>81.25</v>
      </c>
      <c r="T42" t="n">
        <v>100</v>
      </c>
      <c r="U42" t="n">
        <v>50</v>
      </c>
      <c r="W42" t="n">
        <v>8.93</v>
      </c>
      <c r="Z42" t="n">
        <v>94.33</v>
      </c>
    </row>
    <row r="43">
      <c r="A43" t="inlineStr">
        <is>
          <t>24060124130099</t>
        </is>
      </c>
      <c r="B43" t="inlineStr">
        <is>
          <t>DEHAR ZAIDAN DZAKI AMIRULLAH</t>
        </is>
      </c>
      <c r="C43" t="n">
        <v>4</v>
      </c>
      <c r="D43" t="inlineStr">
        <is>
          <t>BARU</t>
        </is>
      </c>
      <c r="E43" s="9" t="n">
        <v>96</v>
      </c>
      <c r="F43" s="3" t="n"/>
      <c r="G43" s="3">
        <f>(E43*0.8)+(H43*0.2)</f>
        <v/>
      </c>
      <c r="H43" s="3" t="n">
        <v>72.0975</v>
      </c>
      <c r="I43" s="3" t="n">
        <v>81</v>
      </c>
      <c r="J43" s="3" t="n"/>
      <c r="K43" s="2">
        <f>ROUND( ((E43*10+F43*40+G43*5+H43*5+I43*20+J43*20) / 100), 2)</f>
        <v/>
      </c>
      <c r="L43" s="2">
        <f>IF(AND(K43&gt;=85, K43&lt;=100), "A", IF(AND(K43&gt;=80, K43&lt;=84.999999999), "AB", IF(AND(K43&gt;=75, K43&lt;=79.999999999), "B", IF(AND(K43&gt;=70, K43&lt;=74.999999999), "BC", IF(AND(K43&gt;=60, K43&lt;=69.9999999999), "C", IF(AND(K43&gt;=40, K43&lt;=59.999999999), "D", IF(AND(K43&gt;=0, K43&lt;=39.999999999), "E", "E" ) ) ) ) ) ) )</f>
        <v/>
      </c>
      <c r="M43">
        <f>IF(AND(K43&gt;=85, K43&lt;=100), "4", IF(AND(K43&gt;=80, K43&lt;=84.999999999), "3.5", IF(AND(K43&gt;=75, K43&lt;=79.999999999), "3", IF(AND(K43&gt;=70, K43&lt;=74.999999999), "2.5", IF(AND(K43&gt;=60, K43&lt;=69.9999999999), "2", IF(AND(K43&gt;=40, K43&lt;=59.999999999), "1", IF(AND(K43&gt;=0, K43&lt;=39.999999999), "0", "0" ) ) ) ) ) ) )</f>
        <v/>
      </c>
      <c r="N43" s="5" t="inlineStr">
        <is>
          <t>Cocok</t>
        </is>
      </c>
      <c r="O43" t="inlineStr">
        <is>
          <t>Dehar Zaidan Dzaki Amirullah</t>
        </is>
      </c>
      <c r="P43" t="inlineStr">
        <is>
          <t>24060124130099</t>
        </is>
      </c>
      <c r="Q43" t="inlineStr">
        <is>
          <t>deharzaidan@students.undip.ac.id</t>
        </is>
      </c>
      <c r="R43" t="n">
        <v>57.14</v>
      </c>
      <c r="S43" t="n">
        <v>87.5</v>
      </c>
      <c r="T43" t="n">
        <v>93.75</v>
      </c>
      <c r="U43" t="n">
        <v>50</v>
      </c>
      <c r="W43" t="n">
        <v>9.289999999999999</v>
      </c>
      <c r="Z43" t="n">
        <v>96</v>
      </c>
    </row>
    <row r="44">
      <c r="A44" t="inlineStr">
        <is>
          <t>24060124130103</t>
        </is>
      </c>
      <c r="B44" t="inlineStr">
        <is>
          <t>DZAKI FATHUL'ALIM CAHYO</t>
        </is>
      </c>
      <c r="C44" t="n">
        <v>4</v>
      </c>
      <c r="D44" t="inlineStr">
        <is>
          <t>BARU</t>
        </is>
      </c>
      <c r="E44" s="9" t="n">
        <v>98</v>
      </c>
      <c r="F44" s="3" t="n"/>
      <c r="G44" s="3">
        <f>(E44*0.8)+(H44*0.2)</f>
        <v/>
      </c>
      <c r="H44" s="3" t="n">
        <v>92.5675</v>
      </c>
      <c r="I44" s="3" t="n">
        <v>81</v>
      </c>
      <c r="J44" s="3" t="n"/>
      <c r="K44" s="2">
        <f>ROUND( ((E44*10+F44*40+G44*5+H44*5+I44*20+J44*20) / 100), 2)</f>
        <v/>
      </c>
      <c r="L44" s="2">
        <f>IF(AND(K44&gt;=85, K44&lt;=100), "A", IF(AND(K44&gt;=80, K44&lt;=84.999999999), "AB", IF(AND(K44&gt;=75, K44&lt;=79.999999999), "B", IF(AND(K44&gt;=70, K44&lt;=74.999999999), "BC", IF(AND(K44&gt;=60, K44&lt;=69.9999999999), "C", IF(AND(K44&gt;=40, K44&lt;=59.999999999), "D", IF(AND(K44&gt;=0, K44&lt;=39.999999999), "E", "E" ) ) ) ) ) ) )</f>
        <v/>
      </c>
      <c r="M44">
        <f>IF(AND(K44&gt;=85, K44&lt;=100), "4", IF(AND(K44&gt;=80, K44&lt;=84.999999999), "3.5", IF(AND(K44&gt;=75, K44&lt;=79.999999999), "3", IF(AND(K44&gt;=70, K44&lt;=74.999999999), "2.5", IF(AND(K44&gt;=60, K44&lt;=69.9999999999), "2", IF(AND(K44&gt;=40, K44&lt;=59.999999999), "1", IF(AND(K44&gt;=0, K44&lt;=39.999999999), "0", "0" ) ) ) ) ) ) )</f>
        <v/>
      </c>
      <c r="N44" s="5" t="inlineStr">
        <is>
          <t>Cocok</t>
        </is>
      </c>
      <c r="O44" t="inlineStr">
        <is>
          <t>Dzaki Fathul'alim Cahyo</t>
        </is>
      </c>
      <c r="P44" t="inlineStr">
        <is>
          <t>24060124130103</t>
        </is>
      </c>
      <c r="Q44" t="inlineStr">
        <is>
          <t>dzakifathulalimcahyo@students.undip.ac.id</t>
        </is>
      </c>
      <c r="R44" t="n">
        <v>85.70999999999999</v>
      </c>
      <c r="S44" t="n">
        <v>87.5</v>
      </c>
      <c r="T44" t="n">
        <v>100</v>
      </c>
      <c r="U44" t="n">
        <v>97.06</v>
      </c>
      <c r="W44" t="n">
        <v>8.93</v>
      </c>
      <c r="Y44" t="n">
        <v>5.64</v>
      </c>
      <c r="Z44" t="n">
        <v>98</v>
      </c>
    </row>
    <row r="45">
      <c r="A45" t="inlineStr">
        <is>
          <t>24060124140201</t>
        </is>
      </c>
      <c r="B45" t="inlineStr">
        <is>
          <t>CINDY KURNIAWAN</t>
        </is>
      </c>
      <c r="C45" t="n">
        <v>4</v>
      </c>
      <c r="D45" t="inlineStr">
        <is>
          <t>BARU</t>
        </is>
      </c>
      <c r="E45" s="9" t="n">
        <v>92.33</v>
      </c>
      <c r="F45" s="3" t="n"/>
      <c r="G45" s="3">
        <f>(E45*0.8)+(H45*0.2)</f>
        <v/>
      </c>
      <c r="H45" s="3" t="n">
        <v>80.70999999999999</v>
      </c>
      <c r="I45" s="3" t="n">
        <v>64</v>
      </c>
      <c r="J45" s="3" t="n"/>
      <c r="K45" s="2">
        <f>ROUND( ((E45*10+F45*40+G45*5+H45*5+I45*20+J45*20) / 100), 2)</f>
        <v/>
      </c>
      <c r="L45" s="2">
        <f>IF(AND(K45&gt;=85, K45&lt;=100), "A", IF(AND(K45&gt;=80, K45&lt;=84.999999999), "AB", IF(AND(K45&gt;=75, K45&lt;=79.999999999), "B", IF(AND(K45&gt;=70, K45&lt;=74.999999999), "BC", IF(AND(K45&gt;=60, K45&lt;=69.9999999999), "C", IF(AND(K45&gt;=40, K45&lt;=59.999999999), "D", IF(AND(K45&gt;=0, K45&lt;=39.999999999), "E", "E" ) ) ) ) ) ) )</f>
        <v/>
      </c>
      <c r="M45">
        <f>IF(AND(K45&gt;=85, K45&lt;=100), "4", IF(AND(K45&gt;=80, K45&lt;=84.999999999), "3.5", IF(AND(K45&gt;=75, K45&lt;=79.999999999), "3", IF(AND(K45&gt;=70, K45&lt;=74.999999999), "2.5", IF(AND(K45&gt;=60, K45&lt;=69.9999999999), "2", IF(AND(K45&gt;=40, K45&lt;=59.999999999), "1", IF(AND(K45&gt;=0, K45&lt;=39.999999999), "0", "0" ) ) ) ) ) ) )</f>
        <v/>
      </c>
      <c r="N45" s="5" t="inlineStr">
        <is>
          <t>Cocok</t>
        </is>
      </c>
      <c r="O45" t="inlineStr">
        <is>
          <t>Cindy Kurniawan</t>
        </is>
      </c>
      <c r="P45" t="inlineStr">
        <is>
          <t>24060124140201</t>
        </is>
      </c>
      <c r="Q45" t="inlineStr">
        <is>
          <t>cindykurniawan@students.undip.ac.id</t>
        </is>
      </c>
      <c r="R45" t="n">
        <v>85.70999999999999</v>
      </c>
      <c r="S45" t="n">
        <v>81.25</v>
      </c>
      <c r="T45" t="n">
        <v>100</v>
      </c>
      <c r="U45" t="n">
        <v>55.88</v>
      </c>
      <c r="W45" t="n">
        <v>9.289999999999999</v>
      </c>
      <c r="Z45" t="n">
        <v>92.33</v>
      </c>
    </row>
  </sheetData>
  <sheetProtection selectLockedCells="0" selectUnlockedCells="0" sheet="1" objects="0" insertRows="0" insertHyperlinks="0" autoFilter="0" scenarios="0" formatColumns="0" deleteColumns="0" insertColumns="0" pivotTables="0" deleteRows="0" formatCells="0" formatRows="0" sort="0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9"/>
  <sheetViews>
    <sheetView topLeftCell="M1" workbookViewId="0">
      <pane ySplit="1" topLeftCell="A24" activePane="bottomLeft" state="frozen"/>
      <selection pane="bottomLeft" activeCell="V2" sqref="V2:V39"/>
    </sheetView>
  </sheetViews>
  <sheetFormatPr baseColWidth="8" defaultRowHeight="15"/>
  <cols>
    <col width="16" customWidth="1" min="1" max="1"/>
    <col width="31" customWidth="1" min="2" max="2"/>
    <col width="14" customWidth="1" min="3" max="3"/>
    <col width="10" customWidth="1" min="4" max="5"/>
    <col width="35" customWidth="1" min="6" max="7"/>
    <col width="32" customWidth="1" min="8" max="8"/>
    <col width="31" customWidth="1" min="9" max="10"/>
    <col width="28" customWidth="1" min="11" max="11"/>
    <col width="33" customWidth="1" min="12" max="12"/>
    <col width="31" customWidth="1" min="13" max="13"/>
    <col width="19" customWidth="1" min="14" max="14"/>
    <col width="31" customWidth="1" min="15" max="15"/>
    <col width="16" customWidth="1" min="16" max="16"/>
    <col width="35" customWidth="1" min="17" max="17"/>
    <col width="15" customWidth="1" min="18" max="23"/>
    <col width="20" customWidth="1" min="24" max="24"/>
    <col width="12" customWidth="1" min="25" max="25"/>
  </cols>
  <sheetData>
    <row r="1" ht="30" customHeight="1">
      <c r="A1" s="6" t="inlineStr">
        <is>
          <t>NIM</t>
        </is>
      </c>
      <c r="B1" s="6" t="inlineStr">
        <is>
          <t>Nama Mahasiswa</t>
        </is>
      </c>
      <c r="C1" s="6" t="inlineStr">
        <is>
          <t>Status Cocok</t>
        </is>
      </c>
      <c r="D1" s="6" t="inlineStr">
        <is>
          <t>Semester</t>
        </is>
      </c>
      <c r="E1" s="6" t="inlineStr">
        <is>
          <t>Status</t>
        </is>
      </c>
      <c r="F1" s="6" t="inlineStr">
        <is>
          <t>Nilai Aktivitas Partisipatif (0,00-100,00) (10%)</t>
        </is>
      </c>
      <c r="G1" s="6" t="inlineStr">
        <is>
          <t>Nilai Hasil Proyek (0,00-100,00) (40%)</t>
        </is>
      </c>
      <c r="H1" s="6" t="inlineStr">
        <is>
          <t>Nilai Tugas (0,00-100,00) (5%)</t>
        </is>
      </c>
      <c r="I1" s="6" t="inlineStr">
        <is>
          <t>Nilai Quiz (0,00-100,00) (5%)</t>
        </is>
      </c>
      <c r="J1" s="6" t="inlineStr">
        <is>
          <t>Nilai UTS (0,00-100,00) (20%)</t>
        </is>
      </c>
      <c r="K1" s="6" t="inlineStr">
        <is>
          <t>Nilai UAS (0,00-100) (20%)</t>
        </is>
      </c>
      <c r="L1" s="6" t="inlineStr">
        <is>
          <t>Nilai Akhir Angka (0,00-100,00)</t>
        </is>
      </c>
      <c r="M1" s="6" t="inlineStr">
        <is>
          <t>Nilai Akhir Huruf (A/B/C/D/E)</t>
        </is>
      </c>
      <c r="N1" s="6" t="inlineStr">
        <is>
          <t>Nilai Bobot (0-4)</t>
        </is>
      </c>
      <c r="O1" s="6" t="inlineStr">
        <is>
          <t>Nama Moodle</t>
        </is>
      </c>
      <c r="P1" s="6" t="inlineStr">
        <is>
          <t>NIM Moodle</t>
        </is>
      </c>
      <c r="Q1" s="6" t="inlineStr">
        <is>
          <t>Email Moodle</t>
        </is>
      </c>
      <c r="R1" s="6" t="inlineStr">
        <is>
          <t>Quis 1 Moodle</t>
        </is>
      </c>
      <c r="S1" s="6" t="inlineStr">
        <is>
          <t>Quis 2 Moodle</t>
        </is>
      </c>
      <c r="T1" s="6" t="inlineStr">
        <is>
          <t>Quis 3 Moodle</t>
        </is>
      </c>
      <c r="U1" s="6" t="inlineStr">
        <is>
          <t>Quis 4 Moodle</t>
        </is>
      </c>
      <c r="V1" s="6" t="n"/>
      <c r="W1" s="6" t="inlineStr">
        <is>
          <t>Quis 5 Moodle</t>
        </is>
      </c>
      <c r="X1" s="6" t="inlineStr">
        <is>
          <t>Latihan UTS Moodle</t>
        </is>
      </c>
      <c r="Y1" s="6" t="inlineStr">
        <is>
          <t>UTS Moodle</t>
        </is>
      </c>
    </row>
    <row r="2">
      <c r="A2" s="7" t="inlineStr">
        <is>
          <t>24060124120009</t>
        </is>
      </c>
      <c r="B2" s="7" t="inlineStr">
        <is>
          <t>ARSY THARIQ MUNAWAR</t>
        </is>
      </c>
      <c r="C2" s="7" t="inlineStr">
        <is>
          <t>Cocok</t>
        </is>
      </c>
      <c r="D2" s="7" t="inlineStr">
        <is>
          <t>4</t>
        </is>
      </c>
      <c r="E2" s="7" t="inlineStr">
        <is>
          <t>BARU</t>
        </is>
      </c>
      <c r="F2" s="7" t="n"/>
      <c r="G2" s="7" t="n"/>
      <c r="H2" s="7" t="n"/>
      <c r="I2" s="7" t="n"/>
      <c r="J2" s="7" t="n"/>
      <c r="K2" s="7" t="n"/>
      <c r="L2" s="7" t="inlineStr">
        <is>
          <t>0</t>
        </is>
      </c>
      <c r="M2" s="7" t="inlineStr">
        <is>
          <t>E</t>
        </is>
      </c>
      <c r="N2" s="7" t="inlineStr">
        <is>
          <t>0</t>
        </is>
      </c>
      <c r="O2" s="7" t="inlineStr">
        <is>
          <t>Arsy Thariq Munawar</t>
        </is>
      </c>
      <c r="P2" s="7" t="inlineStr">
        <is>
          <t>24060124120009</t>
        </is>
      </c>
      <c r="Q2" s="7" t="inlineStr">
        <is>
          <t>arsytm@students.undip.ac.id</t>
        </is>
      </c>
      <c r="R2" s="7" t="n">
        <v>71.43000000000001</v>
      </c>
      <c r="S2" s="7" t="n">
        <v>87.5</v>
      </c>
      <c r="T2" s="7" t="n">
        <v>93.75</v>
      </c>
      <c r="U2" s="7" t="n">
        <v>70.59</v>
      </c>
      <c r="V2" s="7">
        <f>(SUM(R2:U2)/4)</f>
        <v/>
      </c>
      <c r="W2" s="7" t="n">
        <v>9.640000000000001</v>
      </c>
      <c r="X2" s="7" t="n">
        <v>5.45</v>
      </c>
      <c r="Y2" s="7" t="n">
        <v>95</v>
      </c>
    </row>
    <row r="3">
      <c r="A3" s="7" t="inlineStr">
        <is>
          <t>24060124130089</t>
        </is>
      </c>
      <c r="B3" s="7" t="inlineStr">
        <is>
          <t>ARYA NAUFAL AKMAL</t>
        </is>
      </c>
      <c r="C3" s="7" t="inlineStr">
        <is>
          <t>Cocok</t>
        </is>
      </c>
      <c r="D3" s="7" t="inlineStr">
        <is>
          <t>4</t>
        </is>
      </c>
      <c r="E3" s="7" t="inlineStr">
        <is>
          <t>BARU</t>
        </is>
      </c>
      <c r="F3" s="7" t="n"/>
      <c r="G3" s="7" t="n"/>
      <c r="H3" s="7" t="n"/>
      <c r="I3" s="7" t="n"/>
      <c r="J3" s="7" t="n"/>
      <c r="K3" s="7" t="n"/>
      <c r="L3" s="7" t="inlineStr">
        <is>
          <t>0</t>
        </is>
      </c>
      <c r="M3" s="7" t="inlineStr">
        <is>
          <t>E</t>
        </is>
      </c>
      <c r="N3" s="7" t="inlineStr">
        <is>
          <t>0</t>
        </is>
      </c>
      <c r="O3" s="7" t="inlineStr">
        <is>
          <t>Arya Naufal Akmal</t>
        </is>
      </c>
      <c r="P3" s="7" t="inlineStr">
        <is>
          <t>24060124130089</t>
        </is>
      </c>
      <c r="Q3" s="7" t="inlineStr">
        <is>
          <t>aryana@students.undip.ac.id</t>
        </is>
      </c>
      <c r="R3" s="7" t="n">
        <v>85.70999999999999</v>
      </c>
      <c r="S3" s="7" t="n">
        <v>81.25</v>
      </c>
      <c r="T3" s="7" t="n">
        <v>87.5</v>
      </c>
      <c r="U3" s="7" t="n"/>
      <c r="V3" s="7">
        <f>(SUM(R3:U3)/4)</f>
        <v/>
      </c>
      <c r="W3" s="7" t="n"/>
      <c r="X3" s="7" t="n">
        <v>1.18</v>
      </c>
      <c r="Y3" s="7" t="n">
        <v>80.33</v>
      </c>
    </row>
    <row r="4" ht="30" customHeight="1">
      <c r="A4" s="7" t="inlineStr">
        <is>
          <t>24060124140127</t>
        </is>
      </c>
      <c r="B4" s="7" t="inlineStr">
        <is>
          <t>AXEL ANGGIAN HAMONANGAN PURBA</t>
        </is>
      </c>
      <c r="C4" s="7" t="inlineStr">
        <is>
          <t>Cocok</t>
        </is>
      </c>
      <c r="D4" s="7" t="inlineStr">
        <is>
          <t>4</t>
        </is>
      </c>
      <c r="E4" s="7" t="inlineStr">
        <is>
          <t>BARU</t>
        </is>
      </c>
      <c r="F4" s="7" t="n"/>
      <c r="G4" s="7" t="n"/>
      <c r="H4" s="7" t="n"/>
      <c r="I4" s="7" t="n"/>
      <c r="J4" s="7" t="n"/>
      <c r="K4" s="7" t="n"/>
      <c r="L4" s="7" t="inlineStr">
        <is>
          <t>0</t>
        </is>
      </c>
      <c r="M4" s="7" t="inlineStr">
        <is>
          <t>E</t>
        </is>
      </c>
      <c r="N4" s="7" t="inlineStr">
        <is>
          <t>0</t>
        </is>
      </c>
      <c r="O4" s="7" t="inlineStr">
        <is>
          <t>Axel Anggian Hamonangan Purba</t>
        </is>
      </c>
      <c r="P4" s="7" t="inlineStr">
        <is>
          <t>24060124140127</t>
        </is>
      </c>
      <c r="Q4" s="7" t="inlineStr">
        <is>
          <t>axelprb@students.undip.ac.id</t>
        </is>
      </c>
      <c r="R4" s="7" t="n"/>
      <c r="S4" s="7" t="n">
        <v>81.25</v>
      </c>
      <c r="T4" s="7" t="n"/>
      <c r="U4" s="7" t="n">
        <v>97.06</v>
      </c>
      <c r="V4" s="7">
        <f>(SUM(R4:U4)/4)</f>
        <v/>
      </c>
      <c r="W4" s="7" t="n">
        <v>9.640000000000001</v>
      </c>
      <c r="X4" s="7" t="n">
        <v>2</v>
      </c>
      <c r="Y4" s="7" t="n">
        <v>93</v>
      </c>
    </row>
    <row r="5">
      <c r="A5" s="7" t="inlineStr">
        <is>
          <t>24060124130108</t>
        </is>
      </c>
      <c r="B5" s="7" t="inlineStr">
        <is>
          <t>ELANG FADILA AHMAD</t>
        </is>
      </c>
      <c r="C5" s="7" t="inlineStr">
        <is>
          <t>Cocok</t>
        </is>
      </c>
      <c r="D5" s="7" t="inlineStr">
        <is>
          <t>4</t>
        </is>
      </c>
      <c r="E5" s="7" t="inlineStr">
        <is>
          <t>BARU</t>
        </is>
      </c>
      <c r="F5" s="7" t="n"/>
      <c r="G5" s="7" t="n"/>
      <c r="H5" s="7" t="n"/>
      <c r="I5" s="7" t="n"/>
      <c r="J5" s="7" t="n"/>
      <c r="K5" s="7" t="n"/>
      <c r="L5" s="7" t="inlineStr">
        <is>
          <t>0</t>
        </is>
      </c>
      <c r="M5" s="7" t="inlineStr">
        <is>
          <t>E</t>
        </is>
      </c>
      <c r="N5" s="7" t="inlineStr">
        <is>
          <t>0</t>
        </is>
      </c>
      <c r="O5" s="7" t="inlineStr">
        <is>
          <t>Elang Fadila Ahmad</t>
        </is>
      </c>
      <c r="P5" s="7" t="inlineStr">
        <is>
          <t>24060124130108</t>
        </is>
      </c>
      <c r="Q5" s="7" t="inlineStr">
        <is>
          <t>elangfa@students.undip.ac.id</t>
        </is>
      </c>
      <c r="R5" s="7" t="n">
        <v>42.86</v>
      </c>
      <c r="S5" s="7" t="n">
        <v>81.25</v>
      </c>
      <c r="T5" s="7" t="n">
        <v>93.75</v>
      </c>
      <c r="U5" s="7" t="n">
        <v>76.47</v>
      </c>
      <c r="V5" s="7">
        <f>(SUM(R5:U5)/4)</f>
        <v/>
      </c>
      <c r="W5" s="7" t="n">
        <v>8.210000000000001</v>
      </c>
      <c r="X5" s="7" t="n"/>
      <c r="Y5" s="7" t="n">
        <v>91</v>
      </c>
    </row>
    <row r="6" ht="30" customHeight="1">
      <c r="A6" s="7" t="inlineStr">
        <is>
          <t>24060124140180</t>
        </is>
      </c>
      <c r="B6" s="7" t="inlineStr">
        <is>
          <t>EILEEN ALBERT TANDRIO</t>
        </is>
      </c>
      <c r="C6" s="7" t="inlineStr">
        <is>
          <t>Cocok</t>
        </is>
      </c>
      <c r="D6" s="7" t="inlineStr">
        <is>
          <t>4</t>
        </is>
      </c>
      <c r="E6" s="7" t="inlineStr">
        <is>
          <t>BARU</t>
        </is>
      </c>
      <c r="F6" s="7" t="n"/>
      <c r="G6" s="7" t="n"/>
      <c r="H6" s="7" t="n"/>
      <c r="I6" s="7" t="n"/>
      <c r="J6" s="7" t="n"/>
      <c r="K6" s="7" t="n"/>
      <c r="L6" s="7" t="inlineStr">
        <is>
          <t>0</t>
        </is>
      </c>
      <c r="M6" s="7" t="inlineStr">
        <is>
          <t>E</t>
        </is>
      </c>
      <c r="N6" s="7" t="inlineStr">
        <is>
          <t>0</t>
        </is>
      </c>
      <c r="O6" s="7" t="inlineStr">
        <is>
          <t>Eileen Albert Tandrio</t>
        </is>
      </c>
      <c r="P6" s="7" t="inlineStr">
        <is>
          <t>24060124140180</t>
        </is>
      </c>
      <c r="Q6" s="7" t="inlineStr">
        <is>
          <t>eileenalberttandrio@students.undip.ac.id</t>
        </is>
      </c>
      <c r="R6" s="7" t="n">
        <v>71.43000000000001</v>
      </c>
      <c r="S6" s="7" t="n">
        <v>87.5</v>
      </c>
      <c r="T6" s="7" t="n">
        <v>100</v>
      </c>
      <c r="U6" s="7" t="n">
        <v>58.82</v>
      </c>
      <c r="V6" s="7">
        <f>(SUM(R6:U6)/4)</f>
        <v/>
      </c>
      <c r="W6" s="7" t="n">
        <v>10</v>
      </c>
      <c r="X6" s="7" t="n">
        <v>9.18</v>
      </c>
      <c r="Y6" s="7" t="n">
        <v>99</v>
      </c>
    </row>
    <row r="7">
      <c r="A7" s="7" t="inlineStr">
        <is>
          <t>24060124140207</t>
        </is>
      </c>
      <c r="B7" s="7" t="inlineStr">
        <is>
          <t>HADRIAN SHANDHY YUDHA</t>
        </is>
      </c>
      <c r="C7" s="7" t="inlineStr">
        <is>
          <t>Cocok</t>
        </is>
      </c>
      <c r="D7" s="7" t="inlineStr">
        <is>
          <t>4</t>
        </is>
      </c>
      <c r="E7" s="7" t="inlineStr">
        <is>
          <t>BARU</t>
        </is>
      </c>
      <c r="F7" s="7" t="n"/>
      <c r="G7" s="7" t="n"/>
      <c r="H7" s="7" t="n"/>
      <c r="I7" s="7" t="n"/>
      <c r="J7" s="7" t="n"/>
      <c r="K7" s="7" t="n"/>
      <c r="L7" s="7" t="inlineStr">
        <is>
          <t>0</t>
        </is>
      </c>
      <c r="M7" s="7" t="inlineStr">
        <is>
          <t>E</t>
        </is>
      </c>
      <c r="N7" s="7" t="inlineStr">
        <is>
          <t>0</t>
        </is>
      </c>
      <c r="O7" s="7" t="inlineStr">
        <is>
          <t>Hadrian Shandhy Yudha</t>
        </is>
      </c>
      <c r="P7" s="7" t="inlineStr">
        <is>
          <t>24060124140207</t>
        </is>
      </c>
      <c r="Q7" s="7" t="inlineStr">
        <is>
          <t>shandhyyudha@students.undip.ac.id</t>
        </is>
      </c>
      <c r="R7" s="7" t="n">
        <v>71.43000000000001</v>
      </c>
      <c r="S7" s="7" t="n">
        <v>81.25</v>
      </c>
      <c r="T7" s="7" t="n">
        <v>100</v>
      </c>
      <c r="U7" s="7" t="n">
        <v>88.23999999999999</v>
      </c>
      <c r="V7" s="7">
        <f>(SUM(R7:U7)/4)</f>
        <v/>
      </c>
      <c r="W7" s="7" t="n">
        <v>8.93</v>
      </c>
      <c r="X7" s="7" t="n">
        <v>9.140000000000001</v>
      </c>
      <c r="Y7" s="7" t="n">
        <v>96</v>
      </c>
    </row>
    <row r="8">
      <c r="A8" s="7" t="inlineStr">
        <is>
          <t>24060124120033</t>
        </is>
      </c>
      <c r="B8" s="7" t="inlineStr">
        <is>
          <t>SHALOM KURNIAWAN</t>
        </is>
      </c>
      <c r="C8" s="7" t="inlineStr">
        <is>
          <t>Cocok</t>
        </is>
      </c>
      <c r="D8" s="7" t="inlineStr">
        <is>
          <t>4</t>
        </is>
      </c>
      <c r="E8" s="7" t="inlineStr">
        <is>
          <t>BARU</t>
        </is>
      </c>
      <c r="F8" s="7" t="n"/>
      <c r="G8" s="7" t="n"/>
      <c r="H8" s="7" t="n"/>
      <c r="I8" s="7" t="n"/>
      <c r="J8" s="7" t="n"/>
      <c r="K8" s="7" t="n"/>
      <c r="L8" s="7" t="inlineStr">
        <is>
          <t>0</t>
        </is>
      </c>
      <c r="M8" s="7" t="inlineStr">
        <is>
          <t>E</t>
        </is>
      </c>
      <c r="N8" s="7" t="inlineStr">
        <is>
          <t>0</t>
        </is>
      </c>
      <c r="O8" s="7" t="inlineStr">
        <is>
          <t>Shalom Kurniawan</t>
        </is>
      </c>
      <c r="P8" s="7" t="inlineStr">
        <is>
          <t>24060124120033</t>
        </is>
      </c>
      <c r="Q8" s="7" t="inlineStr">
        <is>
          <t>chloudius@students.undip.ac.id</t>
        </is>
      </c>
      <c r="R8" s="7" t="n">
        <v>85.70999999999999</v>
      </c>
      <c r="S8" s="7" t="n">
        <v>62.5</v>
      </c>
      <c r="T8" s="7" t="n">
        <v>87.5</v>
      </c>
      <c r="U8" s="7" t="n">
        <v>44.12</v>
      </c>
      <c r="V8" s="7">
        <f>(SUM(R8:U8)/4)</f>
        <v/>
      </c>
      <c r="W8" s="7" t="n">
        <v>10</v>
      </c>
      <c r="X8" s="7" t="n">
        <v>4</v>
      </c>
      <c r="Y8" s="7" t="n">
        <v>95</v>
      </c>
    </row>
    <row r="9">
      <c r="A9" s="7" t="inlineStr">
        <is>
          <t>24060124120035</t>
        </is>
      </c>
      <c r="B9" s="7" t="inlineStr">
        <is>
          <t>YUMA HAZZA YUDITAMA</t>
        </is>
      </c>
      <c r="C9" s="7" t="inlineStr">
        <is>
          <t>Cocok</t>
        </is>
      </c>
      <c r="D9" s="7" t="inlineStr">
        <is>
          <t>4</t>
        </is>
      </c>
      <c r="E9" s="7" t="inlineStr">
        <is>
          <t>BARU</t>
        </is>
      </c>
      <c r="F9" s="7" t="n"/>
      <c r="G9" s="7" t="n"/>
      <c r="H9" s="7" t="n"/>
      <c r="I9" s="7" t="n"/>
      <c r="J9" s="7" t="n"/>
      <c r="K9" s="7" t="n"/>
      <c r="L9" s="7" t="inlineStr">
        <is>
          <t>0</t>
        </is>
      </c>
      <c r="M9" s="7" t="inlineStr">
        <is>
          <t>E</t>
        </is>
      </c>
      <c r="N9" s="7" t="inlineStr">
        <is>
          <t>0</t>
        </is>
      </c>
      <c r="O9" s="7" t="inlineStr">
        <is>
          <t>Yuma Hazza Yuditama</t>
        </is>
      </c>
      <c r="P9" s="7" t="inlineStr">
        <is>
          <t>24060124120035</t>
        </is>
      </c>
      <c r="Q9" s="7" t="inlineStr">
        <is>
          <t>yumayuditama@students.undip.ac.id</t>
        </is>
      </c>
      <c r="R9" s="7" t="n">
        <v>85.70999999999999</v>
      </c>
      <c r="S9" s="7" t="n">
        <v>75</v>
      </c>
      <c r="T9" s="7" t="n">
        <v>100</v>
      </c>
      <c r="U9" s="7" t="n">
        <v>76.47</v>
      </c>
      <c r="V9" s="7">
        <f>(SUM(R9:U9)/4)</f>
        <v/>
      </c>
      <c r="W9" s="7" t="n">
        <v>8.57</v>
      </c>
      <c r="X9" s="7" t="n"/>
      <c r="Y9" s="7" t="n">
        <v>88.33</v>
      </c>
    </row>
    <row r="10" ht="30" customHeight="1">
      <c r="A10" s="7" t="inlineStr">
        <is>
          <t>24060124120046</t>
        </is>
      </c>
      <c r="B10" s="7" t="inlineStr">
        <is>
          <t>ROMUALDUS YOAS WICAKSONO</t>
        </is>
      </c>
      <c r="C10" s="7" t="inlineStr">
        <is>
          <t>Cocok</t>
        </is>
      </c>
      <c r="D10" s="7" t="inlineStr">
        <is>
          <t>4</t>
        </is>
      </c>
      <c r="E10" s="7" t="inlineStr">
        <is>
          <t>BARU</t>
        </is>
      </c>
      <c r="F10" s="7" t="n"/>
      <c r="G10" s="7" t="n"/>
      <c r="H10" s="7" t="n"/>
      <c r="I10" s="7" t="n"/>
      <c r="J10" s="7" t="n"/>
      <c r="K10" s="7" t="n"/>
      <c r="L10" s="7" t="inlineStr">
        <is>
          <t>0</t>
        </is>
      </c>
      <c r="M10" s="7" t="inlineStr">
        <is>
          <t>E</t>
        </is>
      </c>
      <c r="N10" s="7" t="inlineStr">
        <is>
          <t>0</t>
        </is>
      </c>
      <c r="O10" s="7" t="inlineStr">
        <is>
          <t>Romualdus Yoas Wicaksono</t>
        </is>
      </c>
      <c r="P10" s="7" t="inlineStr">
        <is>
          <t>24060124120046</t>
        </is>
      </c>
      <c r="Q10" s="7" t="inlineStr">
        <is>
          <t>romualdus1406@students.undip.ac.id</t>
        </is>
      </c>
      <c r="R10" s="7" t="n">
        <v>71.43000000000001</v>
      </c>
      <c r="S10" s="7" t="n">
        <v>75</v>
      </c>
      <c r="T10" s="7" t="n">
        <v>81.25</v>
      </c>
      <c r="U10" s="7" t="n">
        <v>47.06</v>
      </c>
      <c r="V10" s="7">
        <f>(SUM(R10:U10)/4)</f>
        <v/>
      </c>
      <c r="W10" s="7" t="n">
        <v>8.210000000000001</v>
      </c>
      <c r="X10" s="7" t="n">
        <v>8.050000000000001</v>
      </c>
      <c r="Y10" s="7" t="n">
        <v>92</v>
      </c>
    </row>
    <row r="11" ht="30" customHeight="1">
      <c r="A11" s="7" t="inlineStr">
        <is>
          <t>24060124130066</t>
        </is>
      </c>
      <c r="B11" s="7" t="inlineStr">
        <is>
          <t>SILVANI SALSABILLA</t>
        </is>
      </c>
      <c r="C11" s="7" t="inlineStr">
        <is>
          <t>Cocok</t>
        </is>
      </c>
      <c r="D11" s="7" t="inlineStr">
        <is>
          <t>4</t>
        </is>
      </c>
      <c r="E11" s="7" t="inlineStr">
        <is>
          <t>BARU</t>
        </is>
      </c>
      <c r="F11" s="7" t="n"/>
      <c r="G11" s="7" t="n"/>
      <c r="H11" s="7" t="n"/>
      <c r="I11" s="7" t="n"/>
      <c r="J11" s="7" t="n"/>
      <c r="K11" s="7" t="n"/>
      <c r="L11" s="7" t="inlineStr">
        <is>
          <t>0</t>
        </is>
      </c>
      <c r="M11" s="7" t="inlineStr">
        <is>
          <t>E</t>
        </is>
      </c>
      <c r="N11" s="7" t="inlineStr">
        <is>
          <t>0</t>
        </is>
      </c>
      <c r="O11" s="7" t="inlineStr">
        <is>
          <t>Silvani Salsabilla</t>
        </is>
      </c>
      <c r="P11" s="7" t="inlineStr">
        <is>
          <t>24060124130066</t>
        </is>
      </c>
      <c r="Q11" s="7" t="inlineStr">
        <is>
          <t>silvanisalsabilla@students.undip.ac.id</t>
        </is>
      </c>
      <c r="R11" s="7" t="n">
        <v>85.70999999999999</v>
      </c>
      <c r="S11" s="7" t="n">
        <v>81.25</v>
      </c>
      <c r="T11" s="7" t="n">
        <v>100</v>
      </c>
      <c r="U11" s="7" t="n">
        <v>76.47</v>
      </c>
      <c r="V11" s="7">
        <f>(SUM(R11:U11)/4)</f>
        <v/>
      </c>
      <c r="W11" s="7" t="n">
        <v>9.289999999999999</v>
      </c>
      <c r="X11" s="7" t="n">
        <v>9.73</v>
      </c>
      <c r="Y11" s="7" t="n">
        <v>99</v>
      </c>
    </row>
    <row r="12">
      <c r="A12" s="7" t="inlineStr">
        <is>
          <t>24060124130114</t>
        </is>
      </c>
      <c r="B12" s="7" t="inlineStr">
        <is>
          <t>YUSTINUS HENDI SETYAWAN</t>
        </is>
      </c>
      <c r="C12" s="7" t="inlineStr">
        <is>
          <t>Cocok</t>
        </is>
      </c>
      <c r="D12" s="7" t="inlineStr">
        <is>
          <t>4</t>
        </is>
      </c>
      <c r="E12" s="7" t="inlineStr">
        <is>
          <t>BARU</t>
        </is>
      </c>
      <c r="F12" s="7" t="n"/>
      <c r="G12" s="7" t="n"/>
      <c r="H12" s="7" t="n"/>
      <c r="I12" s="7" t="n"/>
      <c r="J12" s="7" t="n"/>
      <c r="K12" s="7" t="n"/>
      <c r="L12" s="7" t="inlineStr">
        <is>
          <t>0</t>
        </is>
      </c>
      <c r="M12" s="7" t="inlineStr">
        <is>
          <t>E</t>
        </is>
      </c>
      <c r="N12" s="7" t="inlineStr">
        <is>
          <t>0</t>
        </is>
      </c>
      <c r="O12" s="7" t="inlineStr">
        <is>
          <t>Yustinus Hendi Setyawan</t>
        </is>
      </c>
      <c r="P12" s="7" t="inlineStr">
        <is>
          <t>24060124130114</t>
        </is>
      </c>
      <c r="Q12" s="7" t="inlineStr">
        <is>
          <t>yustinushendi@students.undip.ac.id</t>
        </is>
      </c>
      <c r="R12" s="7" t="n">
        <v>85.70999999999999</v>
      </c>
      <c r="S12" s="7" t="n">
        <v>87.5</v>
      </c>
      <c r="T12" s="7" t="n">
        <v>100</v>
      </c>
      <c r="U12" s="7" t="n">
        <v>67.65000000000001</v>
      </c>
      <c r="V12" s="7">
        <f>(SUM(R12:U12)/4)</f>
        <v/>
      </c>
      <c r="W12" s="7" t="n">
        <v>9.289999999999999</v>
      </c>
      <c r="X12" s="7" t="n">
        <v>7.18</v>
      </c>
      <c r="Y12" s="7" t="n">
        <v>97</v>
      </c>
    </row>
    <row r="13">
      <c r="A13" s="7" t="inlineStr">
        <is>
          <t>24060124130122</t>
        </is>
      </c>
      <c r="B13" s="7" t="inlineStr">
        <is>
          <t>RIDHO TRI SAPUTRA</t>
        </is>
      </c>
      <c r="C13" s="7" t="inlineStr">
        <is>
          <t>Cocok</t>
        </is>
      </c>
      <c r="D13" s="7" t="inlineStr">
        <is>
          <t>4</t>
        </is>
      </c>
      <c r="E13" s="7" t="inlineStr">
        <is>
          <t>BARU</t>
        </is>
      </c>
      <c r="F13" s="7" t="n"/>
      <c r="G13" s="7" t="n"/>
      <c r="H13" s="7" t="n"/>
      <c r="I13" s="7" t="n"/>
      <c r="J13" s="7" t="n"/>
      <c r="K13" s="7" t="n"/>
      <c r="L13" s="7" t="inlineStr">
        <is>
          <t>0</t>
        </is>
      </c>
      <c r="M13" s="7" t="inlineStr">
        <is>
          <t>E</t>
        </is>
      </c>
      <c r="N13" s="7" t="inlineStr">
        <is>
          <t>0</t>
        </is>
      </c>
      <c r="O13" s="7" t="inlineStr">
        <is>
          <t>Ridho Tri Saputra</t>
        </is>
      </c>
      <c r="P13" s="7" t="inlineStr">
        <is>
          <t>24060124130122</t>
        </is>
      </c>
      <c r="Q13" s="7" t="inlineStr">
        <is>
          <t>rdhtri@students.undip.ac.id</t>
        </is>
      </c>
      <c r="R13" s="7" t="n">
        <v>57.14</v>
      </c>
      <c r="S13" s="7" t="n">
        <v>87.5</v>
      </c>
      <c r="T13" s="7" t="n">
        <v>100</v>
      </c>
      <c r="U13" s="7" t="n">
        <v>61.76</v>
      </c>
      <c r="V13" s="7">
        <f>(SUM(R13:U13)/4)</f>
        <v/>
      </c>
      <c r="W13" s="7" t="n">
        <v>9.289999999999999</v>
      </c>
      <c r="X13" s="7" t="n"/>
      <c r="Y13" s="7" t="n">
        <v>97</v>
      </c>
    </row>
    <row r="14" ht="30" customHeight="1">
      <c r="A14" s="7" t="inlineStr">
        <is>
          <t>24060124140129</t>
        </is>
      </c>
      <c r="B14" s="7" t="inlineStr">
        <is>
          <t>REVANSKA MUHAMMAD ATHALLAH</t>
        </is>
      </c>
      <c r="C14" s="7" t="inlineStr">
        <is>
          <t>Cocok</t>
        </is>
      </c>
      <c r="D14" s="7" t="inlineStr">
        <is>
          <t>4</t>
        </is>
      </c>
      <c r="E14" s="7" t="inlineStr">
        <is>
          <t>BARU</t>
        </is>
      </c>
      <c r="F14" s="7" t="n"/>
      <c r="G14" s="7" t="n"/>
      <c r="H14" s="7" t="n"/>
      <c r="I14" s="7" t="n"/>
      <c r="J14" s="7" t="n"/>
      <c r="K14" s="7" t="n"/>
      <c r="L14" s="7" t="inlineStr">
        <is>
          <t>0</t>
        </is>
      </c>
      <c r="M14" s="7" t="inlineStr">
        <is>
          <t>E</t>
        </is>
      </c>
      <c r="N14" s="7" t="inlineStr">
        <is>
          <t>0</t>
        </is>
      </c>
      <c r="O14" s="7" t="inlineStr">
        <is>
          <t>Revanska Muhammad Athallah</t>
        </is>
      </c>
      <c r="P14" s="7" t="inlineStr">
        <is>
          <t>24060124140129</t>
        </is>
      </c>
      <c r="Q14" s="7" t="inlineStr">
        <is>
          <t>revanska@students.undip.ac.id</t>
        </is>
      </c>
      <c r="R14" s="7" t="n">
        <v>71.43000000000001</v>
      </c>
      <c r="S14" s="7" t="n">
        <v>81.25</v>
      </c>
      <c r="T14" s="7" t="n">
        <v>93.75</v>
      </c>
      <c r="U14" s="7" t="n">
        <v>38.24</v>
      </c>
      <c r="V14" s="7">
        <f>(SUM(R14:U14)/4)</f>
        <v/>
      </c>
      <c r="W14" s="7" t="n">
        <v>7.86</v>
      </c>
      <c r="X14" s="7" t="n">
        <v>6.84</v>
      </c>
      <c r="Y14" s="7" t="n">
        <v>96</v>
      </c>
    </row>
    <row r="15">
      <c r="A15" s="7" t="inlineStr">
        <is>
          <t>24060124140154</t>
        </is>
      </c>
      <c r="B15" s="7" t="inlineStr">
        <is>
          <t>SYAHRAFI AHMAD PRADIKA</t>
        </is>
      </c>
      <c r="C15" s="7" t="inlineStr">
        <is>
          <t>Cocok</t>
        </is>
      </c>
      <c r="D15" s="7" t="inlineStr">
        <is>
          <t>4</t>
        </is>
      </c>
      <c r="E15" s="7" t="inlineStr">
        <is>
          <t>BARU</t>
        </is>
      </c>
      <c r="F15" s="7" t="n"/>
      <c r="G15" s="7" t="n"/>
      <c r="H15" s="7" t="n"/>
      <c r="I15" s="7" t="n"/>
      <c r="J15" s="7" t="n"/>
      <c r="K15" s="7" t="n"/>
      <c r="L15" s="7" t="inlineStr">
        <is>
          <t>0</t>
        </is>
      </c>
      <c r="M15" s="7" t="inlineStr">
        <is>
          <t>E</t>
        </is>
      </c>
      <c r="N15" s="7" t="inlineStr">
        <is>
          <t>0</t>
        </is>
      </c>
      <c r="O15" s="7" t="inlineStr">
        <is>
          <t>Syahrafi Ahmad Pradika</t>
        </is>
      </c>
      <c r="P15" s="7" t="inlineStr">
        <is>
          <t>24060124140154</t>
        </is>
      </c>
      <c r="Q15" s="7" t="inlineStr">
        <is>
          <t>syahrafi@students.undip.ac.id</t>
        </is>
      </c>
      <c r="R15" s="7" t="n">
        <v>57.14</v>
      </c>
      <c r="S15" s="7" t="n">
        <v>81.25</v>
      </c>
      <c r="T15" s="7" t="n">
        <v>93.75</v>
      </c>
      <c r="U15" s="7" t="n">
        <v>55.88</v>
      </c>
      <c r="V15" s="7">
        <f>(SUM(R15:U15)/4)</f>
        <v/>
      </c>
      <c r="W15" s="7" t="n">
        <v>8.210000000000001</v>
      </c>
      <c r="X15" s="7" t="n">
        <v>9.640000000000001</v>
      </c>
      <c r="Y15" s="7" t="n">
        <v>94.33</v>
      </c>
    </row>
    <row r="16">
      <c r="A16" s="7" t="inlineStr">
        <is>
          <t>24060124120011</t>
        </is>
      </c>
      <c r="B16" s="7" t="inlineStr">
        <is>
          <t>KHANZA QAILA</t>
        </is>
      </c>
      <c r="C16" s="7" t="inlineStr">
        <is>
          <t>Cocok</t>
        </is>
      </c>
      <c r="D16" s="7" t="inlineStr">
        <is>
          <t>4</t>
        </is>
      </c>
      <c r="E16" s="7" t="inlineStr">
        <is>
          <t>BARU</t>
        </is>
      </c>
      <c r="F16" s="7" t="n"/>
      <c r="G16" s="7" t="n"/>
      <c r="H16" s="7" t="n"/>
      <c r="I16" s="7" t="n"/>
      <c r="J16" s="7" t="n"/>
      <c r="K16" s="7" t="n"/>
      <c r="L16" s="7" t="inlineStr">
        <is>
          <t>0</t>
        </is>
      </c>
      <c r="M16" s="7" t="inlineStr">
        <is>
          <t>E</t>
        </is>
      </c>
      <c r="N16" s="7" t="inlineStr">
        <is>
          <t>0</t>
        </is>
      </c>
      <c r="O16" s="7" t="inlineStr">
        <is>
          <t>Khanza Qaila</t>
        </is>
      </c>
      <c r="P16" s="7" t="inlineStr">
        <is>
          <t>24060124120011</t>
        </is>
      </c>
      <c r="Q16" s="7" t="inlineStr">
        <is>
          <t>khanzaqaila@students.undip.ac.id</t>
        </is>
      </c>
      <c r="R16" s="7" t="n">
        <v>71.43000000000001</v>
      </c>
      <c r="S16" s="7" t="n">
        <v>87.5</v>
      </c>
      <c r="T16" s="7" t="n">
        <v>87.5</v>
      </c>
      <c r="U16" s="7" t="n">
        <v>58.82</v>
      </c>
      <c r="V16" s="7">
        <f>(SUM(R16:U16)/4)</f>
        <v/>
      </c>
      <c r="W16" s="7" t="n">
        <v>8.93</v>
      </c>
      <c r="X16" s="7" t="n"/>
      <c r="Y16" s="7" t="n">
        <v>93.33</v>
      </c>
    </row>
    <row r="17" ht="30" customHeight="1">
      <c r="A17" s="7" t="inlineStr">
        <is>
          <t>24060124120031</t>
        </is>
      </c>
      <c r="B17" s="7" t="inlineStr">
        <is>
          <t>MISBACHUL MUNIR</t>
        </is>
      </c>
      <c r="C17" s="7" t="inlineStr">
        <is>
          <t>Cocok</t>
        </is>
      </c>
      <c r="D17" s="7" t="inlineStr">
        <is>
          <t>4</t>
        </is>
      </c>
      <c r="E17" s="7" t="inlineStr">
        <is>
          <t>BARU</t>
        </is>
      </c>
      <c r="F17" s="7" t="n"/>
      <c r="G17" s="7" t="n"/>
      <c r="H17" s="7" t="n"/>
      <c r="I17" s="7" t="n"/>
      <c r="J17" s="7" t="n"/>
      <c r="K17" s="7" t="n"/>
      <c r="L17" s="7" t="inlineStr">
        <is>
          <t>0</t>
        </is>
      </c>
      <c r="M17" s="7" t="inlineStr">
        <is>
          <t>E</t>
        </is>
      </c>
      <c r="N17" s="7" t="inlineStr">
        <is>
          <t>0</t>
        </is>
      </c>
      <c r="O17" s="7" t="inlineStr">
        <is>
          <t>Misbachul Munir</t>
        </is>
      </c>
      <c r="P17" s="7" t="inlineStr">
        <is>
          <t>24060124120031</t>
        </is>
      </c>
      <c r="Q17" s="7" t="inlineStr">
        <is>
          <t>almunirmisbah@students.undip.ac.id</t>
        </is>
      </c>
      <c r="R17" s="7" t="n">
        <v>71.43000000000001</v>
      </c>
      <c r="S17" s="7" t="n">
        <v>87.5</v>
      </c>
      <c r="T17" s="7" t="n">
        <v>100</v>
      </c>
      <c r="U17" s="7" t="n">
        <v>76.47</v>
      </c>
      <c r="V17" s="7">
        <f>(SUM(R17:U17)/4)</f>
        <v/>
      </c>
      <c r="W17" s="7" t="n">
        <v>8.93</v>
      </c>
      <c r="X17" s="7" t="n">
        <v>6.41</v>
      </c>
      <c r="Y17" s="7" t="n">
        <v>97.33</v>
      </c>
    </row>
    <row r="18">
      <c r="A18" s="7" t="inlineStr">
        <is>
          <t>24060124130074</t>
        </is>
      </c>
      <c r="B18" s="7" t="inlineStr">
        <is>
          <t>KIYOSHI AKILA TIRA</t>
        </is>
      </c>
      <c r="C18" s="7" t="inlineStr">
        <is>
          <t>Cocok</t>
        </is>
      </c>
      <c r="D18" s="7" t="inlineStr">
        <is>
          <t>4</t>
        </is>
      </c>
      <c r="E18" s="7" t="inlineStr">
        <is>
          <t>BARU</t>
        </is>
      </c>
      <c r="F18" s="7" t="n"/>
      <c r="G18" s="7" t="n"/>
      <c r="H18" s="7" t="n"/>
      <c r="I18" s="7" t="n"/>
      <c r="J18" s="7" t="n"/>
      <c r="K18" s="7" t="n"/>
      <c r="L18" s="7" t="inlineStr">
        <is>
          <t>0</t>
        </is>
      </c>
      <c r="M18" s="7" t="inlineStr">
        <is>
          <t>E</t>
        </is>
      </c>
      <c r="N18" s="7" t="inlineStr">
        <is>
          <t>0</t>
        </is>
      </c>
      <c r="O18" s="7" t="inlineStr">
        <is>
          <t>Kiyoshi Akila Tira</t>
        </is>
      </c>
      <c r="P18" s="7" t="inlineStr">
        <is>
          <t>24060124130074</t>
        </is>
      </c>
      <c r="Q18" s="7" t="inlineStr">
        <is>
          <t>kiyoshiatira@students.undip.ac.id</t>
        </is>
      </c>
      <c r="R18" s="7" t="n">
        <v>71.43000000000001</v>
      </c>
      <c r="S18" s="7" t="n">
        <v>81.25</v>
      </c>
      <c r="T18" s="7" t="n">
        <v>81.25</v>
      </c>
      <c r="U18" s="7" t="n">
        <v>79.41</v>
      </c>
      <c r="V18" s="7">
        <f>(SUM(R18:U18)/4)</f>
        <v/>
      </c>
      <c r="W18" s="7" t="n">
        <v>8.57</v>
      </c>
      <c r="X18" s="7" t="n">
        <v>8.09</v>
      </c>
      <c r="Y18" s="7" t="n">
        <v>86</v>
      </c>
    </row>
    <row r="19">
      <c r="A19" s="7" t="inlineStr">
        <is>
          <t>24060124140203</t>
        </is>
      </c>
      <c r="B19" s="7" t="inlineStr">
        <is>
          <t>MOHAMMAD NAJIB FITRIANTO</t>
        </is>
      </c>
      <c r="C19" s="7" t="inlineStr">
        <is>
          <t>Cocok</t>
        </is>
      </c>
      <c r="D19" s="7" t="inlineStr">
        <is>
          <t>4</t>
        </is>
      </c>
      <c r="E19" s="7" t="inlineStr">
        <is>
          <t>BARU</t>
        </is>
      </c>
      <c r="F19" s="7" t="n"/>
      <c r="G19" s="7" t="n"/>
      <c r="H19" s="7" t="n"/>
      <c r="I19" s="7" t="n"/>
      <c r="J19" s="7" t="n"/>
      <c r="K19" s="7" t="n"/>
      <c r="L19" s="7" t="inlineStr">
        <is>
          <t>0</t>
        </is>
      </c>
      <c r="M19" s="7" t="inlineStr">
        <is>
          <t>E</t>
        </is>
      </c>
      <c r="N19" s="7" t="inlineStr">
        <is>
          <t>0</t>
        </is>
      </c>
      <c r="O19" s="7" t="inlineStr">
        <is>
          <t>Mohammad Najib Fitrianto</t>
        </is>
      </c>
      <c r="P19" s="7" t="inlineStr">
        <is>
          <t>24060124140203</t>
        </is>
      </c>
      <c r="Q19" s="7" t="inlineStr">
        <is>
          <t>najibfitrianto@students.undip.ac.id</t>
        </is>
      </c>
      <c r="R19" s="7" t="n">
        <v>57.14</v>
      </c>
      <c r="S19" s="7" t="n">
        <v>87.5</v>
      </c>
      <c r="T19" s="7" t="n">
        <v>93.75</v>
      </c>
      <c r="U19" s="7" t="n">
        <v>73.53</v>
      </c>
      <c r="V19" s="7">
        <f>(SUM(R19:U19)/4)</f>
        <v/>
      </c>
      <c r="W19" s="7" t="n">
        <v>7.86</v>
      </c>
      <c r="X19" s="7" t="n">
        <v>0.18</v>
      </c>
      <c r="Y19" s="7" t="n">
        <v>76</v>
      </c>
    </row>
    <row r="20">
      <c r="A20" s="7" t="inlineStr">
        <is>
          <t>24060124130076</t>
        </is>
      </c>
      <c r="B20" s="7" t="inlineStr">
        <is>
          <t>JOHAN REINHART CALVIN</t>
        </is>
      </c>
      <c r="C20" s="7" t="inlineStr">
        <is>
          <t>Cocok</t>
        </is>
      </c>
      <c r="D20" s="7" t="inlineStr">
        <is>
          <t>4</t>
        </is>
      </c>
      <c r="E20" s="7" t="inlineStr">
        <is>
          <t>BARU</t>
        </is>
      </c>
      <c r="F20" s="7" t="n"/>
      <c r="G20" s="7" t="n"/>
      <c r="H20" s="7" t="n"/>
      <c r="I20" s="7" t="n"/>
      <c r="J20" s="7" t="n"/>
      <c r="K20" s="7" t="n"/>
      <c r="L20" s="7" t="inlineStr">
        <is>
          <t>0</t>
        </is>
      </c>
      <c r="M20" s="7" t="inlineStr">
        <is>
          <t>E</t>
        </is>
      </c>
      <c r="N20" s="7" t="inlineStr">
        <is>
          <t>0</t>
        </is>
      </c>
      <c r="O20" s="7" t="inlineStr">
        <is>
          <t>Johan Reinhart Calvin</t>
        </is>
      </c>
      <c r="P20" s="7" t="inlineStr">
        <is>
          <t>24060124130076</t>
        </is>
      </c>
      <c r="Q20" s="7" t="inlineStr">
        <is>
          <t>johanrcalvin@students.undip.ac.id</t>
        </is>
      </c>
      <c r="R20" s="7" t="n">
        <v>85.70999999999999</v>
      </c>
      <c r="S20" s="7" t="n">
        <v>87.5</v>
      </c>
      <c r="T20" s="7" t="n">
        <v>93.75</v>
      </c>
      <c r="U20" s="7" t="n">
        <v>85.29000000000001</v>
      </c>
      <c r="V20" s="7">
        <f>(SUM(R20:U20)/4)</f>
        <v/>
      </c>
      <c r="W20" s="7" t="n">
        <v>8.210000000000001</v>
      </c>
      <c r="X20" s="7" t="n"/>
      <c r="Y20" s="7" t="n">
        <v>95</v>
      </c>
    </row>
    <row r="21" ht="30" customHeight="1">
      <c r="A21" s="7" t="inlineStr">
        <is>
          <t>24060124130084</t>
        </is>
      </c>
      <c r="B21" s="7" t="inlineStr">
        <is>
          <t>JESSICA LAURENCIA PANJAITAN</t>
        </is>
      </c>
      <c r="C21" s="7" t="inlineStr">
        <is>
          <t>Cocok</t>
        </is>
      </c>
      <c r="D21" s="7" t="inlineStr">
        <is>
          <t>4</t>
        </is>
      </c>
      <c r="E21" s="7" t="inlineStr">
        <is>
          <t>BARU</t>
        </is>
      </c>
      <c r="F21" s="7" t="n"/>
      <c r="G21" s="7" t="n"/>
      <c r="H21" s="7" t="n"/>
      <c r="I21" s="7" t="n"/>
      <c r="J21" s="7" t="n"/>
      <c r="K21" s="7" t="n"/>
      <c r="L21" s="7" t="inlineStr">
        <is>
          <t>0</t>
        </is>
      </c>
      <c r="M21" s="7" t="inlineStr">
        <is>
          <t>E</t>
        </is>
      </c>
      <c r="N21" s="7" t="inlineStr">
        <is>
          <t>0</t>
        </is>
      </c>
      <c r="O21" s="7" t="inlineStr">
        <is>
          <t>Jessica Laurencia Panjaitan</t>
        </is>
      </c>
      <c r="P21" s="7" t="inlineStr">
        <is>
          <t>24060124130084</t>
        </is>
      </c>
      <c r="Q21" s="7" t="inlineStr">
        <is>
          <t>jessicalaurencia@students.undip.ac.id</t>
        </is>
      </c>
      <c r="R21" s="7" t="n">
        <v>71.43000000000001</v>
      </c>
      <c r="S21" s="7" t="n">
        <v>87.5</v>
      </c>
      <c r="T21" s="7" t="n">
        <v>93.75</v>
      </c>
      <c r="U21" s="7" t="n">
        <v>50</v>
      </c>
      <c r="V21" s="7">
        <f>(SUM(R21:U21)/4)</f>
        <v/>
      </c>
      <c r="W21" s="7" t="n">
        <v>8.93</v>
      </c>
      <c r="X21" s="7" t="n">
        <v>9.18</v>
      </c>
      <c r="Y21" s="7" t="n">
        <v>92</v>
      </c>
    </row>
    <row r="22">
      <c r="A22" s="7" t="inlineStr">
        <is>
          <t>24060124140198</t>
        </is>
      </c>
      <c r="B22" s="7" t="inlineStr">
        <is>
          <t>ILHAM MUHAMMAD RAFFI</t>
        </is>
      </c>
      <c r="C22" s="7" t="inlineStr">
        <is>
          <t>Cocok</t>
        </is>
      </c>
      <c r="D22" s="7" t="inlineStr">
        <is>
          <t>4</t>
        </is>
      </c>
      <c r="E22" s="7" t="inlineStr">
        <is>
          <t>BARU</t>
        </is>
      </c>
      <c r="F22" s="7" t="n"/>
      <c r="G22" s="7" t="n"/>
      <c r="H22" s="7" t="n"/>
      <c r="I22" s="7" t="n"/>
      <c r="J22" s="7" t="n"/>
      <c r="K22" s="7" t="n"/>
      <c r="L22" s="7" t="inlineStr">
        <is>
          <t>0</t>
        </is>
      </c>
      <c r="M22" s="7" t="inlineStr">
        <is>
          <t>E</t>
        </is>
      </c>
      <c r="N22" s="7" t="inlineStr">
        <is>
          <t>0</t>
        </is>
      </c>
      <c r="O22" s="7" t="inlineStr">
        <is>
          <t>Ilham Muhammad Raffi</t>
        </is>
      </c>
      <c r="P22" s="7" t="inlineStr">
        <is>
          <t>24060124140198</t>
        </is>
      </c>
      <c r="Q22" s="7" t="inlineStr">
        <is>
          <t>ilhamraffi@students.undip.ac.id</t>
        </is>
      </c>
      <c r="R22" s="7" t="n">
        <v>71.43000000000001</v>
      </c>
      <c r="S22" s="7" t="n">
        <v>68.75</v>
      </c>
      <c r="T22" s="7" t="n">
        <v>81.25</v>
      </c>
      <c r="U22" s="7" t="n">
        <v>44.12</v>
      </c>
      <c r="V22" s="7">
        <f>(SUM(R22:U22)/4)</f>
        <v/>
      </c>
      <c r="W22" s="7" t="n">
        <v>8.93</v>
      </c>
      <c r="X22" s="7" t="n"/>
      <c r="Y22" s="7" t="n">
        <v>95</v>
      </c>
    </row>
    <row r="23">
      <c r="A23" s="7" t="inlineStr">
        <is>
          <t>24060124120037</t>
        </is>
      </c>
      <c r="B23" s="7" t="inlineStr">
        <is>
          <t>MUHAMMAD FAHRI</t>
        </is>
      </c>
      <c r="C23" s="7" t="inlineStr">
        <is>
          <t>Cocok</t>
        </is>
      </c>
      <c r="D23" s="7" t="inlineStr">
        <is>
          <t>4</t>
        </is>
      </c>
      <c r="E23" s="7" t="inlineStr">
        <is>
          <t>BARU</t>
        </is>
      </c>
      <c r="F23" s="7" t="n"/>
      <c r="G23" s="7" t="n"/>
      <c r="H23" s="7" t="n"/>
      <c r="I23" s="7" t="n"/>
      <c r="J23" s="7" t="n"/>
      <c r="K23" s="7" t="n"/>
      <c r="L23" s="7" t="inlineStr">
        <is>
          <t>0</t>
        </is>
      </c>
      <c r="M23" s="7" t="inlineStr">
        <is>
          <t>E</t>
        </is>
      </c>
      <c r="N23" s="7" t="inlineStr">
        <is>
          <t>0</t>
        </is>
      </c>
      <c r="O23" s="7" t="inlineStr">
        <is>
          <t>Muhammad Fahri</t>
        </is>
      </c>
      <c r="P23" s="7" t="inlineStr">
        <is>
          <t>24060124120037</t>
        </is>
      </c>
      <c r="Q23" s="7" t="inlineStr">
        <is>
          <t>fahrimuh21@students.undip.ac.id</t>
        </is>
      </c>
      <c r="R23" s="7" t="n">
        <v>71.43000000000001</v>
      </c>
      <c r="S23" s="7" t="n">
        <v>93.75</v>
      </c>
      <c r="T23" s="7" t="n">
        <v>100</v>
      </c>
      <c r="U23" s="7" t="n">
        <v>79.41</v>
      </c>
      <c r="V23" s="7">
        <f>(SUM(R23:U23)/4)</f>
        <v/>
      </c>
      <c r="W23" s="7" t="n">
        <v>9.289999999999999</v>
      </c>
      <c r="X23" s="7" t="n">
        <v>5.36</v>
      </c>
      <c r="Y23" s="7" t="n">
        <v>94</v>
      </c>
    </row>
    <row r="24">
      <c r="A24" s="7" t="inlineStr">
        <is>
          <t>24060124130069</t>
        </is>
      </c>
      <c r="B24" s="7" t="inlineStr">
        <is>
          <t>MUHAMMAD FIKRI</t>
        </is>
      </c>
      <c r="C24" s="7" t="inlineStr">
        <is>
          <t>Cocok</t>
        </is>
      </c>
      <c r="D24" s="7" t="inlineStr">
        <is>
          <t>4</t>
        </is>
      </c>
      <c r="E24" s="7" t="inlineStr">
        <is>
          <t>BARU</t>
        </is>
      </c>
      <c r="F24" s="7" t="n"/>
      <c r="G24" s="7" t="n"/>
      <c r="H24" s="7" t="n"/>
      <c r="I24" s="7" t="n"/>
      <c r="J24" s="7" t="n"/>
      <c r="K24" s="7" t="n"/>
      <c r="L24" s="7" t="inlineStr">
        <is>
          <t>0</t>
        </is>
      </c>
      <c r="M24" s="7" t="inlineStr">
        <is>
          <t>E</t>
        </is>
      </c>
      <c r="N24" s="7" t="inlineStr">
        <is>
          <t>0</t>
        </is>
      </c>
      <c r="O24" s="7" t="inlineStr">
        <is>
          <t>Muhammad Fikri</t>
        </is>
      </c>
      <c r="P24" s="7" t="inlineStr">
        <is>
          <t>24060124130069</t>
        </is>
      </c>
      <c r="Q24" s="7" t="inlineStr">
        <is>
          <t>muhffikri@students.undip.ac.id</t>
        </is>
      </c>
      <c r="R24" s="7" t="n">
        <v>100</v>
      </c>
      <c r="S24" s="7" t="n">
        <v>68.75</v>
      </c>
      <c r="T24" s="7" t="n">
        <v>93.75</v>
      </c>
      <c r="U24" s="7" t="n">
        <v>58.82</v>
      </c>
      <c r="V24" s="7">
        <f>(SUM(R24:U24)/4)</f>
        <v/>
      </c>
      <c r="W24" s="7" t="n">
        <v>8.93</v>
      </c>
      <c r="X24" s="7" t="n"/>
      <c r="Y24" s="7" t="n">
        <v>78.33</v>
      </c>
    </row>
    <row r="25" ht="30" customHeight="1">
      <c r="A25" s="7" t="inlineStr">
        <is>
          <t>24060124130123</t>
        </is>
      </c>
      <c r="B25" s="7" t="inlineStr">
        <is>
          <t>MUHAMMAD AKMAL FAZLI RIYADI</t>
        </is>
      </c>
      <c r="C25" s="7" t="inlineStr">
        <is>
          <t>Cocok</t>
        </is>
      </c>
      <c r="D25" s="7" t="inlineStr">
        <is>
          <t>4</t>
        </is>
      </c>
      <c r="E25" s="7" t="inlineStr">
        <is>
          <t>BARU</t>
        </is>
      </c>
      <c r="F25" s="7" t="n"/>
      <c r="G25" s="7" t="n"/>
      <c r="H25" s="7" t="n"/>
      <c r="I25" s="7" t="n"/>
      <c r="J25" s="7" t="n"/>
      <c r="K25" s="7" t="n"/>
      <c r="L25" s="7" t="inlineStr">
        <is>
          <t>0</t>
        </is>
      </c>
      <c r="M25" s="7" t="inlineStr">
        <is>
          <t>E</t>
        </is>
      </c>
      <c r="N25" s="7" t="inlineStr">
        <is>
          <t>0</t>
        </is>
      </c>
      <c r="O25" s="7" t="inlineStr">
        <is>
          <t>Muhammad Akmal Fazli Riyadi</t>
        </is>
      </c>
      <c r="P25" s="7" t="inlineStr">
        <is>
          <t>24060124130123</t>
        </is>
      </c>
      <c r="Q25" s="7" t="inlineStr">
        <is>
          <t>akmalfazli27@students.undip.ac.id</t>
        </is>
      </c>
      <c r="R25" s="7" t="n">
        <v>85.70999999999999</v>
      </c>
      <c r="S25" s="7" t="n">
        <v>87.5</v>
      </c>
      <c r="T25" s="7" t="n">
        <v>93.75</v>
      </c>
      <c r="U25" s="7" t="n">
        <v>67.65000000000001</v>
      </c>
      <c r="V25" s="7">
        <f>(SUM(R25:U25)/4)</f>
        <v/>
      </c>
      <c r="W25" s="7" t="n">
        <v>9.289999999999999</v>
      </c>
      <c r="X25" s="7" t="n">
        <v>9.09</v>
      </c>
      <c r="Y25" s="7" t="n">
        <v>96</v>
      </c>
    </row>
    <row r="26" ht="30" customHeight="1">
      <c r="A26" s="7" t="inlineStr">
        <is>
          <t>24060124140148</t>
        </is>
      </c>
      <c r="B26" s="7" t="inlineStr">
        <is>
          <t>MUHAMMAD ALFAIQ RIDO SALAFY</t>
        </is>
      </c>
      <c r="C26" s="7" t="inlineStr">
        <is>
          <t>Cocok</t>
        </is>
      </c>
      <c r="D26" s="7" t="inlineStr">
        <is>
          <t>4</t>
        </is>
      </c>
      <c r="E26" s="7" t="inlineStr">
        <is>
          <t>BARU</t>
        </is>
      </c>
      <c r="F26" s="7" t="n"/>
      <c r="G26" s="7" t="n"/>
      <c r="H26" s="7" t="n"/>
      <c r="I26" s="7" t="n"/>
      <c r="J26" s="7" t="n"/>
      <c r="K26" s="7" t="n"/>
      <c r="L26" s="7" t="inlineStr">
        <is>
          <t>0</t>
        </is>
      </c>
      <c r="M26" s="7" t="inlineStr">
        <is>
          <t>E</t>
        </is>
      </c>
      <c r="N26" s="7" t="inlineStr">
        <is>
          <t>0</t>
        </is>
      </c>
      <c r="O26" s="7" t="inlineStr">
        <is>
          <t>Muhammad Alfaiq Rido Salafy</t>
        </is>
      </c>
      <c r="P26" s="7" t="inlineStr">
        <is>
          <t>24060124140148</t>
        </is>
      </c>
      <c r="Q26" s="7" t="inlineStr">
        <is>
          <t>alfaiqrido@students.undip.ac.id</t>
        </is>
      </c>
      <c r="R26" s="7" t="n">
        <v>71.43000000000001</v>
      </c>
      <c r="S26" s="7" t="n">
        <v>81.25</v>
      </c>
      <c r="T26" s="7" t="n">
        <v>87.5</v>
      </c>
      <c r="U26" s="7" t="n">
        <v>58.82</v>
      </c>
      <c r="V26" s="7">
        <f>(SUM(R26:U26)/4)</f>
        <v/>
      </c>
      <c r="W26" s="7" t="n">
        <v>10</v>
      </c>
      <c r="X26" s="7" t="n">
        <v>9.35</v>
      </c>
      <c r="Y26" s="7" t="n">
        <v>86.33</v>
      </c>
    </row>
    <row r="27">
      <c r="A27" s="7" t="inlineStr">
        <is>
          <t>24060124120007</t>
        </is>
      </c>
      <c r="B27" s="7" t="inlineStr">
        <is>
          <t>Agung Rama Pramana Putra</t>
        </is>
      </c>
      <c r="C27" s="7" t="inlineStr">
        <is>
          <t>Cocok</t>
        </is>
      </c>
      <c r="D27" s="7" t="inlineStr">
        <is>
          <t>4</t>
        </is>
      </c>
      <c r="E27" s="7" t="inlineStr">
        <is>
          <t>BARU</t>
        </is>
      </c>
      <c r="F27" s="7" t="n"/>
      <c r="G27" s="7" t="n"/>
      <c r="H27" s="7" t="n"/>
      <c r="I27" s="7" t="n"/>
      <c r="J27" s="7" t="n"/>
      <c r="K27" s="7" t="n"/>
      <c r="L27" s="7" t="inlineStr">
        <is>
          <t>0</t>
        </is>
      </c>
      <c r="M27" s="7" t="inlineStr">
        <is>
          <t>E</t>
        </is>
      </c>
      <c r="N27" s="7" t="inlineStr">
        <is>
          <t>0</t>
        </is>
      </c>
      <c r="O27" s="7" t="inlineStr">
        <is>
          <t>Agung Rama Pramana Putra</t>
        </is>
      </c>
      <c r="P27" s="7" t="inlineStr">
        <is>
          <t>24060124120007</t>
        </is>
      </c>
      <c r="Q27" s="7" t="inlineStr">
        <is>
          <t>ramaputra@students.undip.ac.id</t>
        </is>
      </c>
      <c r="R27" s="7" t="n">
        <v>71.43000000000001</v>
      </c>
      <c r="S27" s="7" t="n">
        <v>87.5</v>
      </c>
      <c r="T27" s="7" t="n">
        <v>100</v>
      </c>
      <c r="U27" s="7" t="n">
        <v>67.65000000000001</v>
      </c>
      <c r="V27" s="7">
        <f>(SUM(R27:U27)/4)</f>
        <v/>
      </c>
      <c r="W27" s="7" t="n">
        <v>10</v>
      </c>
      <c r="X27" s="7" t="n"/>
      <c r="Y27" s="7" t="n">
        <v>80</v>
      </c>
    </row>
    <row r="28">
      <c r="A28" s="7" t="inlineStr">
        <is>
          <t>24060124140147</t>
        </is>
      </c>
      <c r="B28" s="7" t="inlineStr">
        <is>
          <t>AMMAR ROZAN RUSYAIDAN</t>
        </is>
      </c>
      <c r="C28" s="7" t="inlineStr">
        <is>
          <t>Cocok</t>
        </is>
      </c>
      <c r="D28" s="7" t="inlineStr">
        <is>
          <t>4</t>
        </is>
      </c>
      <c r="E28" s="7" t="inlineStr">
        <is>
          <t>BARU</t>
        </is>
      </c>
      <c r="F28" s="7" t="n"/>
      <c r="G28" s="7" t="n"/>
      <c r="H28" s="7" t="n"/>
      <c r="I28" s="7" t="n"/>
      <c r="J28" s="7" t="n"/>
      <c r="K28" s="7" t="n"/>
      <c r="L28" s="7" t="inlineStr">
        <is>
          <t>0</t>
        </is>
      </c>
      <c r="M28" s="7" t="inlineStr">
        <is>
          <t>E</t>
        </is>
      </c>
      <c r="N28" s="7" t="inlineStr">
        <is>
          <t>0</t>
        </is>
      </c>
      <c r="O28" s="7" t="inlineStr">
        <is>
          <t>Ammar Rozan Rusyaidan</t>
        </is>
      </c>
      <c r="P28" s="7" t="inlineStr">
        <is>
          <t>24060124140147</t>
        </is>
      </c>
      <c r="Q28" s="7" t="inlineStr">
        <is>
          <t>ammarrozan05@students.undip.ac.id</t>
        </is>
      </c>
      <c r="R28" s="7" t="n">
        <v>71.43000000000001</v>
      </c>
      <c r="S28" s="7" t="n"/>
      <c r="T28" s="7" t="n"/>
      <c r="U28" s="7" t="n">
        <v>41.18</v>
      </c>
      <c r="V28" s="7">
        <f>(SUM(R28:U28)/4)</f>
        <v/>
      </c>
      <c r="W28" s="7" t="n">
        <v>9.640000000000001</v>
      </c>
      <c r="X28" s="7" t="n">
        <v>0.91</v>
      </c>
      <c r="Y28" s="7" t="n">
        <v>51</v>
      </c>
    </row>
    <row r="29">
      <c r="A29" s="7" t="inlineStr">
        <is>
          <t>24060124140181</t>
        </is>
      </c>
      <c r="B29" s="7" t="inlineStr">
        <is>
          <t>ANAS AHSANU AMAL</t>
        </is>
      </c>
      <c r="C29" s="7" t="inlineStr">
        <is>
          <t>Cocok</t>
        </is>
      </c>
      <c r="D29" s="7" t="inlineStr">
        <is>
          <t>4</t>
        </is>
      </c>
      <c r="E29" s="7" t="inlineStr">
        <is>
          <t>BARU</t>
        </is>
      </c>
      <c r="F29" s="7" t="n"/>
      <c r="G29" s="7" t="n"/>
      <c r="H29" s="7" t="n"/>
      <c r="I29" s="7" t="n"/>
      <c r="J29" s="7" t="n"/>
      <c r="K29" s="7" t="n"/>
      <c r="L29" s="7" t="inlineStr">
        <is>
          <t>0</t>
        </is>
      </c>
      <c r="M29" s="7" t="inlineStr">
        <is>
          <t>E</t>
        </is>
      </c>
      <c r="N29" s="7" t="inlineStr">
        <is>
          <t>0</t>
        </is>
      </c>
      <c r="O29" s="7" t="inlineStr">
        <is>
          <t>Anas Ahsanu Amal</t>
        </is>
      </c>
      <c r="P29" s="7" t="inlineStr">
        <is>
          <t>24060124140181</t>
        </is>
      </c>
      <c r="Q29" s="7" t="inlineStr">
        <is>
          <t>anasahsn@students.undip.ac.id</t>
        </is>
      </c>
      <c r="R29" s="7" t="n">
        <v>71.43000000000001</v>
      </c>
      <c r="S29" s="7" t="n">
        <v>81.25</v>
      </c>
      <c r="T29" s="7" t="n">
        <v>87.5</v>
      </c>
      <c r="U29" s="7" t="n">
        <v>55.88</v>
      </c>
      <c r="V29" s="7">
        <f>(SUM(R29:U29)/4)</f>
        <v/>
      </c>
      <c r="W29" s="7" t="n"/>
      <c r="X29" s="7" t="n"/>
      <c r="Y29" s="7" t="n">
        <v>74.25</v>
      </c>
    </row>
    <row r="30" ht="30" customHeight="1">
      <c r="A30" s="7" t="inlineStr">
        <is>
          <t>24060124140194</t>
        </is>
      </c>
      <c r="B30" s="7" t="inlineStr">
        <is>
          <t>ANDINY KHAERANY SUHARTADY</t>
        </is>
      </c>
      <c r="C30" s="7" t="inlineStr">
        <is>
          <t>Cocok</t>
        </is>
      </c>
      <c r="D30" s="7" t="inlineStr">
        <is>
          <t>4</t>
        </is>
      </c>
      <c r="E30" s="7" t="inlineStr">
        <is>
          <t>BARU</t>
        </is>
      </c>
      <c r="F30" s="7" t="n"/>
      <c r="G30" s="7" t="n"/>
      <c r="H30" s="7" t="n"/>
      <c r="I30" s="7" t="n"/>
      <c r="J30" s="7" t="n"/>
      <c r="K30" s="7" t="n"/>
      <c r="L30" s="7" t="inlineStr">
        <is>
          <t>0</t>
        </is>
      </c>
      <c r="M30" s="7" t="inlineStr">
        <is>
          <t>E</t>
        </is>
      </c>
      <c r="N30" s="7" t="inlineStr">
        <is>
          <t>0</t>
        </is>
      </c>
      <c r="O30" s="7" t="inlineStr">
        <is>
          <t>Andiny Khaerany Suhartady</t>
        </is>
      </c>
      <c r="P30" s="7" t="inlineStr">
        <is>
          <t>24060124140194</t>
        </is>
      </c>
      <c r="Q30" s="7" t="inlineStr">
        <is>
          <t>andinykhaeranys@students.undip.ac.id</t>
        </is>
      </c>
      <c r="R30" s="7" t="n">
        <v>85.70999999999999</v>
      </c>
      <c r="S30" s="7" t="n">
        <v>81.25</v>
      </c>
      <c r="T30" s="7" t="n">
        <v>93.75</v>
      </c>
      <c r="U30" s="7" t="n">
        <v>50</v>
      </c>
      <c r="V30" s="7">
        <f>(SUM(R30:U30)/4)</f>
        <v/>
      </c>
      <c r="W30" s="7" t="n">
        <v>9.289999999999999</v>
      </c>
      <c r="X30" s="7" t="n">
        <v>8.199999999999999</v>
      </c>
      <c r="Y30" s="7" t="n">
        <v>56</v>
      </c>
    </row>
    <row r="31" ht="30" customHeight="1">
      <c r="A31" s="7" t="inlineStr">
        <is>
          <t>24060124120018</t>
        </is>
      </c>
      <c r="B31" s="7" t="inlineStr">
        <is>
          <t>PUTRI ELIZABETH SIMANJUNTAK</t>
        </is>
      </c>
      <c r="C31" s="7" t="inlineStr">
        <is>
          <t>Cocok</t>
        </is>
      </c>
      <c r="D31" s="7" t="inlineStr">
        <is>
          <t>4</t>
        </is>
      </c>
      <c r="E31" s="7" t="inlineStr">
        <is>
          <t>BARU</t>
        </is>
      </c>
      <c r="F31" s="7" t="n"/>
      <c r="G31" s="7" t="n"/>
      <c r="H31" s="7" t="n"/>
      <c r="I31" s="7" t="n"/>
      <c r="J31" s="7" t="n"/>
      <c r="K31" s="7" t="n"/>
      <c r="L31" s="7" t="inlineStr">
        <is>
          <t>0</t>
        </is>
      </c>
      <c r="M31" s="7" t="inlineStr">
        <is>
          <t>E</t>
        </is>
      </c>
      <c r="N31" s="7" t="inlineStr">
        <is>
          <t>0</t>
        </is>
      </c>
      <c r="O31" s="7" t="inlineStr">
        <is>
          <t>Putri Elizabeth Simanjuntak</t>
        </is>
      </c>
      <c r="P31" s="7" t="inlineStr">
        <is>
          <t>24060124120018</t>
        </is>
      </c>
      <c r="Q31" s="7" t="inlineStr">
        <is>
          <t>putrielizabethjuntak@students.undip.ac.id</t>
        </is>
      </c>
      <c r="R31" s="7" t="n">
        <v>42.86</v>
      </c>
      <c r="S31" s="7" t="n">
        <v>81.25</v>
      </c>
      <c r="T31" s="7" t="n">
        <v>100</v>
      </c>
      <c r="U31" s="7" t="n">
        <v>52.94</v>
      </c>
      <c r="V31" s="7">
        <f>(SUM(R31:U31)/4)</f>
        <v/>
      </c>
      <c r="W31" s="7" t="n">
        <v>7.86</v>
      </c>
      <c r="X31" s="7" t="n">
        <v>3.55</v>
      </c>
      <c r="Y31" s="7" t="n">
        <v>92</v>
      </c>
    </row>
    <row r="32" ht="30" customHeight="1">
      <c r="A32" s="7" t="inlineStr">
        <is>
          <t>24060124120029</t>
        </is>
      </c>
      <c r="B32" s="7" t="inlineStr">
        <is>
          <t>NOUVELLA RAHMA FITRAH LEGARSI</t>
        </is>
      </c>
      <c r="C32" s="7" t="inlineStr">
        <is>
          <t>Cocok</t>
        </is>
      </c>
      <c r="D32" s="7" t="inlineStr">
        <is>
          <t>4</t>
        </is>
      </c>
      <c r="E32" s="7" t="inlineStr">
        <is>
          <t>BARU</t>
        </is>
      </c>
      <c r="F32" s="7" t="n"/>
      <c r="G32" s="7" t="n"/>
      <c r="H32" s="7" t="n"/>
      <c r="I32" s="7" t="n"/>
      <c r="J32" s="7" t="n"/>
      <c r="K32" s="7" t="n"/>
      <c r="L32" s="7" t="inlineStr">
        <is>
          <t>0</t>
        </is>
      </c>
      <c r="M32" s="7" t="inlineStr">
        <is>
          <t>E</t>
        </is>
      </c>
      <c r="N32" s="7" t="inlineStr">
        <is>
          <t>0</t>
        </is>
      </c>
      <c r="O32" s="7" t="inlineStr">
        <is>
          <t>Nouvella Rahma Fitrah Legarsi</t>
        </is>
      </c>
      <c r="P32" s="7" t="inlineStr">
        <is>
          <t>24060124120029</t>
        </is>
      </c>
      <c r="Q32" s="7" t="inlineStr">
        <is>
          <t>nouvellafitrah@students.undip.ac.id</t>
        </is>
      </c>
      <c r="R32" s="7" t="n">
        <v>71.43000000000001</v>
      </c>
      <c r="S32" s="7" t="n">
        <v>81.25</v>
      </c>
      <c r="T32" s="7" t="n">
        <v>100</v>
      </c>
      <c r="U32" s="7" t="n">
        <v>67.65000000000001</v>
      </c>
      <c r="V32" s="7">
        <f>(SUM(R32:U32)/4)</f>
        <v/>
      </c>
      <c r="W32" s="7" t="n">
        <v>9.289999999999999</v>
      </c>
      <c r="X32" s="7" t="n">
        <v>9.52</v>
      </c>
      <c r="Y32" s="7" t="n">
        <v>99</v>
      </c>
    </row>
    <row r="33" ht="30" customHeight="1">
      <c r="A33" s="7" t="inlineStr">
        <is>
          <t>24060124120040</t>
        </is>
      </c>
      <c r="B33" s="7" t="inlineStr">
        <is>
          <t>OVILIA SUCI RAMADHANI</t>
        </is>
      </c>
      <c r="C33" s="7" t="inlineStr">
        <is>
          <t>Cocok</t>
        </is>
      </c>
      <c r="D33" s="7" t="inlineStr">
        <is>
          <t>4</t>
        </is>
      </c>
      <c r="E33" s="7" t="inlineStr">
        <is>
          <t>BARU</t>
        </is>
      </c>
      <c r="F33" s="7" t="n"/>
      <c r="G33" s="7" t="n"/>
      <c r="H33" s="7" t="n"/>
      <c r="I33" s="7" t="n"/>
      <c r="J33" s="7" t="n"/>
      <c r="K33" s="7" t="n"/>
      <c r="L33" s="7" t="inlineStr">
        <is>
          <t>0</t>
        </is>
      </c>
      <c r="M33" s="7" t="inlineStr">
        <is>
          <t>E</t>
        </is>
      </c>
      <c r="N33" s="7" t="inlineStr">
        <is>
          <t>0</t>
        </is>
      </c>
      <c r="O33" s="7" t="inlineStr">
        <is>
          <t>Ovilia Suci Ramadhani</t>
        </is>
      </c>
      <c r="P33" s="7" t="inlineStr">
        <is>
          <t>24060124120040</t>
        </is>
      </c>
      <c r="Q33" s="7" t="inlineStr">
        <is>
          <t>oviliasuciramadhani@students.undip.ac.id</t>
        </is>
      </c>
      <c r="R33" s="7" t="n">
        <v>57.14</v>
      </c>
      <c r="S33" s="7" t="n">
        <v>81.25</v>
      </c>
      <c r="T33" s="7" t="n">
        <v>100</v>
      </c>
      <c r="U33" s="7" t="n">
        <v>70.59</v>
      </c>
      <c r="V33" s="7">
        <f>(SUM(R33:U33)/4)</f>
        <v/>
      </c>
      <c r="W33" s="7" t="n">
        <v>7.86</v>
      </c>
      <c r="X33" s="7" t="n">
        <v>8.140000000000001</v>
      </c>
      <c r="Y33" s="7" t="n">
        <v>95.33</v>
      </c>
    </row>
    <row r="34">
      <c r="A34" s="7" t="inlineStr">
        <is>
          <t>24060124140158</t>
        </is>
      </c>
      <c r="B34" s="7" t="inlineStr">
        <is>
          <t>NAYLA HUSNA</t>
        </is>
      </c>
      <c r="C34" s="7" t="inlineStr">
        <is>
          <t>Cocok</t>
        </is>
      </c>
      <c r="D34" s="7" t="inlineStr">
        <is>
          <t>4</t>
        </is>
      </c>
      <c r="E34" s="7" t="inlineStr">
        <is>
          <t>BARU</t>
        </is>
      </c>
      <c r="F34" s="7" t="n"/>
      <c r="G34" s="7" t="n"/>
      <c r="H34" s="7" t="n"/>
      <c r="I34" s="7" t="n"/>
      <c r="J34" s="7" t="n"/>
      <c r="K34" s="7" t="n"/>
      <c r="L34" s="7" t="inlineStr">
        <is>
          <t>0</t>
        </is>
      </c>
      <c r="M34" s="7" t="inlineStr">
        <is>
          <t>E</t>
        </is>
      </c>
      <c r="N34" s="7" t="inlineStr">
        <is>
          <t>0</t>
        </is>
      </c>
      <c r="O34" s="7" t="inlineStr">
        <is>
          <t>Nayla Husna</t>
        </is>
      </c>
      <c r="P34" s="7" t="inlineStr">
        <is>
          <t>24060124140158</t>
        </is>
      </c>
      <c r="Q34" s="7" t="inlineStr">
        <is>
          <t>naylahusna@students.undip.ac.id</t>
        </is>
      </c>
      <c r="R34" s="7" t="n">
        <v>71.43000000000001</v>
      </c>
      <c r="S34" s="7" t="n">
        <v>81.25</v>
      </c>
      <c r="T34" s="7" t="n">
        <v>100</v>
      </c>
      <c r="U34" s="7" t="n">
        <v>52.94</v>
      </c>
      <c r="V34" s="7">
        <f>(SUM(R34:U34)/4)</f>
        <v/>
      </c>
      <c r="W34" s="7" t="n">
        <v>9.289999999999999</v>
      </c>
      <c r="X34" s="7" t="n">
        <v>8.77</v>
      </c>
      <c r="Y34" s="7" t="n">
        <v>95</v>
      </c>
    </row>
    <row r="35" ht="30" customHeight="1">
      <c r="A35" s="7" t="inlineStr">
        <is>
          <t>24060124120048</t>
        </is>
      </c>
      <c r="B35" s="7" t="inlineStr">
        <is>
          <t>DANIEL LAMGANDA TUA GULTOM</t>
        </is>
      </c>
      <c r="C35" s="7" t="inlineStr">
        <is>
          <t>Cocok</t>
        </is>
      </c>
      <c r="D35" s="7" t="inlineStr">
        <is>
          <t>4</t>
        </is>
      </c>
      <c r="E35" s="7" t="inlineStr">
        <is>
          <t>BARU</t>
        </is>
      </c>
      <c r="F35" s="7" t="n"/>
      <c r="G35" s="7" t="n"/>
      <c r="H35" s="7" t="n"/>
      <c r="I35" s="7" t="n"/>
      <c r="J35" s="7" t="n"/>
      <c r="K35" s="7" t="n"/>
      <c r="L35" s="7" t="inlineStr">
        <is>
          <t>0</t>
        </is>
      </c>
      <c r="M35" s="7" t="inlineStr">
        <is>
          <t>E</t>
        </is>
      </c>
      <c r="N35" s="7" t="inlineStr">
        <is>
          <t>0</t>
        </is>
      </c>
      <c r="O35" s="7" t="inlineStr">
        <is>
          <t>Daniel Lamganda Tua Gultom</t>
        </is>
      </c>
      <c r="P35" s="7" t="inlineStr">
        <is>
          <t>24060124120048</t>
        </is>
      </c>
      <c r="Q35" s="7" t="inlineStr">
        <is>
          <t>danielltgm2006@students.undip.ac.id</t>
        </is>
      </c>
      <c r="R35" s="7" t="n">
        <v>85.70999999999999</v>
      </c>
      <c r="S35" s="7" t="n">
        <v>81.25</v>
      </c>
      <c r="T35" s="7" t="n">
        <v>100</v>
      </c>
      <c r="U35" s="7" t="n">
        <v>94.12</v>
      </c>
      <c r="V35" s="7">
        <f>(SUM(R35:U35)/4)</f>
        <v/>
      </c>
      <c r="W35" s="7" t="n">
        <v>9.640000000000001</v>
      </c>
      <c r="X35" s="7" t="n">
        <v>9.640000000000001</v>
      </c>
      <c r="Y35" s="7" t="n">
        <v>97</v>
      </c>
    </row>
    <row r="36" ht="30" customHeight="1">
      <c r="A36" s="7" t="inlineStr">
        <is>
          <t>24060124130070</t>
        </is>
      </c>
      <c r="B36" s="7" t="inlineStr">
        <is>
          <t>BIYANI ANDARISKY MARATIA</t>
        </is>
      </c>
      <c r="C36" s="7" t="inlineStr">
        <is>
          <t>Cocok</t>
        </is>
      </c>
      <c r="D36" s="7" t="inlineStr">
        <is>
          <t>4</t>
        </is>
      </c>
      <c r="E36" s="7" t="inlineStr">
        <is>
          <t>BARU</t>
        </is>
      </c>
      <c r="F36" s="7" t="n"/>
      <c r="G36" s="7" t="n"/>
      <c r="H36" s="7" t="n"/>
      <c r="I36" s="7" t="n"/>
      <c r="J36" s="7" t="n"/>
      <c r="K36" s="7" t="n"/>
      <c r="L36" s="7" t="inlineStr">
        <is>
          <t>0</t>
        </is>
      </c>
      <c r="M36" s="7" t="inlineStr">
        <is>
          <t>E</t>
        </is>
      </c>
      <c r="N36" s="7" t="inlineStr">
        <is>
          <t>0</t>
        </is>
      </c>
      <c r="O36" s="7" t="inlineStr">
        <is>
          <t>Biyani Andarisky Maratia</t>
        </is>
      </c>
      <c r="P36" s="7" t="inlineStr">
        <is>
          <t>24060124130070</t>
        </is>
      </c>
      <c r="Q36" s="7" t="inlineStr">
        <is>
          <t>biyaniandarisky@students.undip.ac.id</t>
        </is>
      </c>
      <c r="R36" s="7" t="n">
        <v>85.70999999999999</v>
      </c>
      <c r="S36" s="7" t="n">
        <v>81.25</v>
      </c>
      <c r="T36" s="7" t="n">
        <v>100</v>
      </c>
      <c r="U36" s="7" t="n">
        <v>50</v>
      </c>
      <c r="V36" s="7">
        <f>(SUM(R36:U36)/4)</f>
        <v/>
      </c>
      <c r="W36" s="7" t="n">
        <v>8.93</v>
      </c>
      <c r="X36" s="7" t="n"/>
      <c r="Y36" s="7" t="n">
        <v>94.33</v>
      </c>
    </row>
    <row r="37" ht="30" customHeight="1">
      <c r="A37" s="7" t="inlineStr">
        <is>
          <t>24060124130099</t>
        </is>
      </c>
      <c r="B37" s="7" t="inlineStr">
        <is>
          <t>DEHAR ZAIDAN DZAKI AMIRULLAH</t>
        </is>
      </c>
      <c r="C37" s="7" t="inlineStr">
        <is>
          <t>Cocok</t>
        </is>
      </c>
      <c r="D37" s="7" t="inlineStr">
        <is>
          <t>4</t>
        </is>
      </c>
      <c r="E37" s="7" t="inlineStr">
        <is>
          <t>BARU</t>
        </is>
      </c>
      <c r="F37" s="7" t="n"/>
      <c r="G37" s="7" t="n"/>
      <c r="H37" s="7" t="n"/>
      <c r="I37" s="7" t="n"/>
      <c r="J37" s="7" t="n"/>
      <c r="K37" s="7" t="n"/>
      <c r="L37" s="7" t="inlineStr">
        <is>
          <t>0</t>
        </is>
      </c>
      <c r="M37" s="7" t="inlineStr">
        <is>
          <t>E</t>
        </is>
      </c>
      <c r="N37" s="7" t="inlineStr">
        <is>
          <t>0</t>
        </is>
      </c>
      <c r="O37" s="7" t="inlineStr">
        <is>
          <t>Dehar Zaidan Dzaki Amirullah</t>
        </is>
      </c>
      <c r="P37" s="7" t="inlineStr">
        <is>
          <t>24060124130099</t>
        </is>
      </c>
      <c r="Q37" s="7" t="inlineStr">
        <is>
          <t>deharzaidan@students.undip.ac.id</t>
        </is>
      </c>
      <c r="R37" s="7" t="n">
        <v>57.14</v>
      </c>
      <c r="S37" s="7" t="n">
        <v>87.5</v>
      </c>
      <c r="T37" s="7" t="n">
        <v>93.75</v>
      </c>
      <c r="U37" s="7" t="n">
        <v>50</v>
      </c>
      <c r="V37" s="7">
        <f>(SUM(R37:U37)/4)</f>
        <v/>
      </c>
      <c r="W37" s="7" t="n">
        <v>9.289999999999999</v>
      </c>
      <c r="X37" s="7" t="n"/>
      <c r="Y37" s="7" t="n">
        <v>96</v>
      </c>
    </row>
    <row r="38" ht="30" customHeight="1">
      <c r="A38" s="7" t="inlineStr">
        <is>
          <t>24060124130103</t>
        </is>
      </c>
      <c r="B38" s="7" t="inlineStr">
        <is>
          <t>DZAKI FATHUL'ALIM CAHYO</t>
        </is>
      </c>
      <c r="C38" s="7" t="inlineStr">
        <is>
          <t>Cocok</t>
        </is>
      </c>
      <c r="D38" s="7" t="inlineStr">
        <is>
          <t>4</t>
        </is>
      </c>
      <c r="E38" s="7" t="inlineStr">
        <is>
          <t>BARU</t>
        </is>
      </c>
      <c r="F38" s="7" t="n"/>
      <c r="G38" s="7" t="n"/>
      <c r="H38" s="7" t="n"/>
      <c r="I38" s="7" t="n"/>
      <c r="J38" s="7" t="n"/>
      <c r="K38" s="7" t="n"/>
      <c r="L38" s="7" t="inlineStr">
        <is>
          <t>0</t>
        </is>
      </c>
      <c r="M38" s="7" t="inlineStr">
        <is>
          <t>E</t>
        </is>
      </c>
      <c r="N38" s="7" t="inlineStr">
        <is>
          <t>0</t>
        </is>
      </c>
      <c r="O38" s="7" t="inlineStr">
        <is>
          <t>Dzaki Fathul'alim Cahyo</t>
        </is>
      </c>
      <c r="P38" s="7" t="inlineStr">
        <is>
          <t>24060124130103</t>
        </is>
      </c>
      <c r="Q38" s="7" t="inlineStr">
        <is>
          <t>dzakifathulalimcahyo@students.undip.ac.id</t>
        </is>
      </c>
      <c r="R38" s="7" t="n">
        <v>85.70999999999999</v>
      </c>
      <c r="S38" s="7" t="n">
        <v>87.5</v>
      </c>
      <c r="T38" s="7" t="n">
        <v>100</v>
      </c>
      <c r="U38" s="7" t="n">
        <v>97.06</v>
      </c>
      <c r="V38" s="7">
        <f>(SUM(R38:U38)/4)</f>
        <v/>
      </c>
      <c r="W38" s="7" t="n">
        <v>8.93</v>
      </c>
      <c r="X38" s="7" t="n">
        <v>5.64</v>
      </c>
      <c r="Y38" s="7" t="n">
        <v>98</v>
      </c>
    </row>
    <row r="39" ht="30" customHeight="1">
      <c r="A39" s="7" t="inlineStr">
        <is>
          <t>24060124140201</t>
        </is>
      </c>
      <c r="B39" s="7" t="inlineStr">
        <is>
          <t>CINDY KURNIAWAN</t>
        </is>
      </c>
      <c r="C39" s="7" t="inlineStr">
        <is>
          <t>Cocok</t>
        </is>
      </c>
      <c r="D39" s="7" t="inlineStr">
        <is>
          <t>4</t>
        </is>
      </c>
      <c r="E39" s="7" t="inlineStr">
        <is>
          <t>BARU</t>
        </is>
      </c>
      <c r="F39" s="7" t="n"/>
      <c r="G39" s="7" t="n"/>
      <c r="H39" s="7" t="n"/>
      <c r="I39" s="7" t="n"/>
      <c r="J39" s="7" t="n"/>
      <c r="K39" s="7" t="n"/>
      <c r="L39" s="7" t="inlineStr">
        <is>
          <t>0</t>
        </is>
      </c>
      <c r="M39" s="7" t="inlineStr">
        <is>
          <t>E</t>
        </is>
      </c>
      <c r="N39" s="7" t="inlineStr">
        <is>
          <t>0</t>
        </is>
      </c>
      <c r="O39" s="7" t="inlineStr">
        <is>
          <t>Cindy Kurniawan</t>
        </is>
      </c>
      <c r="P39" s="7" t="inlineStr">
        <is>
          <t>24060124140201</t>
        </is>
      </c>
      <c r="Q39" s="7" t="inlineStr">
        <is>
          <t>cindykurniawan@students.undip.ac.id</t>
        </is>
      </c>
      <c r="R39" s="7" t="n">
        <v>85.70999999999999</v>
      </c>
      <c r="S39" s="7" t="n">
        <v>81.25</v>
      </c>
      <c r="T39" s="7" t="n">
        <v>100</v>
      </c>
      <c r="U39" s="7" t="n">
        <v>55.88</v>
      </c>
      <c r="V39" s="7">
        <f>(SUM(R39:U39)/4)</f>
        <v/>
      </c>
      <c r="W39" s="7" t="n">
        <v>9.289999999999999</v>
      </c>
      <c r="X39" s="7" t="n"/>
      <c r="Y39" s="7" t="n">
        <v>92.33</v>
      </c>
    </row>
  </sheetData>
  <autoFilter ref="A1:Y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0" sqref="A10"/>
    </sheetView>
  </sheetViews>
  <sheetFormatPr baseColWidth="8" defaultRowHeight="15"/>
  <cols>
    <col width="36" customWidth="1" min="1" max="1"/>
    <col width="41" customWidth="1" min="2" max="2"/>
    <col width="43" customWidth="1" min="3" max="3"/>
  </cols>
  <sheetData>
    <row r="1">
      <c r="A1" s="8" t="inlineStr">
        <is>
          <t>Metric</t>
        </is>
      </c>
      <c r="B1" s="8" t="inlineStr">
        <is>
          <t>Jumlah</t>
        </is>
      </c>
      <c r="C1" s="8" t="n"/>
    </row>
    <row r="2">
      <c r="A2" t="inlineStr">
        <is>
          <t>Baris template</t>
        </is>
      </c>
      <c r="B2" t="n">
        <v>38</v>
      </c>
    </row>
    <row r="3">
      <c r="A3" t="inlineStr">
        <is>
          <t>Cocok</t>
        </is>
      </c>
      <c r="B3" t="n">
        <v>38</v>
      </c>
    </row>
    <row r="4">
      <c r="A4" t="inlineStr">
        <is>
          <t>Tidak ditemukan di Moodle</t>
        </is>
      </c>
      <c r="B4" t="n">
        <v>0</v>
      </c>
    </row>
    <row r="5">
      <c r="A5" t="inlineStr">
        <is>
          <t>Data Moodle tidak ada di template</t>
        </is>
      </c>
      <c r="B5" t="n">
        <v>10</v>
      </c>
    </row>
    <row r="7">
      <c r="A7" t="inlineStr">
        <is>
          <t>Template Tidak Ditemukan di Moodle</t>
        </is>
      </c>
    </row>
    <row r="8">
      <c r="A8" t="inlineStr">
        <is>
          <t>Semua nama template cocok</t>
        </is>
      </c>
    </row>
    <row r="10">
      <c r="A10" t="inlineStr">
        <is>
          <t>Moodle Tidak Ada di Template</t>
        </is>
      </c>
    </row>
    <row r="11">
      <c r="A11" t="inlineStr">
        <is>
          <t>NIM Moodle</t>
        </is>
      </c>
      <c r="B11" t="inlineStr">
        <is>
          <t>Nama Moodle</t>
        </is>
      </c>
      <c r="C11" t="inlineStr">
        <is>
          <t>Email Moodle</t>
        </is>
      </c>
    </row>
    <row r="12">
      <c r="A12" t="inlineStr">
        <is>
          <t>24060122140125</t>
        </is>
      </c>
      <c r="B12" t="inlineStr">
        <is>
          <t>Ananda Putra Bayu</t>
        </is>
      </c>
      <c r="C12" t="inlineStr">
        <is>
          <t>anandaputrabayu@students.undip.ac.id</t>
        </is>
      </c>
    </row>
    <row r="13">
      <c r="A13" t="inlineStr">
        <is>
          <t>24060123110046</t>
        </is>
      </c>
      <c r="B13" t="inlineStr">
        <is>
          <t>Adriano Bawan</t>
        </is>
      </c>
      <c r="C13" t="inlineStr">
        <is>
          <t>adrianobawan@students.undip.ac.id</t>
        </is>
      </c>
    </row>
    <row r="14">
      <c r="A14" t="inlineStr">
        <is>
          <t>24060123120012</t>
        </is>
      </c>
      <c r="B14" t="inlineStr">
        <is>
          <t>Syafiq Abiyyu Taqi</t>
        </is>
      </c>
      <c r="C14" t="inlineStr">
        <is>
          <t>syafiqabiyyutaqi@students.undip.ac.id</t>
        </is>
      </c>
    </row>
    <row r="15">
      <c r="A15" t="inlineStr">
        <is>
          <t>24060123120033</t>
        </is>
      </c>
      <c r="B15" t="inlineStr">
        <is>
          <t>Cacania Pasu Nalaung Siregar</t>
        </is>
      </c>
      <c r="C15" t="inlineStr">
        <is>
          <t>cacaniapns@students.undip.ac.id</t>
        </is>
      </c>
    </row>
    <row r="16">
      <c r="A16" t="inlineStr">
        <is>
          <t>24060123130090</t>
        </is>
      </c>
      <c r="B16" t="inlineStr">
        <is>
          <t>Nathan Benigno Panda</t>
        </is>
      </c>
      <c r="C16" t="inlineStr">
        <is>
          <t>nathanbenignopanda@students.undip.ac.id</t>
        </is>
      </c>
    </row>
    <row r="17">
      <c r="A17" t="inlineStr">
        <is>
          <t>24060123130107</t>
        </is>
      </c>
      <c r="B17" t="inlineStr">
        <is>
          <t>Muhammad Renno Baihaqi</t>
        </is>
      </c>
      <c r="C17" t="inlineStr">
        <is>
          <t>mrennobai01@students.undip.ac.id</t>
        </is>
      </c>
    </row>
    <row r="18">
      <c r="A18" t="inlineStr">
        <is>
          <t>24060123140142</t>
        </is>
      </c>
      <c r="B18" t="inlineStr">
        <is>
          <t>Parisya Lituhayu Chandrawati Gunawarman</t>
        </is>
      </c>
      <c r="C18" t="inlineStr">
        <is>
          <t>parisyalituhayuchand@students.undip.ac.id</t>
        </is>
      </c>
    </row>
    <row r="19">
      <c r="A19" t="inlineStr">
        <is>
          <t>24060123140163</t>
        </is>
      </c>
      <c r="B19" t="inlineStr">
        <is>
          <t>Nasywa Alya Kamila</t>
        </is>
      </c>
      <c r="C19" t="inlineStr">
        <is>
          <t>nasywaalyakamila@students.undip.ac.id</t>
        </is>
      </c>
    </row>
    <row r="20">
      <c r="A20" t="inlineStr">
        <is>
          <t>24060123140183</t>
        </is>
      </c>
      <c r="B20" t="inlineStr">
        <is>
          <t>Gaza Al Ghozali Chansa</t>
        </is>
      </c>
      <c r="C20" t="inlineStr">
        <is>
          <t>gazaalghozalichansa@students.undip.ac.id</t>
        </is>
      </c>
    </row>
    <row r="21">
      <c r="A21" t="inlineStr">
        <is>
          <t>24060123140186</t>
        </is>
      </c>
      <c r="B21" t="inlineStr">
        <is>
          <t>Muhammad Farhan Al Ghifari</t>
        </is>
      </c>
      <c r="C21" t="inlineStr">
        <is>
          <t>farhanghfri@students.undip.ac.id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SIAP UNDIP</dc:creator>
  <dc:title>Office 2007 XLSX Test Document</dc:title>
  <dc:description>Test document for Office 2007 XLSX, generated using PHP classes.</dc:description>
  <dc:subject>Office 2007 XLSX Test Document</dc:subject>
  <dcterms:created xsi:type="dcterms:W3CDTF">2026-06-29T21:35:52Z</dcterms:created>
  <dcterms:modified xsi:type="dcterms:W3CDTF">2026-06-29T20:01:38Z</dcterms:modified>
  <cp:lastModifiedBy>HP OHS2021</cp:lastModifiedBy>
  <cp:category>Test result file</cp:category>
  <cp:keywords>office 2007 openxml php</cp:keywords>
</cp:coreProperties>
</file>