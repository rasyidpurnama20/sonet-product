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las A" sheetId="1" state="visible" r:id="rId1"/>
    <sheet name="Kelas B" sheetId="2" state="visible" r:id="rId2"/>
    <sheet name="Kelas C" sheetId="3" state="visible" r:id="rId3"/>
    <sheet name="Kelas D" sheetId="4" state="visible" r:id="rId4"/>
    <sheet name="Kelas 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000000"/>
      <sz val="10"/>
    </font>
    <font>
      <b val="1"/>
      <color rgb="00FFFFFF"/>
      <sz val="10"/>
    </font>
    <font>
      <b val="1"/>
      <color rgb="00000000"/>
      <sz val="9"/>
    </font>
    <font>
      <color rgb="00000000"/>
      <sz val="10"/>
    </font>
    <font>
      <color rgb="00000000"/>
      <sz val="9"/>
    </font>
    <font>
      <color rgb="00C00000"/>
      <sz val="9"/>
    </font>
    <font>
      <b val="1"/>
      <color rgb="00FF0000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AD1DC"/>
      </patternFill>
    </fill>
    <fill>
      <patternFill patternType="solid">
        <fgColor rgb="00FCE4D6"/>
      </patternFill>
    </fill>
    <fill>
      <patternFill patternType="solid">
        <fgColor rgb="00DAEEF3"/>
      </patternFill>
    </fill>
    <fill>
      <patternFill patternType="solid">
        <fgColor rgb="00D9D9D9"/>
      </patternFill>
    </fill>
    <fill>
      <patternFill patternType="solid">
        <fgColor rgb="00FFD966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5" customWidth="1" min="4" max="4"/>
    <col width="6" customWidth="1" min="5" max="5"/>
    <col width="5" customWidth="1" min="6" max="6"/>
    <col width="5" customWidth="1" min="7" max="7"/>
    <col width="7" customWidth="1" min="8" max="8"/>
    <col width="5" customWidth="1" min="9" max="9"/>
    <col width="5" customWidth="1" min="10" max="10"/>
    <col width="5" customWidth="1" min="11" max="11"/>
    <col width="7" customWidth="1" min="12" max="12"/>
    <col width="5" customWidth="1" min="13" max="13"/>
    <col width="6" customWidth="1" min="14" max="14"/>
    <col width="6" customWidth="1" min="15" max="15"/>
    <col width="7" customWidth="1" min="16" max="16"/>
    <col width="5" customWidth="1" min="17" max="17"/>
    <col width="6" customWidth="1" min="18" max="18"/>
    <col width="6" customWidth="1" min="19" max="19"/>
    <col width="7" customWidth="1" min="20" max="20"/>
    <col width="5" customWidth="1" min="21" max="21"/>
    <col width="5" customWidth="1" min="22" max="22"/>
    <col width="5" customWidth="1" min="23" max="23"/>
    <col width="7" customWidth="1" min="24" max="24"/>
    <col width="5" customWidth="1" min="25" max="25"/>
    <col width="4" customWidth="1" min="26" max="26"/>
    <col width="4" customWidth="1" min="27" max="27"/>
    <col width="7" customWidth="1" min="28" max="28"/>
    <col width="9" customWidth="1" min="29" max="29"/>
    <col width="7" customWidth="1" min="30" max="30"/>
    <col width="32" customWidth="1" min="31" max="31"/>
  </cols>
  <sheetData>
    <row r="1" ht="28" customHeight="1">
      <c r="A1" s="1" t="inlineStr">
        <is>
          <t>LEMBAR PENILAIAN TUGAS KELOMPOK — ASA KELAS A 2026</t>
        </is>
      </c>
    </row>
    <row r="2" ht="22" customHeight="1">
      <c r="A2" s="2" t="inlineStr">
        <is>
          <t>No</t>
        </is>
      </c>
      <c r="B2" s="2" t="inlineStr">
        <is>
          <t>NIM</t>
        </is>
      </c>
      <c r="C2" s="2" t="inlineStr">
        <is>
          <t>Nama</t>
        </is>
      </c>
      <c r="D2" s="2" t="inlineStr">
        <is>
          <t>Kel</t>
        </is>
      </c>
      <c r="E2" s="3" t="inlineStr">
        <is>
          <t>A</t>
        </is>
      </c>
      <c r="I2" s="4" t="inlineStr">
        <is>
          <t>B</t>
        </is>
      </c>
      <c r="M2" s="5" t="inlineStr">
        <is>
          <t>C</t>
        </is>
      </c>
      <c r="Q2" s="6" t="inlineStr">
        <is>
          <t>D</t>
        </is>
      </c>
      <c r="U2" s="7" t="inlineStr">
        <is>
          <t>E</t>
        </is>
      </c>
      <c r="Y2" s="8" t="inlineStr">
        <is>
          <t>F</t>
        </is>
      </c>
      <c r="AC2" s="9" t="inlineStr">
        <is>
          <t>TOTAL</t>
        </is>
      </c>
      <c r="AD2" s="9" t="inlineStr">
        <is>
          <t>NILAI</t>
        </is>
      </c>
      <c r="AE2" s="2" t="inlineStr">
        <is>
          <t>Catatan</t>
        </is>
      </c>
    </row>
    <row r="3" ht="36" customHeight="1">
      <c r="A3" s="10" t="inlineStr">
        <is>
          <t>No</t>
        </is>
      </c>
      <c r="B3" s="10" t="inlineStr">
        <is>
          <t>NIM</t>
        </is>
      </c>
      <c r="C3" s="10" t="inlineStr">
        <is>
          <t>Nama</t>
        </is>
      </c>
      <c r="D3" s="10" t="inlineStr">
        <is>
          <t>Kel</t>
        </is>
      </c>
      <c r="E3" s="11" t="inlineStr">
        <is>
          <t>A.1
/10</t>
        </is>
      </c>
      <c r="F3" s="11" t="inlineStr">
        <is>
          <t>A.2
/5</t>
        </is>
      </c>
      <c r="G3" s="11" t="inlineStr">
        <is>
          <t>A.3
/5</t>
        </is>
      </c>
      <c r="H3" s="11" t="inlineStr">
        <is>
          <t>TOT
/20</t>
        </is>
      </c>
      <c r="I3" s="12" t="inlineStr">
        <is>
          <t>B.1
/5</t>
        </is>
      </c>
      <c r="J3" s="12" t="inlineStr">
        <is>
          <t>B.2
/5</t>
        </is>
      </c>
      <c r="K3" s="12" t="inlineStr">
        <is>
          <t>B.3
/5</t>
        </is>
      </c>
      <c r="L3" s="12" t="inlineStr">
        <is>
          <t>TOT
/15</t>
        </is>
      </c>
      <c r="M3" s="13" t="inlineStr">
        <is>
          <t>C.1
/6</t>
        </is>
      </c>
      <c r="N3" s="13" t="inlineStr">
        <is>
          <t>C.2
/7</t>
        </is>
      </c>
      <c r="O3" s="13" t="inlineStr">
        <is>
          <t>C.3
/7</t>
        </is>
      </c>
      <c r="P3" s="13" t="inlineStr">
        <is>
          <t>TOT
/20</t>
        </is>
      </c>
      <c r="Q3" s="14" t="inlineStr">
        <is>
          <t>D.1
/6</t>
        </is>
      </c>
      <c r="R3" s="14" t="inlineStr">
        <is>
          <t>D.2
/7</t>
        </is>
      </c>
      <c r="S3" s="14" t="inlineStr">
        <is>
          <t>D.3
/7</t>
        </is>
      </c>
      <c r="T3" s="14" t="inlineStr">
        <is>
          <t>TOT
/20</t>
        </is>
      </c>
      <c r="U3" s="15" t="inlineStr">
        <is>
          <t>E.1
/5</t>
        </is>
      </c>
      <c r="V3" s="15" t="inlineStr">
        <is>
          <t>E.2
/5</t>
        </is>
      </c>
      <c r="W3" s="15" t="inlineStr">
        <is>
          <t>E.3
/5</t>
        </is>
      </c>
      <c r="X3" s="15" t="inlineStr">
        <is>
          <t>TOT
/15</t>
        </is>
      </c>
      <c r="Y3" s="16" t="inlineStr">
        <is>
          <t>F.1
/4</t>
        </is>
      </c>
      <c r="Z3" s="16" t="inlineStr">
        <is>
          <t>F.2
/3</t>
        </is>
      </c>
      <c r="AA3" s="16" t="inlineStr">
        <is>
          <t>F.3
/3</t>
        </is>
      </c>
      <c r="AB3" s="16" t="inlineStr">
        <is>
          <t>TOT
/10</t>
        </is>
      </c>
      <c r="AC3" s="17" t="inlineStr">
        <is>
          <t>/100</t>
        </is>
      </c>
      <c r="AD3" s="17" t="inlineStr">
        <is>
          <t>Huruf</t>
        </is>
      </c>
      <c r="AE3" s="18" t="inlineStr">
        <is>
          <t>Catatan</t>
        </is>
      </c>
    </row>
    <row r="4" ht="18" customHeight="1">
      <c r="A4" s="19" t="n">
        <v>1</v>
      </c>
      <c r="B4" s="19" t="inlineStr">
        <is>
          <t>24060124120018</t>
        </is>
      </c>
      <c r="C4" s="20" t="inlineStr">
        <is>
          <t>Putri Elizabeth Simanjuntak</t>
        </is>
      </c>
      <c r="D4" s="19" t="n">
        <v>1</v>
      </c>
      <c r="E4" s="21" t="n"/>
      <c r="F4" s="21" t="n"/>
      <c r="G4" s="21" t="n"/>
      <c r="H4" s="22">
        <f>IF(COUNTA(E4,F4,G4)=0,"",E4+F4+G4)</f>
        <v/>
      </c>
      <c r="I4" s="23" t="n"/>
      <c r="J4" s="23" t="n"/>
      <c r="K4" s="23" t="n"/>
      <c r="L4" s="24">
        <f>IF(COUNTA(I4,J4,K4)=0,"",I4+J4+K4)</f>
        <v/>
      </c>
      <c r="M4" s="25" t="n"/>
      <c r="N4" s="25" t="n"/>
      <c r="O4" s="25" t="n"/>
      <c r="P4" s="26">
        <f>IF(COUNTA(M4,N4,O4)=0,"",M4+N4+O4)</f>
        <v/>
      </c>
      <c r="Q4" s="27" t="n"/>
      <c r="R4" s="27" t="n"/>
      <c r="S4" s="27" t="n"/>
      <c r="T4" s="28">
        <f>IF(COUNTA(Q4,R4,S4)=0,"",Q4+R4+S4)</f>
        <v/>
      </c>
      <c r="U4" s="29" t="n"/>
      <c r="V4" s="29" t="n"/>
      <c r="W4" s="29" t="n"/>
      <c r="X4" s="30">
        <f>IF(COUNTA(U4,V4,W4)=0,"",U4+V4+W4)</f>
        <v/>
      </c>
      <c r="Y4" s="31" t="n"/>
      <c r="Z4" s="31" t="n"/>
      <c r="AA4" s="31" t="n"/>
      <c r="AB4" s="32">
        <f>IF(COUNTA(Y4,Z4,AA4)=0,"",Y4+Z4+AA4)</f>
        <v/>
      </c>
      <c r="AC4" s="33">
        <f>IF(COUNTA(H4,L4,P4,T4,X4,AB4)=0,"",H4+L4+P4+T4+X4+AB4)</f>
        <v/>
      </c>
      <c r="AD4" s="33">
        <f>IF(AC4="","",IF(AC4&gt;=85,"A",IF(AC4&gt;=75,"AB",IF(AC4&gt;=65,"B",IF(AC4&gt;=55,"BC",IF(AC4&gt;=45,"C",IF(AC4&gt;=35,"CD",IF(AC4&gt;=25,"D","E"))))))))</f>
        <v/>
      </c>
      <c r="AE4" s="34" t="inlineStr"/>
    </row>
    <row r="5" ht="18" customHeight="1">
      <c r="A5" s="19" t="n">
        <v>2</v>
      </c>
      <c r="B5" s="19" t="inlineStr">
        <is>
          <t>24060124130122</t>
        </is>
      </c>
      <c r="C5" s="20" t="inlineStr">
        <is>
          <t>Ridho Tri Saputra</t>
        </is>
      </c>
      <c r="D5" s="19" t="n">
        <v>1</v>
      </c>
      <c r="E5" s="21" t="n"/>
      <c r="F5" s="21" t="n"/>
      <c r="G5" s="21" t="n"/>
      <c r="H5" s="22">
        <f>IF(COUNTA(E5,F5,G5)=0,"",E5+F5+G5)</f>
        <v/>
      </c>
      <c r="I5" s="23" t="n"/>
      <c r="J5" s="23" t="n"/>
      <c r="K5" s="23" t="n"/>
      <c r="L5" s="24">
        <f>IF(COUNTA(I5,J5,K5)=0,"",I5+J5+K5)</f>
        <v/>
      </c>
      <c r="M5" s="25" t="n"/>
      <c r="N5" s="25" t="n"/>
      <c r="O5" s="25" t="n"/>
      <c r="P5" s="26">
        <f>IF(COUNTA(M5,N5,O5)=0,"",M5+N5+O5)</f>
        <v/>
      </c>
      <c r="Q5" s="27" t="n"/>
      <c r="R5" s="27" t="n"/>
      <c r="S5" s="27" t="n"/>
      <c r="T5" s="28">
        <f>IF(COUNTA(Q5,R5,S5)=0,"",Q5+R5+S5)</f>
        <v/>
      </c>
      <c r="U5" s="29" t="n"/>
      <c r="V5" s="29" t="n"/>
      <c r="W5" s="29" t="n"/>
      <c r="X5" s="30">
        <f>IF(COUNTA(U5,V5,W5)=0,"",U5+V5+W5)</f>
        <v/>
      </c>
      <c r="Y5" s="31" t="n"/>
      <c r="Z5" s="31" t="n"/>
      <c r="AA5" s="31" t="n"/>
      <c r="AB5" s="32">
        <f>IF(COUNTA(Y5,Z5,AA5)=0,"",Y5+Z5+AA5)</f>
        <v/>
      </c>
      <c r="AC5" s="33">
        <f>IF(COUNTA(H5,L5,P5,T5,X5,AB5)=0,"",H5+L5+P5+T5+X5+AB5)</f>
        <v/>
      </c>
      <c r="AD5" s="33">
        <f>IF(AC5="","",IF(AC5&gt;=85,"A",IF(AC5&gt;=75,"AB",IF(AC5&gt;=65,"B",IF(AC5&gt;=55,"BC",IF(AC5&gt;=45,"C",IF(AC5&gt;=35,"CD",IF(AC5&gt;=25,"D","E"))))))))</f>
        <v/>
      </c>
      <c r="AE5" s="34" t="inlineStr"/>
    </row>
    <row r="6" ht="18" customHeight="1">
      <c r="A6" s="19" t="n">
        <v>3</v>
      </c>
      <c r="B6" s="19" t="inlineStr">
        <is>
          <t>24060124130084</t>
        </is>
      </c>
      <c r="C6" s="20" t="inlineStr">
        <is>
          <t>Jessica Laurencia Panjaitan</t>
        </is>
      </c>
      <c r="D6" s="19" t="n">
        <v>1</v>
      </c>
      <c r="E6" s="21" t="n"/>
      <c r="F6" s="21" t="n"/>
      <c r="G6" s="21" t="n"/>
      <c r="H6" s="22">
        <f>IF(COUNTA(E6,F6,G6)=0,"",E6+F6+G6)</f>
        <v/>
      </c>
      <c r="I6" s="23" t="n"/>
      <c r="J6" s="23" t="n"/>
      <c r="K6" s="23" t="n"/>
      <c r="L6" s="24">
        <f>IF(COUNTA(I6,J6,K6)=0,"",I6+J6+K6)</f>
        <v/>
      </c>
      <c r="M6" s="25" t="n"/>
      <c r="N6" s="25" t="n"/>
      <c r="O6" s="25" t="n"/>
      <c r="P6" s="26">
        <f>IF(COUNTA(M6,N6,O6)=0,"",M6+N6+O6)</f>
        <v/>
      </c>
      <c r="Q6" s="27" t="n"/>
      <c r="R6" s="27" t="n"/>
      <c r="S6" s="27" t="n"/>
      <c r="T6" s="28">
        <f>IF(COUNTA(Q6,R6,S6)=0,"",Q6+R6+S6)</f>
        <v/>
      </c>
      <c r="U6" s="29" t="n"/>
      <c r="V6" s="29" t="n"/>
      <c r="W6" s="29" t="n"/>
      <c r="X6" s="30">
        <f>IF(COUNTA(U6,V6,W6)=0,"",U6+V6+W6)</f>
        <v/>
      </c>
      <c r="Y6" s="31" t="n"/>
      <c r="Z6" s="31" t="n"/>
      <c r="AA6" s="31" t="n"/>
      <c r="AB6" s="32">
        <f>IF(COUNTA(Y6,Z6,AA6)=0,"",Y6+Z6+AA6)</f>
        <v/>
      </c>
      <c r="AC6" s="33">
        <f>IF(COUNTA(H6,L6,P6,T6,X6,AB6)=0,"",H6+L6+P6+T6+X6+AB6)</f>
        <v/>
      </c>
      <c r="AD6" s="33">
        <f>IF(AC6="","",IF(AC6&gt;=85,"A",IF(AC6&gt;=75,"AB",IF(AC6&gt;=65,"B",IF(AC6&gt;=55,"BC",IF(AC6&gt;=45,"C",IF(AC6&gt;=35,"CD",IF(AC6&gt;=25,"D","E"))))))))</f>
        <v/>
      </c>
      <c r="AE6" s="34" t="inlineStr"/>
    </row>
    <row r="7" ht="18" customHeight="1">
      <c r="A7" s="19" t="n">
        <v>4</v>
      </c>
      <c r="B7" s="19" t="inlineStr">
        <is>
          <t>24060124140127</t>
        </is>
      </c>
      <c r="C7" s="20" t="inlineStr">
        <is>
          <t>Axel Anggian Hamonangan Purba</t>
        </is>
      </c>
      <c r="D7" s="19" t="n">
        <v>1</v>
      </c>
      <c r="E7" s="21" t="n"/>
      <c r="F7" s="21" t="n"/>
      <c r="G7" s="21" t="n"/>
      <c r="H7" s="22">
        <f>IF(COUNTA(E7,F7,G7)=0,"",E7+F7+G7)</f>
        <v/>
      </c>
      <c r="I7" s="23" t="n"/>
      <c r="J7" s="23" t="n"/>
      <c r="K7" s="23" t="n"/>
      <c r="L7" s="24">
        <f>IF(COUNTA(I7,J7,K7)=0,"",I7+J7+K7)</f>
        <v/>
      </c>
      <c r="M7" s="25" t="n"/>
      <c r="N7" s="25" t="n"/>
      <c r="O7" s="25" t="n"/>
      <c r="P7" s="26">
        <f>IF(COUNTA(M7,N7,O7)=0,"",M7+N7+O7)</f>
        <v/>
      </c>
      <c r="Q7" s="27" t="n"/>
      <c r="R7" s="27" t="n"/>
      <c r="S7" s="27" t="n"/>
      <c r="T7" s="28">
        <f>IF(COUNTA(Q7,R7,S7)=0,"",Q7+R7+S7)</f>
        <v/>
      </c>
      <c r="U7" s="29" t="n"/>
      <c r="V7" s="29" t="n"/>
      <c r="W7" s="29" t="n"/>
      <c r="X7" s="30">
        <f>IF(COUNTA(U7,V7,W7)=0,"",U7+V7+W7)</f>
        <v/>
      </c>
      <c r="Y7" s="31" t="n"/>
      <c r="Z7" s="31" t="n"/>
      <c r="AA7" s="31" t="n"/>
      <c r="AB7" s="32">
        <f>IF(COUNTA(Y7,Z7,AA7)=0,"",Y7+Z7+AA7)</f>
        <v/>
      </c>
      <c r="AC7" s="33">
        <f>IF(COUNTA(H7,L7,P7,T7,X7,AB7)=0,"",H7+L7+P7+T7+X7+AB7)</f>
        <v/>
      </c>
      <c r="AD7" s="33">
        <f>IF(AC7="","",IF(AC7&gt;=85,"A",IF(AC7&gt;=75,"AB",IF(AC7&gt;=65,"B",IF(AC7&gt;=55,"BC",IF(AC7&gt;=45,"C",IF(AC7&gt;=35,"CD",IF(AC7&gt;=25,"D","E"))))))))</f>
        <v/>
      </c>
      <c r="AE7" s="34" t="inlineStr"/>
    </row>
    <row r="8" ht="18" customHeight="1">
      <c r="A8" s="35" t="n">
        <v>5</v>
      </c>
      <c r="B8" s="35" t="inlineStr">
        <is>
          <t>24060124140194</t>
        </is>
      </c>
      <c r="C8" s="36" t="inlineStr">
        <is>
          <t>Andiny Khaerany Suhartady</t>
        </is>
      </c>
      <c r="D8" s="35" t="n">
        <v>2</v>
      </c>
      <c r="E8" s="21" t="n"/>
      <c r="F8" s="21" t="n"/>
      <c r="G8" s="21" t="n"/>
      <c r="H8" s="22">
        <f>IF(COUNTA(E8,F8,G8)=0,"",E8+F8+G8)</f>
        <v/>
      </c>
      <c r="I8" s="23" t="n"/>
      <c r="J8" s="23" t="n"/>
      <c r="K8" s="23" t="n"/>
      <c r="L8" s="24">
        <f>IF(COUNTA(I8,J8,K8)=0,"",I8+J8+K8)</f>
        <v/>
      </c>
      <c r="M8" s="25" t="n"/>
      <c r="N8" s="25" t="n"/>
      <c r="O8" s="25" t="n"/>
      <c r="P8" s="26">
        <f>IF(COUNTA(M8,N8,O8)=0,"",M8+N8+O8)</f>
        <v/>
      </c>
      <c r="Q8" s="27" t="n"/>
      <c r="R8" s="27" t="n"/>
      <c r="S8" s="27" t="n"/>
      <c r="T8" s="28">
        <f>IF(COUNTA(Q8,R8,S8)=0,"",Q8+R8+S8)</f>
        <v/>
      </c>
      <c r="U8" s="29" t="n"/>
      <c r="V8" s="29" t="n"/>
      <c r="W8" s="29" t="n"/>
      <c r="X8" s="30">
        <f>IF(COUNTA(U8,V8,W8)=0,"",U8+V8+W8)</f>
        <v/>
      </c>
      <c r="Y8" s="31" t="n"/>
      <c r="Z8" s="31" t="n"/>
      <c r="AA8" s="31" t="n"/>
      <c r="AB8" s="32">
        <f>IF(COUNTA(Y8,Z8,AA8)=0,"",Y8+Z8+AA8)</f>
        <v/>
      </c>
      <c r="AC8" s="33">
        <f>IF(COUNTA(H8,L8,P8,T8,X8,AB8)=0,"",H8+L8+P8+T8+X8+AB8)</f>
        <v/>
      </c>
      <c r="AD8" s="33">
        <f>IF(AC8="","",IF(AC8&gt;=85,"A",IF(AC8&gt;=75,"AB",IF(AC8&gt;=65,"B",IF(AC8&gt;=55,"BC",IF(AC8&gt;=45,"C",IF(AC8&gt;=35,"CD",IF(AC8&gt;=25,"D","E"))))))))</f>
        <v/>
      </c>
      <c r="AE8" s="37" t="inlineStr">
        <is>
          <t>Link laporan tidak dapat diakses</t>
        </is>
      </c>
    </row>
    <row r="9" ht="18" customHeight="1">
      <c r="A9" s="35" t="n">
        <v>6</v>
      </c>
      <c r="B9" s="35" t="inlineStr">
        <is>
          <t>24060124140201</t>
        </is>
      </c>
      <c r="C9" s="36" t="inlineStr">
        <is>
          <t>Cindy Kurniawan</t>
        </is>
      </c>
      <c r="D9" s="35" t="n">
        <v>2</v>
      </c>
      <c r="E9" s="21" t="n"/>
      <c r="F9" s="21" t="n"/>
      <c r="G9" s="21" t="n"/>
      <c r="H9" s="22">
        <f>IF(COUNTA(E9,F9,G9)=0,"",E9+F9+G9)</f>
        <v/>
      </c>
      <c r="I9" s="23" t="n"/>
      <c r="J9" s="23" t="n"/>
      <c r="K9" s="23" t="n"/>
      <c r="L9" s="24">
        <f>IF(COUNTA(I9,J9,K9)=0,"",I9+J9+K9)</f>
        <v/>
      </c>
      <c r="M9" s="25" t="n"/>
      <c r="N9" s="25" t="n"/>
      <c r="O9" s="25" t="n"/>
      <c r="P9" s="26">
        <f>IF(COUNTA(M9,N9,O9)=0,"",M9+N9+O9)</f>
        <v/>
      </c>
      <c r="Q9" s="27" t="n"/>
      <c r="R9" s="27" t="n"/>
      <c r="S9" s="27" t="n"/>
      <c r="T9" s="28">
        <f>IF(COUNTA(Q9,R9,S9)=0,"",Q9+R9+S9)</f>
        <v/>
      </c>
      <c r="U9" s="29" t="n"/>
      <c r="V9" s="29" t="n"/>
      <c r="W9" s="29" t="n"/>
      <c r="X9" s="30">
        <f>IF(COUNTA(U9,V9,W9)=0,"",U9+V9+W9)</f>
        <v/>
      </c>
      <c r="Y9" s="31" t="n"/>
      <c r="Z9" s="31" t="n"/>
      <c r="AA9" s="31" t="n"/>
      <c r="AB9" s="32">
        <f>IF(COUNTA(Y9,Z9,AA9)=0,"",Y9+Z9+AA9)</f>
        <v/>
      </c>
      <c r="AC9" s="33">
        <f>IF(COUNTA(H9,L9,P9,T9,X9,AB9)=0,"",H9+L9+P9+T9+X9+AB9)</f>
        <v/>
      </c>
      <c r="AD9" s="33">
        <f>IF(AC9="","",IF(AC9&gt;=85,"A",IF(AC9&gt;=75,"AB",IF(AC9&gt;=65,"B",IF(AC9&gt;=55,"BC",IF(AC9&gt;=45,"C",IF(AC9&gt;=35,"CD",IF(AC9&gt;=25,"D","E"))))))))</f>
        <v/>
      </c>
      <c r="AE9" s="37" t="inlineStr"/>
    </row>
    <row r="10" ht="18" customHeight="1">
      <c r="A10" s="35" t="n">
        <v>7</v>
      </c>
      <c r="B10" s="35" t="inlineStr">
        <is>
          <t>24060124130066</t>
        </is>
      </c>
      <c r="C10" s="36" t="inlineStr">
        <is>
          <t>Silvani Salsabilla</t>
        </is>
      </c>
      <c r="D10" s="35" t="n">
        <v>2</v>
      </c>
      <c r="E10" s="21" t="n"/>
      <c r="F10" s="21" t="n"/>
      <c r="G10" s="21" t="n"/>
      <c r="H10" s="22">
        <f>IF(COUNTA(E10,F10,G10)=0,"",E10+F10+G10)</f>
        <v/>
      </c>
      <c r="I10" s="23" t="n"/>
      <c r="J10" s="23" t="n"/>
      <c r="K10" s="23" t="n"/>
      <c r="L10" s="24">
        <f>IF(COUNTA(I10,J10,K10)=0,"",I10+J10+K10)</f>
        <v/>
      </c>
      <c r="M10" s="25" t="n"/>
      <c r="N10" s="25" t="n"/>
      <c r="O10" s="25" t="n"/>
      <c r="P10" s="26">
        <f>IF(COUNTA(M10,N10,O10)=0,"",M10+N10+O10)</f>
        <v/>
      </c>
      <c r="Q10" s="27" t="n"/>
      <c r="R10" s="27" t="n"/>
      <c r="S10" s="27" t="n"/>
      <c r="T10" s="28">
        <f>IF(COUNTA(Q10,R10,S10)=0,"",Q10+R10+S10)</f>
        <v/>
      </c>
      <c r="U10" s="29" t="n"/>
      <c r="V10" s="29" t="n"/>
      <c r="W10" s="29" t="n"/>
      <c r="X10" s="30">
        <f>IF(COUNTA(U10,V10,W10)=0,"",U10+V10+W10)</f>
        <v/>
      </c>
      <c r="Y10" s="31" t="n"/>
      <c r="Z10" s="31" t="n"/>
      <c r="AA10" s="31" t="n"/>
      <c r="AB10" s="32">
        <f>IF(COUNTA(Y10,Z10,AA10)=0,"",Y10+Z10+AA10)</f>
        <v/>
      </c>
      <c r="AC10" s="33">
        <f>IF(COUNTA(H10,L10,P10,T10,X10,AB10)=0,"",H10+L10+P10+T10+X10+AB10)</f>
        <v/>
      </c>
      <c r="AD10" s="33">
        <f>IF(AC10="","",IF(AC10&gt;=85,"A",IF(AC10&gt;=75,"AB",IF(AC10&gt;=65,"B",IF(AC10&gt;=55,"BC",IF(AC10&gt;=45,"C",IF(AC10&gt;=35,"CD",IF(AC10&gt;=25,"D","E"))))))))</f>
        <v/>
      </c>
      <c r="AE10" s="37" t="inlineStr"/>
    </row>
    <row r="11" ht="18" customHeight="1">
      <c r="A11" s="35" t="n">
        <v>8</v>
      </c>
      <c r="B11" s="35" t="inlineStr">
        <is>
          <t>24060124120007</t>
        </is>
      </c>
      <c r="C11" s="36" t="inlineStr">
        <is>
          <t>Agung Rama Pramana Putra</t>
        </is>
      </c>
      <c r="D11" s="35" t="n">
        <v>2</v>
      </c>
      <c r="E11" s="21" t="n"/>
      <c r="F11" s="21" t="n"/>
      <c r="G11" s="21" t="n"/>
      <c r="H11" s="22">
        <f>IF(COUNTA(E11,F11,G11)=0,"",E11+F11+G11)</f>
        <v/>
      </c>
      <c r="I11" s="23" t="n"/>
      <c r="J11" s="23" t="n"/>
      <c r="K11" s="23" t="n"/>
      <c r="L11" s="24">
        <f>IF(COUNTA(I11,J11,K11)=0,"",I11+J11+K11)</f>
        <v/>
      </c>
      <c r="M11" s="25" t="n"/>
      <c r="N11" s="25" t="n"/>
      <c r="O11" s="25" t="n"/>
      <c r="P11" s="26">
        <f>IF(COUNTA(M11,N11,O11)=0,"",M11+N11+O11)</f>
        <v/>
      </c>
      <c r="Q11" s="27" t="n"/>
      <c r="R11" s="27" t="n"/>
      <c r="S11" s="27" t="n"/>
      <c r="T11" s="28">
        <f>IF(COUNTA(Q11,R11,S11)=0,"",Q11+R11+S11)</f>
        <v/>
      </c>
      <c r="U11" s="29" t="n"/>
      <c r="V11" s="29" t="n"/>
      <c r="W11" s="29" t="n"/>
      <c r="X11" s="30">
        <f>IF(COUNTA(U11,V11,W11)=0,"",U11+V11+W11)</f>
        <v/>
      </c>
      <c r="Y11" s="31" t="n"/>
      <c r="Z11" s="31" t="n"/>
      <c r="AA11" s="31" t="n"/>
      <c r="AB11" s="32">
        <f>IF(COUNTA(Y11,Z11,AA11)=0,"",Y11+Z11+AA11)</f>
        <v/>
      </c>
      <c r="AC11" s="33">
        <f>IF(COUNTA(H11,L11,P11,T11,X11,AB11)=0,"",H11+L11+P11+T11+X11+AB11)</f>
        <v/>
      </c>
      <c r="AD11" s="33">
        <f>IF(AC11="","",IF(AC11&gt;=85,"A",IF(AC11&gt;=75,"AB",IF(AC11&gt;=65,"B",IF(AC11&gt;=55,"BC",IF(AC11&gt;=45,"C",IF(AC11&gt;=35,"CD",IF(AC11&gt;=25,"D","E"))))))))</f>
        <v/>
      </c>
      <c r="AE11" s="37" t="inlineStr"/>
    </row>
    <row r="12" ht="18" customHeight="1">
      <c r="A12" s="19" t="n">
        <v>9</v>
      </c>
      <c r="B12" s="19" t="inlineStr">
        <is>
          <t>24060124120029</t>
        </is>
      </c>
      <c r="C12" s="20" t="inlineStr">
        <is>
          <t>Nouvella Rahma Fitrah Legarsi</t>
        </is>
      </c>
      <c r="D12" s="19" t="n">
        <v>3</v>
      </c>
      <c r="E12" s="21" t="n"/>
      <c r="F12" s="21" t="n"/>
      <c r="G12" s="21" t="n"/>
      <c r="H12" s="22">
        <f>IF(COUNTA(E12,F12,G12)=0,"",E12+F12+G12)</f>
        <v/>
      </c>
      <c r="I12" s="23" t="n"/>
      <c r="J12" s="23" t="n"/>
      <c r="K12" s="23" t="n"/>
      <c r="L12" s="24">
        <f>IF(COUNTA(I12,J12,K12)=0,"",I12+J12+K12)</f>
        <v/>
      </c>
      <c r="M12" s="25" t="n"/>
      <c r="N12" s="25" t="n"/>
      <c r="O12" s="25" t="n"/>
      <c r="P12" s="26">
        <f>IF(COUNTA(M12,N12,O12)=0,"",M12+N12+O12)</f>
        <v/>
      </c>
      <c r="Q12" s="27" t="n"/>
      <c r="R12" s="27" t="n"/>
      <c r="S12" s="27" t="n"/>
      <c r="T12" s="28">
        <f>IF(COUNTA(Q12,R12,S12)=0,"",Q12+R12+S12)</f>
        <v/>
      </c>
      <c r="U12" s="29" t="n"/>
      <c r="V12" s="29" t="n"/>
      <c r="W12" s="29" t="n"/>
      <c r="X12" s="30">
        <f>IF(COUNTA(U12,V12,W12)=0,"",U12+V12+W12)</f>
        <v/>
      </c>
      <c r="Y12" s="31" t="n"/>
      <c r="Z12" s="31" t="n"/>
      <c r="AA12" s="31" t="n"/>
      <c r="AB12" s="32">
        <f>IF(COUNTA(Y12,Z12,AA12)=0,"",Y12+Z12+AA12)</f>
        <v/>
      </c>
      <c r="AC12" s="33">
        <f>IF(COUNTA(H12,L12,P12,T12,X12,AB12)=0,"",H12+L12+P12+T12+X12+AB12)</f>
        <v/>
      </c>
      <c r="AD12" s="33">
        <f>IF(AC12="","",IF(AC12&gt;=85,"A",IF(AC12&gt;=75,"AB",IF(AC12&gt;=65,"B",IF(AC12&gt;=55,"BC",IF(AC12&gt;=45,"C",IF(AC12&gt;=35,"CD",IF(AC12&gt;=25,"D","E"))))))))</f>
        <v/>
      </c>
      <c r="AE12" s="34" t="inlineStr"/>
    </row>
    <row r="13" ht="18" customHeight="1">
      <c r="A13" s="19" t="n">
        <v>10</v>
      </c>
      <c r="B13" s="19" t="inlineStr">
        <is>
          <t>24060124120040</t>
        </is>
      </c>
      <c r="C13" s="20" t="inlineStr">
        <is>
          <t>Ovilia Suci Ramadhani</t>
        </is>
      </c>
      <c r="D13" s="19" t="n">
        <v>3</v>
      </c>
      <c r="E13" s="21" t="n"/>
      <c r="F13" s="21" t="n"/>
      <c r="G13" s="21" t="n"/>
      <c r="H13" s="22">
        <f>IF(COUNTA(E13,F13,G13)=0,"",E13+F13+G13)</f>
        <v/>
      </c>
      <c r="I13" s="23" t="n"/>
      <c r="J13" s="23" t="n"/>
      <c r="K13" s="23" t="n"/>
      <c r="L13" s="24">
        <f>IF(COUNTA(I13,J13,K13)=0,"",I13+J13+K13)</f>
        <v/>
      </c>
      <c r="M13" s="25" t="n"/>
      <c r="N13" s="25" t="n"/>
      <c r="O13" s="25" t="n"/>
      <c r="P13" s="26">
        <f>IF(COUNTA(M13,N13,O13)=0,"",M13+N13+O13)</f>
        <v/>
      </c>
      <c r="Q13" s="27" t="n"/>
      <c r="R13" s="27" t="n"/>
      <c r="S13" s="27" t="n"/>
      <c r="T13" s="28">
        <f>IF(COUNTA(Q13,R13,S13)=0,"",Q13+R13+S13)</f>
        <v/>
      </c>
      <c r="U13" s="29" t="n"/>
      <c r="V13" s="29" t="n"/>
      <c r="W13" s="29" t="n"/>
      <c r="X13" s="30">
        <f>IF(COUNTA(U13,V13,W13)=0,"",U13+V13+W13)</f>
        <v/>
      </c>
      <c r="Y13" s="31" t="n"/>
      <c r="Z13" s="31" t="n"/>
      <c r="AA13" s="31" t="n"/>
      <c r="AB13" s="32">
        <f>IF(COUNTA(Y13,Z13,AA13)=0,"",Y13+Z13+AA13)</f>
        <v/>
      </c>
      <c r="AC13" s="33">
        <f>IF(COUNTA(H13,L13,P13,T13,X13,AB13)=0,"",H13+L13+P13+T13+X13+AB13)</f>
        <v/>
      </c>
      <c r="AD13" s="33">
        <f>IF(AC13="","",IF(AC13&gt;=85,"A",IF(AC13&gt;=75,"AB",IF(AC13&gt;=65,"B",IF(AC13&gt;=55,"BC",IF(AC13&gt;=45,"C",IF(AC13&gt;=35,"CD",IF(AC13&gt;=25,"D","E"))))))))</f>
        <v/>
      </c>
      <c r="AE13" s="34" t="inlineStr"/>
    </row>
    <row r="14" ht="18" customHeight="1">
      <c r="A14" s="19" t="n">
        <v>11</v>
      </c>
      <c r="B14" s="19" t="inlineStr">
        <is>
          <t>24060124130070</t>
        </is>
      </c>
      <c r="C14" s="20" t="inlineStr">
        <is>
          <t>Biyani Andarisky Maratia</t>
        </is>
      </c>
      <c r="D14" s="19" t="n">
        <v>3</v>
      </c>
      <c r="E14" s="21" t="n"/>
      <c r="F14" s="21" t="n"/>
      <c r="G14" s="21" t="n"/>
      <c r="H14" s="22">
        <f>IF(COUNTA(E14,F14,G14)=0,"",E14+F14+G14)</f>
        <v/>
      </c>
      <c r="I14" s="23" t="n"/>
      <c r="J14" s="23" t="n"/>
      <c r="K14" s="23" t="n"/>
      <c r="L14" s="24">
        <f>IF(COUNTA(I14,J14,K14)=0,"",I14+J14+K14)</f>
        <v/>
      </c>
      <c r="M14" s="25" t="n"/>
      <c r="N14" s="25" t="n"/>
      <c r="O14" s="25" t="n"/>
      <c r="P14" s="26">
        <f>IF(COUNTA(M14,N14,O14)=0,"",M14+N14+O14)</f>
        <v/>
      </c>
      <c r="Q14" s="27" t="n"/>
      <c r="R14" s="27" t="n"/>
      <c r="S14" s="27" t="n"/>
      <c r="T14" s="28">
        <f>IF(COUNTA(Q14,R14,S14)=0,"",Q14+R14+S14)</f>
        <v/>
      </c>
      <c r="U14" s="29" t="n"/>
      <c r="V14" s="29" t="n"/>
      <c r="W14" s="29" t="n"/>
      <c r="X14" s="30">
        <f>IF(COUNTA(U14,V14,W14)=0,"",U14+V14+W14)</f>
        <v/>
      </c>
      <c r="Y14" s="31" t="n"/>
      <c r="Z14" s="31" t="n"/>
      <c r="AA14" s="31" t="n"/>
      <c r="AB14" s="32">
        <f>IF(COUNTA(Y14,Z14,AA14)=0,"",Y14+Z14+AA14)</f>
        <v/>
      </c>
      <c r="AC14" s="33">
        <f>IF(COUNTA(H14,L14,P14,T14,X14,AB14)=0,"",H14+L14+P14+T14+X14+AB14)</f>
        <v/>
      </c>
      <c r="AD14" s="33">
        <f>IF(AC14="","",IF(AC14&gt;=85,"A",IF(AC14&gt;=75,"AB",IF(AC14&gt;=65,"B",IF(AC14&gt;=55,"BC",IF(AC14&gt;=45,"C",IF(AC14&gt;=35,"CD",IF(AC14&gt;=25,"D","E"))))))))</f>
        <v/>
      </c>
      <c r="AE14" s="34" t="inlineStr"/>
    </row>
    <row r="15" ht="18" customHeight="1">
      <c r="A15" s="19" t="n">
        <v>12</v>
      </c>
      <c r="B15" s="19" t="inlineStr">
        <is>
          <t>24060124140180</t>
        </is>
      </c>
      <c r="C15" s="20" t="inlineStr">
        <is>
          <t>Eileen Albert Tandrio</t>
        </is>
      </c>
      <c r="D15" s="19" t="n">
        <v>3</v>
      </c>
      <c r="E15" s="21" t="n"/>
      <c r="F15" s="21" t="n"/>
      <c r="G15" s="21" t="n"/>
      <c r="H15" s="22">
        <f>IF(COUNTA(E15,F15,G15)=0,"",E15+F15+G15)</f>
        <v/>
      </c>
      <c r="I15" s="23" t="n"/>
      <c r="J15" s="23" t="n"/>
      <c r="K15" s="23" t="n"/>
      <c r="L15" s="24">
        <f>IF(COUNTA(I15,J15,K15)=0,"",I15+J15+K15)</f>
        <v/>
      </c>
      <c r="M15" s="25" t="n"/>
      <c r="N15" s="25" t="n"/>
      <c r="O15" s="25" t="n"/>
      <c r="P15" s="26">
        <f>IF(COUNTA(M15,N15,O15)=0,"",M15+N15+O15)</f>
        <v/>
      </c>
      <c r="Q15" s="27" t="n"/>
      <c r="R15" s="27" t="n"/>
      <c r="S15" s="27" t="n"/>
      <c r="T15" s="28">
        <f>IF(COUNTA(Q15,R15,S15)=0,"",Q15+R15+S15)</f>
        <v/>
      </c>
      <c r="U15" s="29" t="n"/>
      <c r="V15" s="29" t="n"/>
      <c r="W15" s="29" t="n"/>
      <c r="X15" s="30">
        <f>IF(COUNTA(U15,V15,W15)=0,"",U15+V15+W15)</f>
        <v/>
      </c>
      <c r="Y15" s="31" t="n"/>
      <c r="Z15" s="31" t="n"/>
      <c r="AA15" s="31" t="n"/>
      <c r="AB15" s="32">
        <f>IF(COUNTA(Y15,Z15,AA15)=0,"",Y15+Z15+AA15)</f>
        <v/>
      </c>
      <c r="AC15" s="33">
        <f>IF(COUNTA(H15,L15,P15,T15,X15,AB15)=0,"",H15+L15+P15+T15+X15+AB15)</f>
        <v/>
      </c>
      <c r="AD15" s="33">
        <f>IF(AC15="","",IF(AC15&gt;=85,"A",IF(AC15&gt;=75,"AB",IF(AC15&gt;=65,"B",IF(AC15&gt;=55,"BC",IF(AC15&gt;=45,"C",IF(AC15&gt;=35,"CD",IF(AC15&gt;=25,"D","E"))))))))</f>
        <v/>
      </c>
      <c r="AE15" s="34" t="inlineStr"/>
    </row>
    <row r="16" ht="18" customHeight="1">
      <c r="A16" s="35" t="n">
        <v>13</v>
      </c>
      <c r="B16" s="35" t="inlineStr">
        <is>
          <t>24060124120048</t>
        </is>
      </c>
      <c r="C16" s="36" t="inlineStr">
        <is>
          <t>Daniel Lamganda Tua Gultom</t>
        </is>
      </c>
      <c r="D16" s="35" t="n">
        <v>4</v>
      </c>
      <c r="E16" s="21" t="n"/>
      <c r="F16" s="21" t="n"/>
      <c r="G16" s="21" t="n"/>
      <c r="H16" s="22">
        <f>IF(COUNTA(E16,F16,G16)=0,"",E16+F16+G16)</f>
        <v/>
      </c>
      <c r="I16" s="23" t="n"/>
      <c r="J16" s="23" t="n"/>
      <c r="K16" s="23" t="n"/>
      <c r="L16" s="24">
        <f>IF(COUNTA(I16,J16,K16)=0,"",I16+J16+K16)</f>
        <v/>
      </c>
      <c r="M16" s="25" t="n"/>
      <c r="N16" s="25" t="n"/>
      <c r="O16" s="25" t="n"/>
      <c r="P16" s="26">
        <f>IF(COUNTA(M16,N16,O16)=0,"",M16+N16+O16)</f>
        <v/>
      </c>
      <c r="Q16" s="27" t="n"/>
      <c r="R16" s="27" t="n"/>
      <c r="S16" s="27" t="n"/>
      <c r="T16" s="28">
        <f>IF(COUNTA(Q16,R16,S16)=0,"",Q16+R16+S16)</f>
        <v/>
      </c>
      <c r="U16" s="29" t="n"/>
      <c r="V16" s="29" t="n"/>
      <c r="W16" s="29" t="n"/>
      <c r="X16" s="30">
        <f>IF(COUNTA(U16,V16,W16)=0,"",U16+V16+W16)</f>
        <v/>
      </c>
      <c r="Y16" s="31" t="n"/>
      <c r="Z16" s="31" t="n"/>
      <c r="AA16" s="31" t="n"/>
      <c r="AB16" s="32">
        <f>IF(COUNTA(Y16,Z16,AA16)=0,"",Y16+Z16+AA16)</f>
        <v/>
      </c>
      <c r="AC16" s="33">
        <f>IF(COUNTA(H16,L16,P16,T16,X16,AB16)=0,"",H16+L16+P16+T16+X16+AB16)</f>
        <v/>
      </c>
      <c r="AD16" s="33">
        <f>IF(AC16="","",IF(AC16&gt;=85,"A",IF(AC16&gt;=75,"AB",IF(AC16&gt;=65,"B",IF(AC16&gt;=55,"BC",IF(AC16&gt;=45,"C",IF(AC16&gt;=35,"CD",IF(AC16&gt;=25,"D","E"))))))))</f>
        <v/>
      </c>
      <c r="AE16" s="37" t="inlineStr"/>
    </row>
    <row r="17" ht="18" customHeight="1">
      <c r="A17" s="35" t="n">
        <v>14</v>
      </c>
      <c r="B17" s="35" t="inlineStr">
        <is>
          <t>24060124130099</t>
        </is>
      </c>
      <c r="C17" s="36" t="inlineStr">
        <is>
          <t>Dehar Zaidan Dzaki Amirullah</t>
        </is>
      </c>
      <c r="D17" s="35" t="n">
        <v>4</v>
      </c>
      <c r="E17" s="21" t="n"/>
      <c r="F17" s="21" t="n"/>
      <c r="G17" s="21" t="n"/>
      <c r="H17" s="22">
        <f>IF(COUNTA(E17,F17,G17)=0,"",E17+F17+G17)</f>
        <v/>
      </c>
      <c r="I17" s="23" t="n"/>
      <c r="J17" s="23" t="n"/>
      <c r="K17" s="23" t="n"/>
      <c r="L17" s="24">
        <f>IF(COUNTA(I17,J17,K17)=0,"",I17+J17+K17)</f>
        <v/>
      </c>
      <c r="M17" s="25" t="n"/>
      <c r="N17" s="25" t="n"/>
      <c r="O17" s="25" t="n"/>
      <c r="P17" s="26">
        <f>IF(COUNTA(M17,N17,O17)=0,"",M17+N17+O17)</f>
        <v/>
      </c>
      <c r="Q17" s="27" t="n"/>
      <c r="R17" s="27" t="n"/>
      <c r="S17" s="27" t="n"/>
      <c r="T17" s="28">
        <f>IF(COUNTA(Q17,R17,S17)=0,"",Q17+R17+S17)</f>
        <v/>
      </c>
      <c r="U17" s="29" t="n"/>
      <c r="V17" s="29" t="n"/>
      <c r="W17" s="29" t="n"/>
      <c r="X17" s="30">
        <f>IF(COUNTA(U17,V17,W17)=0,"",U17+V17+W17)</f>
        <v/>
      </c>
      <c r="Y17" s="31" t="n"/>
      <c r="Z17" s="31" t="n"/>
      <c r="AA17" s="31" t="n"/>
      <c r="AB17" s="32">
        <f>IF(COUNTA(Y17,Z17,AA17)=0,"",Y17+Z17+AA17)</f>
        <v/>
      </c>
      <c r="AC17" s="33">
        <f>IF(COUNTA(H17,L17,P17,T17,X17,AB17)=0,"",H17+L17+P17+T17+X17+AB17)</f>
        <v/>
      </c>
      <c r="AD17" s="33">
        <f>IF(AC17="","",IF(AC17&gt;=85,"A",IF(AC17&gt;=75,"AB",IF(AC17&gt;=65,"B",IF(AC17&gt;=55,"BC",IF(AC17&gt;=45,"C",IF(AC17&gt;=35,"CD",IF(AC17&gt;=25,"D","E"))))))))</f>
        <v/>
      </c>
      <c r="AE17" s="37" t="inlineStr"/>
    </row>
    <row r="18" ht="18" customHeight="1">
      <c r="A18" s="35" t="n">
        <v>15</v>
      </c>
      <c r="B18" s="35" t="inlineStr">
        <is>
          <t>24060124130103</t>
        </is>
      </c>
      <c r="C18" s="36" t="inlineStr">
        <is>
          <t>Dzaki Fathul'Alim Cahyo</t>
        </is>
      </c>
      <c r="D18" s="35" t="n">
        <v>4</v>
      </c>
      <c r="E18" s="21" t="n"/>
      <c r="F18" s="21" t="n"/>
      <c r="G18" s="21" t="n"/>
      <c r="H18" s="22">
        <f>IF(COUNTA(E18,F18,G18)=0,"",E18+F18+G18)</f>
        <v/>
      </c>
      <c r="I18" s="23" t="n"/>
      <c r="J18" s="23" t="n"/>
      <c r="K18" s="23" t="n"/>
      <c r="L18" s="24">
        <f>IF(COUNTA(I18,J18,K18)=0,"",I18+J18+K18)</f>
        <v/>
      </c>
      <c r="M18" s="25" t="n"/>
      <c r="N18" s="25" t="n"/>
      <c r="O18" s="25" t="n"/>
      <c r="P18" s="26">
        <f>IF(COUNTA(M18,N18,O18)=0,"",M18+N18+O18)</f>
        <v/>
      </c>
      <c r="Q18" s="27" t="n"/>
      <c r="R18" s="27" t="n"/>
      <c r="S18" s="27" t="n"/>
      <c r="T18" s="28">
        <f>IF(COUNTA(Q18,R18,S18)=0,"",Q18+R18+S18)</f>
        <v/>
      </c>
      <c r="U18" s="29" t="n"/>
      <c r="V18" s="29" t="n"/>
      <c r="W18" s="29" t="n"/>
      <c r="X18" s="30">
        <f>IF(COUNTA(U18,V18,W18)=0,"",U18+V18+W18)</f>
        <v/>
      </c>
      <c r="Y18" s="31" t="n"/>
      <c r="Z18" s="31" t="n"/>
      <c r="AA18" s="31" t="n"/>
      <c r="AB18" s="32">
        <f>IF(COUNTA(Y18,Z18,AA18)=0,"",Y18+Z18+AA18)</f>
        <v/>
      </c>
      <c r="AC18" s="33">
        <f>IF(COUNTA(H18,L18,P18,T18,X18,AB18)=0,"",H18+L18+P18+T18+X18+AB18)</f>
        <v/>
      </c>
      <c r="AD18" s="33">
        <f>IF(AC18="","",IF(AC18&gt;=85,"A",IF(AC18&gt;=75,"AB",IF(AC18&gt;=65,"B",IF(AC18&gt;=55,"BC",IF(AC18&gt;=45,"C",IF(AC18&gt;=35,"CD",IF(AC18&gt;=25,"D","E"))))))))</f>
        <v/>
      </c>
      <c r="AE18" s="37" t="inlineStr"/>
    </row>
    <row r="19" ht="18" customHeight="1">
      <c r="A19" s="35" t="n">
        <v>16</v>
      </c>
      <c r="B19" s="35" t="inlineStr">
        <is>
          <t>24060124130108</t>
        </is>
      </c>
      <c r="C19" s="36" t="inlineStr">
        <is>
          <t>Elang Fadila Ahmad</t>
        </is>
      </c>
      <c r="D19" s="35" t="n">
        <v>4</v>
      </c>
      <c r="E19" s="21" t="n"/>
      <c r="F19" s="21" t="n"/>
      <c r="G19" s="21" t="n"/>
      <c r="H19" s="22">
        <f>IF(COUNTA(E19,F19,G19)=0,"",E19+F19+G19)</f>
        <v/>
      </c>
      <c r="I19" s="23" t="n"/>
      <c r="J19" s="23" t="n"/>
      <c r="K19" s="23" t="n"/>
      <c r="L19" s="24">
        <f>IF(COUNTA(I19,J19,K19)=0,"",I19+J19+K19)</f>
        <v/>
      </c>
      <c r="M19" s="25" t="n"/>
      <c r="N19" s="25" t="n"/>
      <c r="O19" s="25" t="n"/>
      <c r="P19" s="26">
        <f>IF(COUNTA(M19,N19,O19)=0,"",M19+N19+O19)</f>
        <v/>
      </c>
      <c r="Q19" s="27" t="n"/>
      <c r="R19" s="27" t="n"/>
      <c r="S19" s="27" t="n"/>
      <c r="T19" s="28">
        <f>IF(COUNTA(Q19,R19,S19)=0,"",Q19+R19+S19)</f>
        <v/>
      </c>
      <c r="U19" s="29" t="n"/>
      <c r="V19" s="29" t="n"/>
      <c r="W19" s="29" t="n"/>
      <c r="X19" s="30">
        <f>IF(COUNTA(U19,V19,W19)=0,"",U19+V19+W19)</f>
        <v/>
      </c>
      <c r="Y19" s="31" t="n"/>
      <c r="Z19" s="31" t="n"/>
      <c r="AA19" s="31" t="n"/>
      <c r="AB19" s="32">
        <f>IF(COUNTA(Y19,Z19,AA19)=0,"",Y19+Z19+AA19)</f>
        <v/>
      </c>
      <c r="AC19" s="33">
        <f>IF(COUNTA(H19,L19,P19,T19,X19,AB19)=0,"",H19+L19+P19+T19+X19+AB19)</f>
        <v/>
      </c>
      <c r="AD19" s="33">
        <f>IF(AC19="","",IF(AC19&gt;=85,"A",IF(AC19&gt;=75,"AB",IF(AC19&gt;=65,"B",IF(AC19&gt;=55,"BC",IF(AC19&gt;=45,"C",IF(AC19&gt;=35,"CD",IF(AC19&gt;=25,"D","E"))))))))</f>
        <v/>
      </c>
      <c r="AE19" s="37" t="inlineStr"/>
    </row>
    <row r="20" ht="18" customHeight="1">
      <c r="A20" s="19" t="n">
        <v>17</v>
      </c>
      <c r="B20" s="19" t="inlineStr">
        <is>
          <t>24060124120033</t>
        </is>
      </c>
      <c r="C20" s="20" t="inlineStr">
        <is>
          <t>Shalom Kurniawan</t>
        </is>
      </c>
      <c r="D20" s="19" t="n">
        <v>5</v>
      </c>
      <c r="E20" s="21" t="n"/>
      <c r="F20" s="21" t="n"/>
      <c r="G20" s="21" t="n"/>
      <c r="H20" s="22">
        <f>IF(COUNTA(E20,F20,G20)=0,"",E20+F20+G20)</f>
        <v/>
      </c>
      <c r="I20" s="23" t="n"/>
      <c r="J20" s="23" t="n"/>
      <c r="K20" s="23" t="n"/>
      <c r="L20" s="24">
        <f>IF(COUNTA(I20,J20,K20)=0,"",I20+J20+K20)</f>
        <v/>
      </c>
      <c r="M20" s="25" t="n"/>
      <c r="N20" s="25" t="n"/>
      <c r="O20" s="25" t="n"/>
      <c r="P20" s="26">
        <f>IF(COUNTA(M20,N20,O20)=0,"",M20+N20+O20)</f>
        <v/>
      </c>
      <c r="Q20" s="27" t="n"/>
      <c r="R20" s="27" t="n"/>
      <c r="S20" s="27" t="n"/>
      <c r="T20" s="28">
        <f>IF(COUNTA(Q20,R20,S20)=0,"",Q20+R20+S20)</f>
        <v/>
      </c>
      <c r="U20" s="29" t="n"/>
      <c r="V20" s="29" t="n"/>
      <c r="W20" s="29" t="n"/>
      <c r="X20" s="30">
        <f>IF(COUNTA(U20,V20,W20)=0,"",U20+V20+W20)</f>
        <v/>
      </c>
      <c r="Y20" s="31" t="n"/>
      <c r="Z20" s="31" t="n"/>
      <c r="AA20" s="31" t="n"/>
      <c r="AB20" s="32">
        <f>IF(COUNTA(Y20,Z20,AA20)=0,"",Y20+Z20+AA20)</f>
        <v/>
      </c>
      <c r="AC20" s="33">
        <f>IF(COUNTA(H20,L20,P20,T20,X20,AB20)=0,"",H20+L20+P20+T20+X20+AB20)</f>
        <v/>
      </c>
      <c r="AD20" s="33">
        <f>IF(AC20="","",IF(AC20&gt;=85,"A",IF(AC20&gt;=75,"AB",IF(AC20&gt;=65,"B",IF(AC20&gt;=55,"BC",IF(AC20&gt;=45,"C",IF(AC20&gt;=35,"CD",IF(AC20&gt;=25,"D","E"))))))))</f>
        <v/>
      </c>
      <c r="AE20" s="38" t="inlineStr">
        <is>
          <t>⚠ Laporan konseptual, konfirmasi 30 data</t>
        </is>
      </c>
    </row>
    <row r="21" ht="18" customHeight="1">
      <c r="A21" s="19" t="n">
        <v>18</v>
      </c>
      <c r="B21" s="19" t="inlineStr">
        <is>
          <t>24060124120009</t>
        </is>
      </c>
      <c r="C21" s="20" t="inlineStr">
        <is>
          <t>Arsy Thariq Munawar</t>
        </is>
      </c>
      <c r="D21" s="19" t="n">
        <v>5</v>
      </c>
      <c r="E21" s="21" t="n"/>
      <c r="F21" s="21" t="n"/>
      <c r="G21" s="21" t="n"/>
      <c r="H21" s="22">
        <f>IF(COUNTA(E21,F21,G21)=0,"",E21+F21+G21)</f>
        <v/>
      </c>
      <c r="I21" s="23" t="n"/>
      <c r="J21" s="23" t="n"/>
      <c r="K21" s="23" t="n"/>
      <c r="L21" s="24">
        <f>IF(COUNTA(I21,J21,K21)=0,"",I21+J21+K21)</f>
        <v/>
      </c>
      <c r="M21" s="25" t="n"/>
      <c r="N21" s="25" t="n"/>
      <c r="O21" s="25" t="n"/>
      <c r="P21" s="26">
        <f>IF(COUNTA(M21,N21,O21)=0,"",M21+N21+O21)</f>
        <v/>
      </c>
      <c r="Q21" s="27" t="n"/>
      <c r="R21" s="27" t="n"/>
      <c r="S21" s="27" t="n"/>
      <c r="T21" s="28">
        <f>IF(COUNTA(Q21,R21,S21)=0,"",Q21+R21+S21)</f>
        <v/>
      </c>
      <c r="U21" s="29" t="n"/>
      <c r="V21" s="29" t="n"/>
      <c r="W21" s="29" t="n"/>
      <c r="X21" s="30">
        <f>IF(COUNTA(U21,V21,W21)=0,"",U21+V21+W21)</f>
        <v/>
      </c>
      <c r="Y21" s="31" t="n"/>
      <c r="Z21" s="31" t="n"/>
      <c r="AA21" s="31" t="n"/>
      <c r="AB21" s="32">
        <f>IF(COUNTA(Y21,Z21,AA21)=0,"",Y21+Z21+AA21)</f>
        <v/>
      </c>
      <c r="AC21" s="33">
        <f>IF(COUNTA(H21,L21,P21,T21,X21,AB21)=0,"",H21+L21+P21+T21+X21+AB21)</f>
        <v/>
      </c>
      <c r="AD21" s="33">
        <f>IF(AC21="","",IF(AC21&gt;=85,"A",IF(AC21&gt;=75,"AB",IF(AC21&gt;=65,"B",IF(AC21&gt;=55,"BC",IF(AC21&gt;=45,"C",IF(AC21&gt;=35,"CD",IF(AC21&gt;=25,"D","E"))))))))</f>
        <v/>
      </c>
      <c r="AE21" s="34" t="inlineStr"/>
    </row>
    <row r="22" ht="18" customHeight="1">
      <c r="A22" s="19" t="n">
        <v>19</v>
      </c>
      <c r="B22" s="19" t="inlineStr">
        <is>
          <t>24060124120035</t>
        </is>
      </c>
      <c r="C22" s="20" t="inlineStr">
        <is>
          <t>Yuma Hazza Yuditama</t>
        </is>
      </c>
      <c r="D22" s="19" t="n">
        <v>5</v>
      </c>
      <c r="E22" s="21" t="n"/>
      <c r="F22" s="21" t="n"/>
      <c r="G22" s="21" t="n"/>
      <c r="H22" s="22">
        <f>IF(COUNTA(E22,F22,G22)=0,"",E22+F22+G22)</f>
        <v/>
      </c>
      <c r="I22" s="23" t="n"/>
      <c r="J22" s="23" t="n"/>
      <c r="K22" s="23" t="n"/>
      <c r="L22" s="24">
        <f>IF(COUNTA(I22,J22,K22)=0,"",I22+J22+K22)</f>
        <v/>
      </c>
      <c r="M22" s="25" t="n"/>
      <c r="N22" s="25" t="n"/>
      <c r="O22" s="25" t="n"/>
      <c r="P22" s="26">
        <f>IF(COUNTA(M22,N22,O22)=0,"",M22+N22+O22)</f>
        <v/>
      </c>
      <c r="Q22" s="27" t="n"/>
      <c r="R22" s="27" t="n"/>
      <c r="S22" s="27" t="n"/>
      <c r="T22" s="28">
        <f>IF(COUNTA(Q22,R22,S22)=0,"",Q22+R22+S22)</f>
        <v/>
      </c>
      <c r="U22" s="29" t="n"/>
      <c r="V22" s="29" t="n"/>
      <c r="W22" s="29" t="n"/>
      <c r="X22" s="30">
        <f>IF(COUNTA(U22,V22,W22)=0,"",U22+V22+W22)</f>
        <v/>
      </c>
      <c r="Y22" s="31" t="n"/>
      <c r="Z22" s="31" t="n"/>
      <c r="AA22" s="31" t="n"/>
      <c r="AB22" s="32">
        <f>IF(COUNTA(Y22,Z22,AA22)=0,"",Y22+Z22+AA22)</f>
        <v/>
      </c>
      <c r="AC22" s="33">
        <f>IF(COUNTA(H22,L22,P22,T22,X22,AB22)=0,"",H22+L22+P22+T22+X22+AB22)</f>
        <v/>
      </c>
      <c r="AD22" s="33">
        <f>IF(AC22="","",IF(AC22&gt;=85,"A",IF(AC22&gt;=75,"AB",IF(AC22&gt;=65,"B",IF(AC22&gt;=55,"BC",IF(AC22&gt;=45,"C",IF(AC22&gt;=35,"CD",IF(AC22&gt;=25,"D","E"))))))))</f>
        <v/>
      </c>
      <c r="AE22" s="34" t="inlineStr"/>
    </row>
    <row r="23" ht="18" customHeight="1">
      <c r="A23" s="35" t="n">
        <v>20</v>
      </c>
      <c r="B23" s="35" t="inlineStr">
        <is>
          <t>24060123140183</t>
        </is>
      </c>
      <c r="C23" s="36" t="inlineStr">
        <is>
          <t>Gaza Al Ghozali Chansa</t>
        </is>
      </c>
      <c r="D23" s="35" t="n">
        <v>6</v>
      </c>
      <c r="E23" s="21" t="n"/>
      <c r="F23" s="21" t="n"/>
      <c r="G23" s="21" t="n"/>
      <c r="H23" s="22">
        <f>IF(COUNTA(E23,F23,G23)=0,"",E23+F23+G23)</f>
        <v/>
      </c>
      <c r="I23" s="23" t="n"/>
      <c r="J23" s="23" t="n"/>
      <c r="K23" s="23" t="n"/>
      <c r="L23" s="24">
        <f>IF(COUNTA(I23,J23,K23)=0,"",I23+J23+K23)</f>
        <v/>
      </c>
      <c r="M23" s="25" t="n"/>
      <c r="N23" s="25" t="n"/>
      <c r="O23" s="25" t="n"/>
      <c r="P23" s="26">
        <f>IF(COUNTA(M23,N23,O23)=0,"",M23+N23+O23)</f>
        <v/>
      </c>
      <c r="Q23" s="27" t="n"/>
      <c r="R23" s="27" t="n"/>
      <c r="S23" s="27" t="n"/>
      <c r="T23" s="28">
        <f>IF(COUNTA(Q23,R23,S23)=0,"",Q23+R23+S23)</f>
        <v/>
      </c>
      <c r="U23" s="29" t="n"/>
      <c r="V23" s="29" t="n"/>
      <c r="W23" s="29" t="n"/>
      <c r="X23" s="30">
        <f>IF(COUNTA(U23,V23,W23)=0,"",U23+V23+W23)</f>
        <v/>
      </c>
      <c r="Y23" s="31" t="n"/>
      <c r="Z23" s="31" t="n"/>
      <c r="AA23" s="31" t="n"/>
      <c r="AB23" s="32">
        <f>IF(COUNTA(Y23,Z23,AA23)=0,"",Y23+Z23+AA23)</f>
        <v/>
      </c>
      <c r="AC23" s="33">
        <f>IF(COUNTA(H23,L23,P23,T23,X23,AB23)=0,"",H23+L23+P23+T23+X23+AB23)</f>
        <v/>
      </c>
      <c r="AD23" s="33">
        <f>IF(AC23="","",IF(AC23&gt;=85,"A",IF(AC23&gt;=75,"AB",IF(AC23&gt;=65,"B",IF(AC23&gt;=55,"BC",IF(AC23&gt;=45,"C",IF(AC23&gt;=35,"CD",IF(AC23&gt;=25,"D","E"))))))))</f>
        <v/>
      </c>
      <c r="AE23" s="37" t="inlineStr"/>
    </row>
    <row r="24" ht="18" customHeight="1">
      <c r="A24" s="35" t="n">
        <v>21</v>
      </c>
      <c r="B24" s="35" t="inlineStr">
        <is>
          <t>24060123140186</t>
        </is>
      </c>
      <c r="C24" s="36" t="inlineStr">
        <is>
          <t>Muhammad Farhan Al Ghifari</t>
        </is>
      </c>
      <c r="D24" s="35" t="n">
        <v>6</v>
      </c>
      <c r="E24" s="21" t="n"/>
      <c r="F24" s="21" t="n"/>
      <c r="G24" s="21" t="n"/>
      <c r="H24" s="22">
        <f>IF(COUNTA(E24,F24,G24)=0,"",E24+F24+G24)</f>
        <v/>
      </c>
      <c r="I24" s="23" t="n"/>
      <c r="J24" s="23" t="n"/>
      <c r="K24" s="23" t="n"/>
      <c r="L24" s="24">
        <f>IF(COUNTA(I24,J24,K24)=0,"",I24+J24+K24)</f>
        <v/>
      </c>
      <c r="M24" s="25" t="n"/>
      <c r="N24" s="25" t="n"/>
      <c r="O24" s="25" t="n"/>
      <c r="P24" s="26">
        <f>IF(COUNTA(M24,N24,O24)=0,"",M24+N24+O24)</f>
        <v/>
      </c>
      <c r="Q24" s="27" t="n"/>
      <c r="R24" s="27" t="n"/>
      <c r="S24" s="27" t="n"/>
      <c r="T24" s="28">
        <f>IF(COUNTA(Q24,R24,S24)=0,"",Q24+R24+S24)</f>
        <v/>
      </c>
      <c r="U24" s="29" t="n"/>
      <c r="V24" s="29" t="n"/>
      <c r="W24" s="29" t="n"/>
      <c r="X24" s="30">
        <f>IF(COUNTA(U24,V24,W24)=0,"",U24+V24+W24)</f>
        <v/>
      </c>
      <c r="Y24" s="31" t="n"/>
      <c r="Z24" s="31" t="n"/>
      <c r="AA24" s="31" t="n"/>
      <c r="AB24" s="32">
        <f>IF(COUNTA(Y24,Z24,AA24)=0,"",Y24+Z24+AA24)</f>
        <v/>
      </c>
      <c r="AC24" s="33">
        <f>IF(COUNTA(H24,L24,P24,T24,X24,AB24)=0,"",H24+L24+P24+T24+X24+AB24)</f>
        <v/>
      </c>
      <c r="AD24" s="33">
        <f>IF(AC24="","",IF(AC24&gt;=85,"A",IF(AC24&gt;=75,"AB",IF(AC24&gt;=65,"B",IF(AC24&gt;=55,"BC",IF(AC24&gt;=45,"C",IF(AC24&gt;=35,"CD",IF(AC24&gt;=25,"D","E"))))))))</f>
        <v/>
      </c>
      <c r="AE24" s="37" t="inlineStr"/>
    </row>
    <row r="25" ht="18" customHeight="1">
      <c r="A25" s="35" t="n">
        <v>22</v>
      </c>
      <c r="B25" s="35" t="inlineStr">
        <is>
          <t>24060123110046</t>
        </is>
      </c>
      <c r="C25" s="36" t="inlineStr">
        <is>
          <t>Adriano Bawan</t>
        </is>
      </c>
      <c r="D25" s="35" t="n">
        <v>6</v>
      </c>
      <c r="E25" s="21" t="n"/>
      <c r="F25" s="21" t="n"/>
      <c r="G25" s="21" t="n"/>
      <c r="H25" s="22">
        <f>IF(COUNTA(E25,F25,G25)=0,"",E25+F25+G25)</f>
        <v/>
      </c>
      <c r="I25" s="23" t="n"/>
      <c r="J25" s="23" t="n"/>
      <c r="K25" s="23" t="n"/>
      <c r="L25" s="24">
        <f>IF(COUNTA(I25,J25,K25)=0,"",I25+J25+K25)</f>
        <v/>
      </c>
      <c r="M25" s="25" t="n"/>
      <c r="N25" s="25" t="n"/>
      <c r="O25" s="25" t="n"/>
      <c r="P25" s="26">
        <f>IF(COUNTA(M25,N25,O25)=0,"",M25+N25+O25)</f>
        <v/>
      </c>
      <c r="Q25" s="27" t="n"/>
      <c r="R25" s="27" t="n"/>
      <c r="S25" s="27" t="n"/>
      <c r="T25" s="28">
        <f>IF(COUNTA(Q25,R25,S25)=0,"",Q25+R25+S25)</f>
        <v/>
      </c>
      <c r="U25" s="29" t="n"/>
      <c r="V25" s="29" t="n"/>
      <c r="W25" s="29" t="n"/>
      <c r="X25" s="30">
        <f>IF(COUNTA(U25,V25,W25)=0,"",U25+V25+W25)</f>
        <v/>
      </c>
      <c r="Y25" s="31" t="n"/>
      <c r="Z25" s="31" t="n"/>
      <c r="AA25" s="31" t="n"/>
      <c r="AB25" s="32">
        <f>IF(COUNTA(Y25,Z25,AA25)=0,"",Y25+Z25+AA25)</f>
        <v/>
      </c>
      <c r="AC25" s="33">
        <f>IF(COUNTA(H25,L25,P25,T25,X25,AB25)=0,"",H25+L25+P25+T25+X25+AB25)</f>
        <v/>
      </c>
      <c r="AD25" s="33">
        <f>IF(AC25="","",IF(AC25&gt;=85,"A",IF(AC25&gt;=75,"AB",IF(AC25&gt;=65,"B",IF(AC25&gt;=55,"BC",IF(AC25&gt;=45,"C",IF(AC25&gt;=35,"CD",IF(AC25&gt;=25,"D","E"))))))))</f>
        <v/>
      </c>
      <c r="AE25" s="37" t="inlineStr"/>
    </row>
    <row r="26" ht="18" customHeight="1">
      <c r="A26" s="35" t="n">
        <v>23</v>
      </c>
      <c r="B26" s="35" t="inlineStr">
        <is>
          <t>24060123130107</t>
        </is>
      </c>
      <c r="C26" s="36" t="inlineStr">
        <is>
          <t>Muhammad Renno Baihaqi</t>
        </is>
      </c>
      <c r="D26" s="35" t="n">
        <v>6</v>
      </c>
      <c r="E26" s="21" t="n"/>
      <c r="F26" s="21" t="n"/>
      <c r="G26" s="21" t="n"/>
      <c r="H26" s="22">
        <f>IF(COUNTA(E26,F26,G26)=0,"",E26+F26+G26)</f>
        <v/>
      </c>
      <c r="I26" s="23" t="n"/>
      <c r="J26" s="23" t="n"/>
      <c r="K26" s="23" t="n"/>
      <c r="L26" s="24">
        <f>IF(COUNTA(I26,J26,K26)=0,"",I26+J26+K26)</f>
        <v/>
      </c>
      <c r="M26" s="25" t="n"/>
      <c r="N26" s="25" t="n"/>
      <c r="O26" s="25" t="n"/>
      <c r="P26" s="26">
        <f>IF(COUNTA(M26,N26,O26)=0,"",M26+N26+O26)</f>
        <v/>
      </c>
      <c r="Q26" s="27" t="n"/>
      <c r="R26" s="27" t="n"/>
      <c r="S26" s="27" t="n"/>
      <c r="T26" s="28">
        <f>IF(COUNTA(Q26,R26,S26)=0,"",Q26+R26+S26)</f>
        <v/>
      </c>
      <c r="U26" s="29" t="n"/>
      <c r="V26" s="29" t="n"/>
      <c r="W26" s="29" t="n"/>
      <c r="X26" s="30">
        <f>IF(COUNTA(U26,V26,W26)=0,"",U26+V26+W26)</f>
        <v/>
      </c>
      <c r="Y26" s="31" t="n"/>
      <c r="Z26" s="31" t="n"/>
      <c r="AA26" s="31" t="n"/>
      <c r="AB26" s="32">
        <f>IF(COUNTA(Y26,Z26,AA26)=0,"",Y26+Z26+AA26)</f>
        <v/>
      </c>
      <c r="AC26" s="33">
        <f>IF(COUNTA(H26,L26,P26,T26,X26,AB26)=0,"",H26+L26+P26+T26+X26+AB26)</f>
        <v/>
      </c>
      <c r="AD26" s="33">
        <f>IF(AC26="","",IF(AC26&gt;=85,"A",IF(AC26&gt;=75,"AB",IF(AC26&gt;=65,"B",IF(AC26&gt;=55,"BC",IF(AC26&gt;=45,"C",IF(AC26&gt;=35,"CD",IF(AC26&gt;=25,"D","E"))))))))</f>
        <v/>
      </c>
      <c r="AE26" s="37" t="inlineStr"/>
    </row>
    <row r="27" ht="18" customHeight="1">
      <c r="A27" s="19" t="n">
        <v>24</v>
      </c>
      <c r="B27" s="19" t="inlineStr">
        <is>
          <t>24060123120033</t>
        </is>
      </c>
      <c r="C27" s="20" t="inlineStr">
        <is>
          <t>Cacania Pasu Nalaung Siregar</t>
        </is>
      </c>
      <c r="D27" s="19" t="n">
        <v>7</v>
      </c>
      <c r="E27" s="21" t="n"/>
      <c r="F27" s="21" t="n"/>
      <c r="G27" s="21" t="n"/>
      <c r="H27" s="22">
        <f>IF(COUNTA(E27,F27,G27)=0,"",E27+F27+G27)</f>
        <v/>
      </c>
      <c r="I27" s="23" t="n"/>
      <c r="J27" s="23" t="n"/>
      <c r="K27" s="23" t="n"/>
      <c r="L27" s="24">
        <f>IF(COUNTA(I27,J27,K27)=0,"",I27+J27+K27)</f>
        <v/>
      </c>
      <c r="M27" s="25" t="n"/>
      <c r="N27" s="25" t="n"/>
      <c r="O27" s="25" t="n"/>
      <c r="P27" s="26">
        <f>IF(COUNTA(M27,N27,O27)=0,"",M27+N27+O27)</f>
        <v/>
      </c>
      <c r="Q27" s="27" t="n"/>
      <c r="R27" s="27" t="n"/>
      <c r="S27" s="27" t="n"/>
      <c r="T27" s="28">
        <f>IF(COUNTA(Q27,R27,S27)=0,"",Q27+R27+S27)</f>
        <v/>
      </c>
      <c r="U27" s="29" t="n"/>
      <c r="V27" s="29" t="n"/>
      <c r="W27" s="29" t="n"/>
      <c r="X27" s="30">
        <f>IF(COUNTA(U27,V27,W27)=0,"",U27+V27+W27)</f>
        <v/>
      </c>
      <c r="Y27" s="31" t="n"/>
      <c r="Z27" s="31" t="n"/>
      <c r="AA27" s="31" t="n"/>
      <c r="AB27" s="32">
        <f>IF(COUNTA(Y27,Z27,AA27)=0,"",Y27+Z27+AA27)</f>
        <v/>
      </c>
      <c r="AC27" s="33">
        <f>IF(COUNTA(H27,L27,P27,T27,X27,AB27)=0,"",H27+L27+P27+T27+X27+AB27)</f>
        <v/>
      </c>
      <c r="AD27" s="33">
        <f>IF(AC27="","",IF(AC27&gt;=85,"A",IF(AC27&gt;=75,"AB",IF(AC27&gt;=65,"B",IF(AC27&gt;=55,"BC",IF(AC27&gt;=45,"C",IF(AC27&gt;=35,"CD",IF(AC27&gt;=25,"D","E"))))))))</f>
        <v/>
      </c>
      <c r="AE27" s="34" t="inlineStr"/>
    </row>
    <row r="28" ht="18" customHeight="1">
      <c r="A28" s="19" t="n">
        <v>25</v>
      </c>
      <c r="B28" s="19" t="inlineStr">
        <is>
          <t>24060123140163</t>
        </is>
      </c>
      <c r="C28" s="20" t="inlineStr">
        <is>
          <t>Nasywa Alya Kamila</t>
        </is>
      </c>
      <c r="D28" s="19" t="n">
        <v>7</v>
      </c>
      <c r="E28" s="21" t="n"/>
      <c r="F28" s="21" t="n"/>
      <c r="G28" s="21" t="n"/>
      <c r="H28" s="22">
        <f>IF(COUNTA(E28,F28,G28)=0,"",E28+F28+G28)</f>
        <v/>
      </c>
      <c r="I28" s="23" t="n"/>
      <c r="J28" s="23" t="n"/>
      <c r="K28" s="23" t="n"/>
      <c r="L28" s="24">
        <f>IF(COUNTA(I28,J28,K28)=0,"",I28+J28+K28)</f>
        <v/>
      </c>
      <c r="M28" s="25" t="n"/>
      <c r="N28" s="25" t="n"/>
      <c r="O28" s="25" t="n"/>
      <c r="P28" s="26">
        <f>IF(COUNTA(M28,N28,O28)=0,"",M28+N28+O28)</f>
        <v/>
      </c>
      <c r="Q28" s="27" t="n"/>
      <c r="R28" s="27" t="n"/>
      <c r="S28" s="27" t="n"/>
      <c r="T28" s="28">
        <f>IF(COUNTA(Q28,R28,S28)=0,"",Q28+R28+S28)</f>
        <v/>
      </c>
      <c r="U28" s="29" t="n"/>
      <c r="V28" s="29" t="n"/>
      <c r="W28" s="29" t="n"/>
      <c r="X28" s="30">
        <f>IF(COUNTA(U28,V28,W28)=0,"",U28+V28+W28)</f>
        <v/>
      </c>
      <c r="Y28" s="31" t="n"/>
      <c r="Z28" s="31" t="n"/>
      <c r="AA28" s="31" t="n"/>
      <c r="AB28" s="32">
        <f>IF(COUNTA(Y28,Z28,AA28)=0,"",Y28+Z28+AA28)</f>
        <v/>
      </c>
      <c r="AC28" s="33">
        <f>IF(COUNTA(H28,L28,P28,T28,X28,AB28)=0,"",H28+L28+P28+T28+X28+AB28)</f>
        <v/>
      </c>
      <c r="AD28" s="33">
        <f>IF(AC28="","",IF(AC28&gt;=85,"A",IF(AC28&gt;=75,"AB",IF(AC28&gt;=65,"B",IF(AC28&gt;=55,"BC",IF(AC28&gt;=45,"C",IF(AC28&gt;=35,"CD",IF(AC28&gt;=25,"D","E"))))))))</f>
        <v/>
      </c>
      <c r="AE28" s="34" t="inlineStr"/>
    </row>
    <row r="29" ht="18" customHeight="1">
      <c r="A29" s="19" t="n">
        <v>26</v>
      </c>
      <c r="B29" s="19" t="inlineStr">
        <is>
          <t>24060123140142</t>
        </is>
      </c>
      <c r="C29" s="20" t="inlineStr">
        <is>
          <t>Parisya Lituhayu Chandrawati Gunawarman</t>
        </is>
      </c>
      <c r="D29" s="19" t="n">
        <v>7</v>
      </c>
      <c r="E29" s="21" t="n"/>
      <c r="F29" s="21" t="n"/>
      <c r="G29" s="21" t="n"/>
      <c r="H29" s="22">
        <f>IF(COUNTA(E29,F29,G29)=0,"",E29+F29+G29)</f>
        <v/>
      </c>
      <c r="I29" s="23" t="n"/>
      <c r="J29" s="23" t="n"/>
      <c r="K29" s="23" t="n"/>
      <c r="L29" s="24">
        <f>IF(COUNTA(I29,J29,K29)=0,"",I29+J29+K29)</f>
        <v/>
      </c>
      <c r="M29" s="25" t="n"/>
      <c r="N29" s="25" t="n"/>
      <c r="O29" s="25" t="n"/>
      <c r="P29" s="26">
        <f>IF(COUNTA(M29,N29,O29)=0,"",M29+N29+O29)</f>
        <v/>
      </c>
      <c r="Q29" s="27" t="n"/>
      <c r="R29" s="27" t="n"/>
      <c r="S29" s="27" t="n"/>
      <c r="T29" s="28">
        <f>IF(COUNTA(Q29,R29,S29)=0,"",Q29+R29+S29)</f>
        <v/>
      </c>
      <c r="U29" s="29" t="n"/>
      <c r="V29" s="29" t="n"/>
      <c r="W29" s="29" t="n"/>
      <c r="X29" s="30">
        <f>IF(COUNTA(U29,V29,W29)=0,"",U29+V29+W29)</f>
        <v/>
      </c>
      <c r="Y29" s="31" t="n"/>
      <c r="Z29" s="31" t="n"/>
      <c r="AA29" s="31" t="n"/>
      <c r="AB29" s="32">
        <f>IF(COUNTA(Y29,Z29,AA29)=0,"",Y29+Z29+AA29)</f>
        <v/>
      </c>
      <c r="AC29" s="33">
        <f>IF(COUNTA(H29,L29,P29,T29,X29,AB29)=0,"",H29+L29+P29+T29+X29+AB29)</f>
        <v/>
      </c>
      <c r="AD29" s="33">
        <f>IF(AC29="","",IF(AC29&gt;=85,"A",IF(AC29&gt;=75,"AB",IF(AC29&gt;=65,"B",IF(AC29&gt;=55,"BC",IF(AC29&gt;=45,"C",IF(AC29&gt;=35,"CD",IF(AC29&gt;=25,"D","E"))))))))</f>
        <v/>
      </c>
      <c r="AE29" s="34" t="inlineStr"/>
    </row>
    <row r="30" ht="18" customHeight="1">
      <c r="A30" s="35" t="n">
        <v>27</v>
      </c>
      <c r="B30" s="35" t="inlineStr">
        <is>
          <t>24060124140148</t>
        </is>
      </c>
      <c r="C30" s="36" t="inlineStr">
        <is>
          <t>Muhammad Alfaiq Rido Salafy</t>
        </is>
      </c>
      <c r="D30" s="35" t="n">
        <v>8</v>
      </c>
      <c r="E30" s="21" t="n"/>
      <c r="F30" s="21" t="n"/>
      <c r="G30" s="21" t="n"/>
      <c r="H30" s="22">
        <f>IF(COUNTA(E30,F30,G30)=0,"",E30+F30+G30)</f>
        <v/>
      </c>
      <c r="I30" s="23" t="n"/>
      <c r="J30" s="23" t="n"/>
      <c r="K30" s="23" t="n"/>
      <c r="L30" s="24">
        <f>IF(COUNTA(I30,J30,K30)=0,"",I30+J30+K30)</f>
        <v/>
      </c>
      <c r="M30" s="25" t="n"/>
      <c r="N30" s="25" t="n"/>
      <c r="O30" s="25" t="n"/>
      <c r="P30" s="26">
        <f>IF(COUNTA(M30,N30,O30)=0,"",M30+N30+O30)</f>
        <v/>
      </c>
      <c r="Q30" s="27" t="n"/>
      <c r="R30" s="27" t="n"/>
      <c r="S30" s="27" t="n"/>
      <c r="T30" s="28">
        <f>IF(COUNTA(Q30,R30,S30)=0,"",Q30+R30+S30)</f>
        <v/>
      </c>
      <c r="U30" s="29" t="n"/>
      <c r="V30" s="29" t="n"/>
      <c r="W30" s="29" t="n"/>
      <c r="X30" s="30">
        <f>IF(COUNTA(U30,V30,W30)=0,"",U30+V30+W30)</f>
        <v/>
      </c>
      <c r="Y30" s="31" t="n"/>
      <c r="Z30" s="31" t="n"/>
      <c r="AA30" s="31" t="n"/>
      <c r="AB30" s="32">
        <f>IF(COUNTA(Y30,Z30,AA30)=0,"",Y30+Z30+AA30)</f>
        <v/>
      </c>
      <c r="AC30" s="33">
        <f>IF(COUNTA(H30,L30,P30,T30,X30,AB30)=0,"",H30+L30+P30+T30+X30+AB30)</f>
        <v/>
      </c>
      <c r="AD30" s="33">
        <f>IF(AC30="","",IF(AC30&gt;=85,"A",IF(AC30&gt;=75,"AB",IF(AC30&gt;=65,"B",IF(AC30&gt;=55,"BC",IF(AC30&gt;=45,"C",IF(AC30&gt;=35,"CD",IF(AC30&gt;=25,"D","E"))))))))</f>
        <v/>
      </c>
      <c r="AE30" s="37" t="inlineStr"/>
    </row>
    <row r="31" ht="18" customHeight="1">
      <c r="A31" s="35" t="n">
        <v>28</v>
      </c>
      <c r="B31" s="35" t="inlineStr">
        <is>
          <t>24060124140203</t>
        </is>
      </c>
      <c r="C31" s="36" t="inlineStr">
        <is>
          <t>Mohammad Najib Fitrianto</t>
        </is>
      </c>
      <c r="D31" s="35" t="n">
        <v>8</v>
      </c>
      <c r="E31" s="21" t="n"/>
      <c r="F31" s="21" t="n"/>
      <c r="G31" s="21" t="n"/>
      <c r="H31" s="22">
        <f>IF(COUNTA(E31,F31,G31)=0,"",E31+F31+G31)</f>
        <v/>
      </c>
      <c r="I31" s="23" t="n"/>
      <c r="J31" s="23" t="n"/>
      <c r="K31" s="23" t="n"/>
      <c r="L31" s="24">
        <f>IF(COUNTA(I31,J31,K31)=0,"",I31+J31+K31)</f>
        <v/>
      </c>
      <c r="M31" s="25" t="n"/>
      <c r="N31" s="25" t="n"/>
      <c r="O31" s="25" t="n"/>
      <c r="P31" s="26">
        <f>IF(COUNTA(M31,N31,O31)=0,"",M31+N31+O31)</f>
        <v/>
      </c>
      <c r="Q31" s="27" t="n"/>
      <c r="R31" s="27" t="n"/>
      <c r="S31" s="27" t="n"/>
      <c r="T31" s="28">
        <f>IF(COUNTA(Q31,R31,S31)=0,"",Q31+R31+S31)</f>
        <v/>
      </c>
      <c r="U31" s="29" t="n"/>
      <c r="V31" s="29" t="n"/>
      <c r="W31" s="29" t="n"/>
      <c r="X31" s="30">
        <f>IF(COUNTA(U31,V31,W31)=0,"",U31+V31+W31)</f>
        <v/>
      </c>
      <c r="Y31" s="31" t="n"/>
      <c r="Z31" s="31" t="n"/>
      <c r="AA31" s="31" t="n"/>
      <c r="AB31" s="32">
        <f>IF(COUNTA(Y31,Z31,AA31)=0,"",Y31+Z31+AA31)</f>
        <v/>
      </c>
      <c r="AC31" s="33">
        <f>IF(COUNTA(H31,L31,P31,T31,X31,AB31)=0,"",H31+L31+P31+T31+X31+AB31)</f>
        <v/>
      </c>
      <c r="AD31" s="33">
        <f>IF(AC31="","",IF(AC31&gt;=85,"A",IF(AC31&gt;=75,"AB",IF(AC31&gt;=65,"B",IF(AC31&gt;=55,"BC",IF(AC31&gt;=45,"C",IF(AC31&gt;=35,"CD",IF(AC31&gt;=25,"D","E"))))))))</f>
        <v/>
      </c>
      <c r="AE31" s="37" t="inlineStr"/>
    </row>
    <row r="32" ht="18" customHeight="1">
      <c r="A32" s="35" t="n">
        <v>29</v>
      </c>
      <c r="B32" s="35" t="inlineStr">
        <is>
          <t>24060123120012</t>
        </is>
      </c>
      <c r="C32" s="36" t="inlineStr">
        <is>
          <t>Syafiq Abiyyu Taqi</t>
        </is>
      </c>
      <c r="D32" s="35" t="n">
        <v>8</v>
      </c>
      <c r="E32" s="21" t="n"/>
      <c r="F32" s="21" t="n"/>
      <c r="G32" s="21" t="n"/>
      <c r="H32" s="22">
        <f>IF(COUNTA(E32,F32,G32)=0,"",E32+F32+G32)</f>
        <v/>
      </c>
      <c r="I32" s="23" t="n"/>
      <c r="J32" s="23" t="n"/>
      <c r="K32" s="23" t="n"/>
      <c r="L32" s="24">
        <f>IF(COUNTA(I32,J32,K32)=0,"",I32+J32+K32)</f>
        <v/>
      </c>
      <c r="M32" s="25" t="n"/>
      <c r="N32" s="25" t="n"/>
      <c r="O32" s="25" t="n"/>
      <c r="P32" s="26">
        <f>IF(COUNTA(M32,N32,O32)=0,"",M32+N32+O32)</f>
        <v/>
      </c>
      <c r="Q32" s="27" t="n"/>
      <c r="R32" s="27" t="n"/>
      <c r="S32" s="27" t="n"/>
      <c r="T32" s="28">
        <f>IF(COUNTA(Q32,R32,S32)=0,"",Q32+R32+S32)</f>
        <v/>
      </c>
      <c r="U32" s="29" t="n"/>
      <c r="V32" s="29" t="n"/>
      <c r="W32" s="29" t="n"/>
      <c r="X32" s="30">
        <f>IF(COUNTA(U32,V32,W32)=0,"",U32+V32+W32)</f>
        <v/>
      </c>
      <c r="Y32" s="31" t="n"/>
      <c r="Z32" s="31" t="n"/>
      <c r="AA32" s="31" t="n"/>
      <c r="AB32" s="32">
        <f>IF(COUNTA(Y32,Z32,AA32)=0,"",Y32+Z32+AA32)</f>
        <v/>
      </c>
      <c r="AC32" s="33">
        <f>IF(COUNTA(H32,L32,P32,T32,X32,AB32)=0,"",H32+L32+P32+T32+X32+AB32)</f>
        <v/>
      </c>
      <c r="AD32" s="33">
        <f>IF(AC32="","",IF(AC32&gt;=85,"A",IF(AC32&gt;=75,"AB",IF(AC32&gt;=65,"B",IF(AC32&gt;=55,"BC",IF(AC32&gt;=45,"C",IF(AC32&gt;=35,"CD",IF(AC32&gt;=25,"D","E"))))))))</f>
        <v/>
      </c>
      <c r="AE32" s="37" t="inlineStr"/>
    </row>
    <row r="33" ht="18" customHeight="1">
      <c r="A33" s="19" t="n">
        <v>30</v>
      </c>
      <c r="B33" s="19" t="inlineStr">
        <is>
          <t>24060124130069</t>
        </is>
      </c>
      <c r="C33" s="20" t="inlineStr">
        <is>
          <t>Muhammad Fikri</t>
        </is>
      </c>
      <c r="D33" s="19" t="n">
        <v>9</v>
      </c>
      <c r="E33" s="21" t="n"/>
      <c r="F33" s="21" t="n"/>
      <c r="G33" s="21" t="n"/>
      <c r="H33" s="22">
        <f>IF(COUNTA(E33,F33,G33)=0,"",E33+F33+G33)</f>
        <v/>
      </c>
      <c r="I33" s="23" t="n"/>
      <c r="J33" s="23" t="n"/>
      <c r="K33" s="23" t="n"/>
      <c r="L33" s="24">
        <f>IF(COUNTA(I33,J33,K33)=0,"",I33+J33+K33)</f>
        <v/>
      </c>
      <c r="M33" s="25" t="n"/>
      <c r="N33" s="25" t="n"/>
      <c r="O33" s="25" t="n"/>
      <c r="P33" s="26">
        <f>IF(COUNTA(M33,N33,O33)=0,"",M33+N33+O33)</f>
        <v/>
      </c>
      <c r="Q33" s="27" t="n"/>
      <c r="R33" s="27" t="n"/>
      <c r="S33" s="27" t="n"/>
      <c r="T33" s="28">
        <f>IF(COUNTA(Q33,R33,S33)=0,"",Q33+R33+S33)</f>
        <v/>
      </c>
      <c r="U33" s="29" t="n"/>
      <c r="V33" s="29" t="n"/>
      <c r="W33" s="29" t="n"/>
      <c r="X33" s="30">
        <f>IF(COUNTA(U33,V33,W33)=0,"",U33+V33+W33)</f>
        <v/>
      </c>
      <c r="Y33" s="31" t="n"/>
      <c r="Z33" s="31" t="n"/>
      <c r="AA33" s="31" t="n"/>
      <c r="AB33" s="32">
        <f>IF(COUNTA(Y33,Z33,AA33)=0,"",Y33+Z33+AA33)</f>
        <v/>
      </c>
      <c r="AC33" s="33">
        <f>IF(COUNTA(H33,L33,P33,T33,X33,AB33)=0,"",H33+L33+P33+T33+X33+AB33)</f>
        <v/>
      </c>
      <c r="AD33" s="33">
        <f>IF(AC33="","",IF(AC33&gt;=85,"A",IF(AC33&gt;=75,"AB",IF(AC33&gt;=65,"B",IF(AC33&gt;=55,"BC",IF(AC33&gt;=45,"C",IF(AC33&gt;=35,"CD",IF(AC33&gt;=25,"D","E"))))))))</f>
        <v/>
      </c>
      <c r="AE33" s="34" t="inlineStr"/>
    </row>
    <row r="34" ht="18" customHeight="1">
      <c r="A34" s="19" t="n">
        <v>31</v>
      </c>
      <c r="B34" s="19" t="inlineStr">
        <is>
          <t>24060124120011</t>
        </is>
      </c>
      <c r="C34" s="20" t="inlineStr">
        <is>
          <t>Khanza Qaila</t>
        </is>
      </c>
      <c r="D34" s="19" t="n">
        <v>9</v>
      </c>
      <c r="E34" s="21" t="n"/>
      <c r="F34" s="21" t="n"/>
      <c r="G34" s="21" t="n"/>
      <c r="H34" s="22">
        <f>IF(COUNTA(E34,F34,G34)=0,"",E34+F34+G34)</f>
        <v/>
      </c>
      <c r="I34" s="23" t="n"/>
      <c r="J34" s="23" t="n"/>
      <c r="K34" s="23" t="n"/>
      <c r="L34" s="24">
        <f>IF(COUNTA(I34,J34,K34)=0,"",I34+J34+K34)</f>
        <v/>
      </c>
      <c r="M34" s="25" t="n"/>
      <c r="N34" s="25" t="n"/>
      <c r="O34" s="25" t="n"/>
      <c r="P34" s="26">
        <f>IF(COUNTA(M34,N34,O34)=0,"",M34+N34+O34)</f>
        <v/>
      </c>
      <c r="Q34" s="27" t="n"/>
      <c r="R34" s="27" t="n"/>
      <c r="S34" s="27" t="n"/>
      <c r="T34" s="28">
        <f>IF(COUNTA(Q34,R34,S34)=0,"",Q34+R34+S34)</f>
        <v/>
      </c>
      <c r="U34" s="29" t="n"/>
      <c r="V34" s="29" t="n"/>
      <c r="W34" s="29" t="n"/>
      <c r="X34" s="30">
        <f>IF(COUNTA(U34,V34,W34)=0,"",U34+V34+W34)</f>
        <v/>
      </c>
      <c r="Y34" s="31" t="n"/>
      <c r="Z34" s="31" t="n"/>
      <c r="AA34" s="31" t="n"/>
      <c r="AB34" s="32">
        <f>IF(COUNTA(Y34,Z34,AA34)=0,"",Y34+Z34+AA34)</f>
        <v/>
      </c>
      <c r="AC34" s="33">
        <f>IF(COUNTA(H34,L34,P34,T34,X34,AB34)=0,"",H34+L34+P34+T34+X34+AB34)</f>
        <v/>
      </c>
      <c r="AD34" s="33">
        <f>IF(AC34="","",IF(AC34&gt;=85,"A",IF(AC34&gt;=75,"AB",IF(AC34&gt;=65,"B",IF(AC34&gt;=55,"BC",IF(AC34&gt;=45,"C",IF(AC34&gt;=35,"CD",IF(AC34&gt;=25,"D","E"))))))))</f>
        <v/>
      </c>
      <c r="AE34" s="34" t="inlineStr"/>
    </row>
    <row r="35" ht="18" customHeight="1">
      <c r="A35" s="19" t="n">
        <v>32</v>
      </c>
      <c r="B35" s="19" t="inlineStr">
        <is>
          <t>24060124140158</t>
        </is>
      </c>
      <c r="C35" s="20" t="inlineStr">
        <is>
          <t>Nayla Husna</t>
        </is>
      </c>
      <c r="D35" s="19" t="n">
        <v>9</v>
      </c>
      <c r="E35" s="21" t="n"/>
      <c r="F35" s="21" t="n"/>
      <c r="G35" s="21" t="n"/>
      <c r="H35" s="22">
        <f>IF(COUNTA(E35,F35,G35)=0,"",E35+F35+G35)</f>
        <v/>
      </c>
      <c r="I35" s="23" t="n"/>
      <c r="J35" s="23" t="n"/>
      <c r="K35" s="23" t="n"/>
      <c r="L35" s="24">
        <f>IF(COUNTA(I35,J35,K35)=0,"",I35+J35+K35)</f>
        <v/>
      </c>
      <c r="M35" s="25" t="n"/>
      <c r="N35" s="25" t="n"/>
      <c r="O35" s="25" t="n"/>
      <c r="P35" s="26">
        <f>IF(COUNTA(M35,N35,O35)=0,"",M35+N35+O35)</f>
        <v/>
      </c>
      <c r="Q35" s="27" t="n"/>
      <c r="R35" s="27" t="n"/>
      <c r="S35" s="27" t="n"/>
      <c r="T35" s="28">
        <f>IF(COUNTA(Q35,R35,S35)=0,"",Q35+R35+S35)</f>
        <v/>
      </c>
      <c r="U35" s="29" t="n"/>
      <c r="V35" s="29" t="n"/>
      <c r="W35" s="29" t="n"/>
      <c r="X35" s="30">
        <f>IF(COUNTA(U35,V35,W35)=0,"",U35+V35+W35)</f>
        <v/>
      </c>
      <c r="Y35" s="31" t="n"/>
      <c r="Z35" s="31" t="n"/>
      <c r="AA35" s="31" t="n"/>
      <c r="AB35" s="32">
        <f>IF(COUNTA(Y35,Z35,AA35)=0,"",Y35+Z35+AA35)</f>
        <v/>
      </c>
      <c r="AC35" s="33">
        <f>IF(COUNTA(H35,L35,P35,T35,X35,AB35)=0,"",H35+L35+P35+T35+X35+AB35)</f>
        <v/>
      </c>
      <c r="AD35" s="33">
        <f>IF(AC35="","",IF(AC35&gt;=85,"A",IF(AC35&gt;=75,"AB",IF(AC35&gt;=65,"B",IF(AC35&gt;=55,"BC",IF(AC35&gt;=45,"C",IF(AC35&gt;=35,"CD",IF(AC35&gt;=25,"D","E"))))))))</f>
        <v/>
      </c>
      <c r="AE35" s="34" t="inlineStr"/>
    </row>
    <row r="36" ht="18" customHeight="1">
      <c r="A36" s="35" t="n">
        <v>33</v>
      </c>
      <c r="B36" s="35" t="inlineStr">
        <is>
          <t>24060124140147</t>
        </is>
      </c>
      <c r="C36" s="36" t="inlineStr">
        <is>
          <t>Ammar Rozan Rusyaidan</t>
        </is>
      </c>
      <c r="D36" s="35" t="n">
        <v>10</v>
      </c>
      <c r="E36" s="21" t="n"/>
      <c r="F36" s="21" t="n"/>
      <c r="G36" s="21" t="n"/>
      <c r="H36" s="22">
        <f>IF(COUNTA(E36,F36,G36)=0,"",E36+F36+G36)</f>
        <v/>
      </c>
      <c r="I36" s="23" t="n"/>
      <c r="J36" s="23" t="n"/>
      <c r="K36" s="23" t="n"/>
      <c r="L36" s="24">
        <f>IF(COUNTA(I36,J36,K36)=0,"",I36+J36+K36)</f>
        <v/>
      </c>
      <c r="M36" s="25" t="n"/>
      <c r="N36" s="25" t="n"/>
      <c r="O36" s="25" t="n"/>
      <c r="P36" s="26">
        <f>IF(COUNTA(M36,N36,O36)=0,"",M36+N36+O36)</f>
        <v/>
      </c>
      <c r="Q36" s="27" t="n"/>
      <c r="R36" s="27" t="n"/>
      <c r="S36" s="27" t="n"/>
      <c r="T36" s="28">
        <f>IF(COUNTA(Q36,R36,S36)=0,"",Q36+R36+S36)</f>
        <v/>
      </c>
      <c r="U36" s="29" t="n"/>
      <c r="V36" s="29" t="n"/>
      <c r="W36" s="29" t="n"/>
      <c r="X36" s="30">
        <f>IF(COUNTA(U36,V36,W36)=0,"",U36+V36+W36)</f>
        <v/>
      </c>
      <c r="Y36" s="31" t="n"/>
      <c r="Z36" s="31" t="n"/>
      <c r="AA36" s="31" t="n"/>
      <c r="AB36" s="32">
        <f>IF(COUNTA(Y36,Z36,AA36)=0,"",Y36+Z36+AA36)</f>
        <v/>
      </c>
      <c r="AC36" s="33">
        <f>IF(COUNTA(H36,L36,P36,T36,X36,AB36)=0,"",H36+L36+P36+T36+X36+AB36)</f>
        <v/>
      </c>
      <c r="AD36" s="33">
        <f>IF(AC36="","",IF(AC36&gt;=85,"A",IF(AC36&gt;=75,"AB",IF(AC36&gt;=65,"B",IF(AC36&gt;=55,"BC",IF(AC36&gt;=45,"C",IF(AC36&gt;=35,"CD",IF(AC36&gt;=25,"D","E"))))))))</f>
        <v/>
      </c>
      <c r="AE36" s="37" t="inlineStr"/>
    </row>
    <row r="37" ht="18" customHeight="1">
      <c r="A37" s="35" t="n">
        <v>34</v>
      </c>
      <c r="B37" s="35" t="inlineStr">
        <is>
          <t>24060124130089</t>
        </is>
      </c>
      <c r="C37" s="36" t="inlineStr">
        <is>
          <t>Arya Naufal Akmal</t>
        </is>
      </c>
      <c r="D37" s="35" t="n">
        <v>10</v>
      </c>
      <c r="E37" s="21" t="n"/>
      <c r="F37" s="21" t="n"/>
      <c r="G37" s="21" t="n"/>
      <c r="H37" s="22">
        <f>IF(COUNTA(E37,F37,G37)=0,"",E37+F37+G37)</f>
        <v/>
      </c>
      <c r="I37" s="23" t="n"/>
      <c r="J37" s="23" t="n"/>
      <c r="K37" s="23" t="n"/>
      <c r="L37" s="24">
        <f>IF(COUNTA(I37,J37,K37)=0,"",I37+J37+K37)</f>
        <v/>
      </c>
      <c r="M37" s="25" t="n"/>
      <c r="N37" s="25" t="n"/>
      <c r="O37" s="25" t="n"/>
      <c r="P37" s="26">
        <f>IF(COUNTA(M37,N37,O37)=0,"",M37+N37+O37)</f>
        <v/>
      </c>
      <c r="Q37" s="27" t="n"/>
      <c r="R37" s="27" t="n"/>
      <c r="S37" s="27" t="n"/>
      <c r="T37" s="28">
        <f>IF(COUNTA(Q37,R37,S37)=0,"",Q37+R37+S37)</f>
        <v/>
      </c>
      <c r="U37" s="29" t="n"/>
      <c r="V37" s="29" t="n"/>
      <c r="W37" s="29" t="n"/>
      <c r="X37" s="30">
        <f>IF(COUNTA(U37,V37,W37)=0,"",U37+V37+W37)</f>
        <v/>
      </c>
      <c r="Y37" s="31" t="n"/>
      <c r="Z37" s="31" t="n"/>
      <c r="AA37" s="31" t="n"/>
      <c r="AB37" s="32">
        <f>IF(COUNTA(Y37,Z37,AA37)=0,"",Y37+Z37+AA37)</f>
        <v/>
      </c>
      <c r="AC37" s="33">
        <f>IF(COUNTA(H37,L37,P37,T37,X37,AB37)=0,"",H37+L37+P37+T37+X37+AB37)</f>
        <v/>
      </c>
      <c r="AD37" s="33">
        <f>IF(AC37="","",IF(AC37&gt;=85,"A",IF(AC37&gt;=75,"AB",IF(AC37&gt;=65,"B",IF(AC37&gt;=55,"BC",IF(AC37&gt;=45,"C",IF(AC37&gt;=35,"CD",IF(AC37&gt;=25,"D","E"))))))))</f>
        <v/>
      </c>
      <c r="AE37" s="37" t="inlineStr"/>
    </row>
    <row r="38" ht="18" customHeight="1">
      <c r="A38" s="35" t="n">
        <v>35</v>
      </c>
      <c r="B38" s="35" t="inlineStr">
        <is>
          <t>24060124120031</t>
        </is>
      </c>
      <c r="C38" s="36" t="inlineStr">
        <is>
          <t>Misbachul Munir</t>
        </is>
      </c>
      <c r="D38" s="35" t="n">
        <v>10</v>
      </c>
      <c r="E38" s="21" t="n"/>
      <c r="F38" s="21" t="n"/>
      <c r="G38" s="21" t="n"/>
      <c r="H38" s="22">
        <f>IF(COUNTA(E38,F38,G38)=0,"",E38+F38+G38)</f>
        <v/>
      </c>
      <c r="I38" s="23" t="n"/>
      <c r="J38" s="23" t="n"/>
      <c r="K38" s="23" t="n"/>
      <c r="L38" s="24">
        <f>IF(COUNTA(I38,J38,K38)=0,"",I38+J38+K38)</f>
        <v/>
      </c>
      <c r="M38" s="25" t="n"/>
      <c r="N38" s="25" t="n"/>
      <c r="O38" s="25" t="n"/>
      <c r="P38" s="26">
        <f>IF(COUNTA(M38,N38,O38)=0,"",M38+N38+O38)</f>
        <v/>
      </c>
      <c r="Q38" s="27" t="n"/>
      <c r="R38" s="27" t="n"/>
      <c r="S38" s="27" t="n"/>
      <c r="T38" s="28">
        <f>IF(COUNTA(Q38,R38,S38)=0,"",Q38+R38+S38)</f>
        <v/>
      </c>
      <c r="U38" s="29" t="n"/>
      <c r="V38" s="29" t="n"/>
      <c r="W38" s="29" t="n"/>
      <c r="X38" s="30">
        <f>IF(COUNTA(U38,V38,W38)=0,"",U38+V38+W38)</f>
        <v/>
      </c>
      <c r="Y38" s="31" t="n"/>
      <c r="Z38" s="31" t="n"/>
      <c r="AA38" s="31" t="n"/>
      <c r="AB38" s="32">
        <f>IF(COUNTA(Y38,Z38,AA38)=0,"",Y38+Z38+AA38)</f>
        <v/>
      </c>
      <c r="AC38" s="33">
        <f>IF(COUNTA(H38,L38,P38,T38,X38,AB38)=0,"",H38+L38+P38+T38+X38+AB38)</f>
        <v/>
      </c>
      <c r="AD38" s="33">
        <f>IF(AC38="","",IF(AC38&gt;=85,"A",IF(AC38&gt;=75,"AB",IF(AC38&gt;=65,"B",IF(AC38&gt;=55,"BC",IF(AC38&gt;=45,"C",IF(AC38&gt;=35,"CD",IF(AC38&gt;=25,"D","E"))))))))</f>
        <v/>
      </c>
      <c r="AE38" s="37" t="inlineStr"/>
    </row>
    <row r="39" ht="18" customHeight="1">
      <c r="A39" s="35" t="n">
        <v>36</v>
      </c>
      <c r="B39" s="35" t="inlineStr">
        <is>
          <t>24060124140154</t>
        </is>
      </c>
      <c r="C39" s="36" t="inlineStr">
        <is>
          <t>Syahrafi Ahmad Pradika</t>
        </is>
      </c>
      <c r="D39" s="35" t="n">
        <v>10</v>
      </c>
      <c r="E39" s="21" t="n"/>
      <c r="F39" s="21" t="n"/>
      <c r="G39" s="21" t="n"/>
      <c r="H39" s="22">
        <f>IF(COUNTA(E39,F39,G39)=0,"",E39+F39+G39)</f>
        <v/>
      </c>
      <c r="I39" s="23" t="n"/>
      <c r="J39" s="23" t="n"/>
      <c r="K39" s="23" t="n"/>
      <c r="L39" s="24">
        <f>IF(COUNTA(I39,J39,K39)=0,"",I39+J39+K39)</f>
        <v/>
      </c>
      <c r="M39" s="25" t="n"/>
      <c r="N39" s="25" t="n"/>
      <c r="O39" s="25" t="n"/>
      <c r="P39" s="26">
        <f>IF(COUNTA(M39,N39,O39)=0,"",M39+N39+O39)</f>
        <v/>
      </c>
      <c r="Q39" s="27" t="n"/>
      <c r="R39" s="27" t="n"/>
      <c r="S39" s="27" t="n"/>
      <c r="T39" s="28">
        <f>IF(COUNTA(Q39,R39,S39)=0,"",Q39+R39+S39)</f>
        <v/>
      </c>
      <c r="U39" s="29" t="n"/>
      <c r="V39" s="29" t="n"/>
      <c r="W39" s="29" t="n"/>
      <c r="X39" s="30">
        <f>IF(COUNTA(U39,V39,W39)=0,"",U39+V39+W39)</f>
        <v/>
      </c>
      <c r="Y39" s="31" t="n"/>
      <c r="Z39" s="31" t="n"/>
      <c r="AA39" s="31" t="n"/>
      <c r="AB39" s="32">
        <f>IF(COUNTA(Y39,Z39,AA39)=0,"",Y39+Z39+AA39)</f>
        <v/>
      </c>
      <c r="AC39" s="33">
        <f>IF(COUNTA(H39,L39,P39,T39,X39,AB39)=0,"",H39+L39+P39+T39+X39+AB39)</f>
        <v/>
      </c>
      <c r="AD39" s="33">
        <f>IF(AC39="","",IF(AC39&gt;=85,"A",IF(AC39&gt;=75,"AB",IF(AC39&gt;=65,"B",IF(AC39&gt;=55,"BC",IF(AC39&gt;=45,"C",IF(AC39&gt;=35,"CD",IF(AC39&gt;=25,"D","E"))))))))</f>
        <v/>
      </c>
      <c r="AE39" s="37" t="inlineStr"/>
    </row>
    <row r="40" ht="18" customHeight="1">
      <c r="A40" s="19" t="n">
        <v>37</v>
      </c>
      <c r="B40" s="19" t="inlineStr">
        <is>
          <t>24060124130114</t>
        </is>
      </c>
      <c r="C40" s="20" t="inlineStr">
        <is>
          <t>Yustinus Hendi Setyawan</t>
        </is>
      </c>
      <c r="D40" s="19" t="n">
        <v>11</v>
      </c>
      <c r="E40" s="21" t="n"/>
      <c r="F40" s="21" t="n"/>
      <c r="G40" s="21" t="n"/>
      <c r="H40" s="22">
        <f>IF(COUNTA(E40,F40,G40)=0,"",E40+F40+G40)</f>
        <v/>
      </c>
      <c r="I40" s="23" t="n"/>
      <c r="J40" s="23" t="n"/>
      <c r="K40" s="23" t="n"/>
      <c r="L40" s="24">
        <f>IF(COUNTA(I40,J40,K40)=0,"",I40+J40+K40)</f>
        <v/>
      </c>
      <c r="M40" s="25" t="n"/>
      <c r="N40" s="25" t="n"/>
      <c r="O40" s="25" t="n"/>
      <c r="P40" s="26">
        <f>IF(COUNTA(M40,N40,O40)=0,"",M40+N40+O40)</f>
        <v/>
      </c>
      <c r="Q40" s="27" t="n"/>
      <c r="R40" s="27" t="n"/>
      <c r="S40" s="27" t="n"/>
      <c r="T40" s="28">
        <f>IF(COUNTA(Q40,R40,S40)=0,"",Q40+R40+S40)</f>
        <v/>
      </c>
      <c r="U40" s="29" t="n"/>
      <c r="V40" s="29" t="n"/>
      <c r="W40" s="29" t="n"/>
      <c r="X40" s="30">
        <f>IF(COUNTA(U40,V40,W40)=0,"",U40+V40+W40)</f>
        <v/>
      </c>
      <c r="Y40" s="31" t="n"/>
      <c r="Z40" s="31" t="n"/>
      <c r="AA40" s="31" t="n"/>
      <c r="AB40" s="32">
        <f>IF(COUNTA(Y40,Z40,AA40)=0,"",Y40+Z40+AA40)</f>
        <v/>
      </c>
      <c r="AC40" s="33">
        <f>IF(COUNTA(H40,L40,P40,T40,X40,AB40)=0,"",H40+L40+P40+T40+X40+AB40)</f>
        <v/>
      </c>
      <c r="AD40" s="33">
        <f>IF(AC40="","",IF(AC40&gt;=85,"A",IF(AC40&gt;=75,"AB",IF(AC40&gt;=65,"B",IF(AC40&gt;=55,"BC",IF(AC40&gt;=45,"C",IF(AC40&gt;=35,"CD",IF(AC40&gt;=25,"D","E"))))))))</f>
        <v/>
      </c>
      <c r="AE40" s="34" t="inlineStr">
        <is>
          <t>Link laporan tidak dapat diakses</t>
        </is>
      </c>
    </row>
    <row r="41" ht="18" customHeight="1">
      <c r="A41" s="19" t="n">
        <v>38</v>
      </c>
      <c r="B41" s="19" t="inlineStr">
        <is>
          <t>24060124140129</t>
        </is>
      </c>
      <c r="C41" s="20" t="inlineStr">
        <is>
          <t>Revanska Muhammad Athalla</t>
        </is>
      </c>
      <c r="D41" s="19" t="n">
        <v>11</v>
      </c>
      <c r="E41" s="21" t="n"/>
      <c r="F41" s="21" t="n"/>
      <c r="G41" s="21" t="n"/>
      <c r="H41" s="22">
        <f>IF(COUNTA(E41,F41,G41)=0,"",E41+F41+G41)</f>
        <v/>
      </c>
      <c r="I41" s="23" t="n"/>
      <c r="J41" s="23" t="n"/>
      <c r="K41" s="23" t="n"/>
      <c r="L41" s="24">
        <f>IF(COUNTA(I41,J41,K41)=0,"",I41+J41+K41)</f>
        <v/>
      </c>
      <c r="M41" s="25" t="n"/>
      <c r="N41" s="25" t="n"/>
      <c r="O41" s="25" t="n"/>
      <c r="P41" s="26">
        <f>IF(COUNTA(M41,N41,O41)=0,"",M41+N41+O41)</f>
        <v/>
      </c>
      <c r="Q41" s="27" t="n"/>
      <c r="R41" s="27" t="n"/>
      <c r="S41" s="27" t="n"/>
      <c r="T41" s="28">
        <f>IF(COUNTA(Q41,R41,S41)=0,"",Q41+R41+S41)</f>
        <v/>
      </c>
      <c r="U41" s="29" t="n"/>
      <c r="V41" s="29" t="n"/>
      <c r="W41" s="29" t="n"/>
      <c r="X41" s="30">
        <f>IF(COUNTA(U41,V41,W41)=0,"",U41+V41+W41)</f>
        <v/>
      </c>
      <c r="Y41" s="31" t="n"/>
      <c r="Z41" s="31" t="n"/>
      <c r="AA41" s="31" t="n"/>
      <c r="AB41" s="32">
        <f>IF(COUNTA(Y41,Z41,AA41)=0,"",Y41+Z41+AA41)</f>
        <v/>
      </c>
      <c r="AC41" s="33">
        <f>IF(COUNTA(H41,L41,P41,T41,X41,AB41)=0,"",H41+L41+P41+T41+X41+AB41)</f>
        <v/>
      </c>
      <c r="AD41" s="33">
        <f>IF(AC41="","",IF(AC41&gt;=85,"A",IF(AC41&gt;=75,"AB",IF(AC41&gt;=65,"B",IF(AC41&gt;=55,"BC",IF(AC41&gt;=45,"C",IF(AC41&gt;=35,"CD",IF(AC41&gt;=25,"D","E"))))))))</f>
        <v/>
      </c>
      <c r="AE41" s="34" t="inlineStr"/>
    </row>
    <row r="42" ht="18" customHeight="1">
      <c r="A42" s="19" t="n">
        <v>39</v>
      </c>
      <c r="B42" s="19" t="inlineStr">
        <is>
          <t>24060124120046</t>
        </is>
      </c>
      <c r="C42" s="20" t="inlineStr">
        <is>
          <t>Romualdus Yoas Wicaksono</t>
        </is>
      </c>
      <c r="D42" s="19" t="n">
        <v>11</v>
      </c>
      <c r="E42" s="21" t="n"/>
      <c r="F42" s="21" t="n"/>
      <c r="G42" s="21" t="n"/>
      <c r="H42" s="22">
        <f>IF(COUNTA(E42,F42,G42)=0,"",E42+F42+G42)</f>
        <v/>
      </c>
      <c r="I42" s="23" t="n"/>
      <c r="J42" s="23" t="n"/>
      <c r="K42" s="23" t="n"/>
      <c r="L42" s="24">
        <f>IF(COUNTA(I42,J42,K42)=0,"",I42+J42+K42)</f>
        <v/>
      </c>
      <c r="M42" s="25" t="n"/>
      <c r="N42" s="25" t="n"/>
      <c r="O42" s="25" t="n"/>
      <c r="P42" s="26">
        <f>IF(COUNTA(M42,N42,O42)=0,"",M42+N42+O42)</f>
        <v/>
      </c>
      <c r="Q42" s="27" t="n"/>
      <c r="R42" s="27" t="n"/>
      <c r="S42" s="27" t="n"/>
      <c r="T42" s="28">
        <f>IF(COUNTA(Q42,R42,S42)=0,"",Q42+R42+S42)</f>
        <v/>
      </c>
      <c r="U42" s="29" t="n"/>
      <c r="V42" s="29" t="n"/>
      <c r="W42" s="29" t="n"/>
      <c r="X42" s="30">
        <f>IF(COUNTA(U42,V42,W42)=0,"",U42+V42+W42)</f>
        <v/>
      </c>
      <c r="Y42" s="31" t="n"/>
      <c r="Z42" s="31" t="n"/>
      <c r="AA42" s="31" t="n"/>
      <c r="AB42" s="32">
        <f>IF(COUNTA(Y42,Z42,AA42)=0,"",Y42+Z42+AA42)</f>
        <v/>
      </c>
      <c r="AC42" s="33">
        <f>IF(COUNTA(H42,L42,P42,T42,X42,AB42)=0,"",H42+L42+P42+T42+X42+AB42)</f>
        <v/>
      </c>
      <c r="AD42" s="33">
        <f>IF(AC42="","",IF(AC42&gt;=85,"A",IF(AC42&gt;=75,"AB",IF(AC42&gt;=65,"B",IF(AC42&gt;=55,"BC",IF(AC42&gt;=45,"C",IF(AC42&gt;=35,"CD",IF(AC42&gt;=25,"D","E"))))))))</f>
        <v/>
      </c>
      <c r="AE42" s="34" t="inlineStr"/>
    </row>
    <row r="43" ht="18" customHeight="1">
      <c r="A43" s="35" t="n">
        <v>40</v>
      </c>
      <c r="B43" s="35" t="inlineStr">
        <is>
          <t>24060124130076</t>
        </is>
      </c>
      <c r="C43" s="36" t="inlineStr">
        <is>
          <t>Johan Reinhart Calvin</t>
        </is>
      </c>
      <c r="D43" s="35" t="n">
        <v>12</v>
      </c>
      <c r="E43" s="21" t="n"/>
      <c r="F43" s="21" t="n"/>
      <c r="G43" s="21" t="n"/>
      <c r="H43" s="22">
        <f>IF(COUNTA(E43,F43,G43)=0,"",E43+F43+G43)</f>
        <v/>
      </c>
      <c r="I43" s="23" t="n"/>
      <c r="J43" s="23" t="n"/>
      <c r="K43" s="23" t="n"/>
      <c r="L43" s="24">
        <f>IF(COUNTA(I43,J43,K43)=0,"",I43+J43+K43)</f>
        <v/>
      </c>
      <c r="M43" s="25" t="n"/>
      <c r="N43" s="25" t="n"/>
      <c r="O43" s="25" t="n"/>
      <c r="P43" s="26">
        <f>IF(COUNTA(M43,N43,O43)=0,"",M43+N43+O43)</f>
        <v/>
      </c>
      <c r="Q43" s="27" t="n"/>
      <c r="R43" s="27" t="n"/>
      <c r="S43" s="27" t="n"/>
      <c r="T43" s="28">
        <f>IF(COUNTA(Q43,R43,S43)=0,"",Q43+R43+S43)</f>
        <v/>
      </c>
      <c r="U43" s="29" t="n"/>
      <c r="V43" s="29" t="n"/>
      <c r="W43" s="29" t="n"/>
      <c r="X43" s="30">
        <f>IF(COUNTA(U43,V43,W43)=0,"",U43+V43+W43)</f>
        <v/>
      </c>
      <c r="Y43" s="31" t="n"/>
      <c r="Z43" s="31" t="n"/>
      <c r="AA43" s="31" t="n"/>
      <c r="AB43" s="32">
        <f>IF(COUNTA(Y43,Z43,AA43)=0,"",Y43+Z43+AA43)</f>
        <v/>
      </c>
      <c r="AC43" s="33">
        <f>IF(COUNTA(H43,L43,P43,T43,X43,AB43)=0,"",H43+L43+P43+T43+X43+AB43)</f>
        <v/>
      </c>
      <c r="AD43" s="33">
        <f>IF(AC43="","",IF(AC43&gt;=85,"A",IF(AC43&gt;=75,"AB",IF(AC43&gt;=65,"B",IF(AC43&gt;=55,"BC",IF(AC43&gt;=45,"C",IF(AC43&gt;=35,"CD",IF(AC43&gt;=25,"D","E"))))))))</f>
        <v/>
      </c>
      <c r="AE43" s="38" t="inlineStr">
        <is>
          <t>[!] P1&amp;P2 keduanya Jump Search, tidak ada Decrease-by-One</t>
        </is>
      </c>
    </row>
    <row r="44" ht="18" customHeight="1">
      <c r="A44" s="35" t="n">
        <v>41</v>
      </c>
      <c r="B44" s="35" t="inlineStr">
        <is>
          <t>24060124130074</t>
        </is>
      </c>
      <c r="C44" s="36" t="inlineStr">
        <is>
          <t>Kiyoshi Akila Tira</t>
        </is>
      </c>
      <c r="D44" s="35" t="n">
        <v>12</v>
      </c>
      <c r="E44" s="21" t="n"/>
      <c r="F44" s="21" t="n"/>
      <c r="G44" s="21" t="n"/>
      <c r="H44" s="22">
        <f>IF(COUNTA(E44,F44,G44)=0,"",E44+F44+G44)</f>
        <v/>
      </c>
      <c r="I44" s="23" t="n"/>
      <c r="J44" s="23" t="n"/>
      <c r="K44" s="23" t="n"/>
      <c r="L44" s="24">
        <f>IF(COUNTA(I44,J44,K44)=0,"",I44+J44+K44)</f>
        <v/>
      </c>
      <c r="M44" s="25" t="n"/>
      <c r="N44" s="25" t="n"/>
      <c r="O44" s="25" t="n"/>
      <c r="P44" s="26">
        <f>IF(COUNTA(M44,N44,O44)=0,"",M44+N44+O44)</f>
        <v/>
      </c>
      <c r="Q44" s="27" t="n"/>
      <c r="R44" s="27" t="n"/>
      <c r="S44" s="27" t="n"/>
      <c r="T44" s="28">
        <f>IF(COUNTA(Q44,R44,S44)=0,"",Q44+R44+S44)</f>
        <v/>
      </c>
      <c r="U44" s="29" t="n"/>
      <c r="V44" s="29" t="n"/>
      <c r="W44" s="29" t="n"/>
      <c r="X44" s="30">
        <f>IF(COUNTA(U44,V44,W44)=0,"",U44+V44+W44)</f>
        <v/>
      </c>
      <c r="Y44" s="31" t="n"/>
      <c r="Z44" s="31" t="n"/>
      <c r="AA44" s="31" t="n"/>
      <c r="AB44" s="32">
        <f>IF(COUNTA(Y44,Z44,AA44)=0,"",Y44+Z44+AA44)</f>
        <v/>
      </c>
      <c r="AC44" s="33">
        <f>IF(COUNTA(H44,L44,P44,T44,X44,AB44)=0,"",H44+L44+P44+T44+X44+AB44)</f>
        <v/>
      </c>
      <c r="AD44" s="33">
        <f>IF(AC44="","",IF(AC44&gt;=85,"A",IF(AC44&gt;=75,"AB",IF(AC44&gt;=65,"B",IF(AC44&gt;=55,"BC",IF(AC44&gt;=45,"C",IF(AC44&gt;=35,"CD",IF(AC44&gt;=25,"D","E"))))))))</f>
        <v/>
      </c>
      <c r="AE44" s="37" t="inlineStr"/>
    </row>
    <row r="45" ht="18" customHeight="1">
      <c r="A45" s="35" t="n">
        <v>42</v>
      </c>
      <c r="B45" s="35" t="inlineStr">
        <is>
          <t>24060124140198</t>
        </is>
      </c>
      <c r="C45" s="36" t="inlineStr">
        <is>
          <t>Ilham Muhammad Raffi</t>
        </is>
      </c>
      <c r="D45" s="35" t="n">
        <v>12</v>
      </c>
      <c r="E45" s="21" t="n"/>
      <c r="F45" s="21" t="n"/>
      <c r="G45" s="21" t="n"/>
      <c r="H45" s="22">
        <f>IF(COUNTA(E45,F45,G45)=0,"",E45+F45+G45)</f>
        <v/>
      </c>
      <c r="I45" s="23" t="n"/>
      <c r="J45" s="23" t="n"/>
      <c r="K45" s="23" t="n"/>
      <c r="L45" s="24">
        <f>IF(COUNTA(I45,J45,K45)=0,"",I45+J45+K45)</f>
        <v/>
      </c>
      <c r="M45" s="25" t="n"/>
      <c r="N45" s="25" t="n"/>
      <c r="O45" s="25" t="n"/>
      <c r="P45" s="26">
        <f>IF(COUNTA(M45,N45,O45)=0,"",M45+N45+O45)</f>
        <v/>
      </c>
      <c r="Q45" s="27" t="n"/>
      <c r="R45" s="27" t="n"/>
      <c r="S45" s="27" t="n"/>
      <c r="T45" s="28">
        <f>IF(COUNTA(Q45,R45,S45)=0,"",Q45+R45+S45)</f>
        <v/>
      </c>
      <c r="U45" s="29" t="n"/>
      <c r="V45" s="29" t="n"/>
      <c r="W45" s="29" t="n"/>
      <c r="X45" s="30">
        <f>IF(COUNTA(U45,V45,W45)=0,"",U45+V45+W45)</f>
        <v/>
      </c>
      <c r="Y45" s="31" t="n"/>
      <c r="Z45" s="31" t="n"/>
      <c r="AA45" s="31" t="n"/>
      <c r="AB45" s="32">
        <f>IF(COUNTA(Y45,Z45,AA45)=0,"",Y45+Z45+AA45)</f>
        <v/>
      </c>
      <c r="AC45" s="33">
        <f>IF(COUNTA(H45,L45,P45,T45,X45,AB45)=0,"",H45+L45+P45+T45+X45+AB45)</f>
        <v/>
      </c>
      <c r="AD45" s="33">
        <f>IF(AC45="","",IF(AC45&gt;=85,"A",IF(AC45&gt;=75,"AB",IF(AC45&gt;=65,"B",IF(AC45&gt;=55,"BC",IF(AC45&gt;=45,"C",IF(AC45&gt;=35,"CD",IF(AC45&gt;=25,"D","E"))))))))</f>
        <v/>
      </c>
      <c r="AE45" s="37" t="inlineStr"/>
    </row>
    <row r="46" ht="18" customHeight="1">
      <c r="A46" s="19" t="n">
        <v>43</v>
      </c>
      <c r="B46" s="19" t="inlineStr">
        <is>
          <t>24060124130123</t>
        </is>
      </c>
      <c r="C46" s="20" t="inlineStr">
        <is>
          <t>Muhammad Akmal Fazli Riyadi</t>
        </is>
      </c>
      <c r="D46" s="19" t="n">
        <v>13</v>
      </c>
      <c r="E46" s="21" t="n"/>
      <c r="F46" s="21" t="n"/>
      <c r="G46" s="21" t="n"/>
      <c r="H46" s="22">
        <f>IF(COUNTA(E46,F46,G46)=0,"",E46+F46+G46)</f>
        <v/>
      </c>
      <c r="I46" s="23" t="n"/>
      <c r="J46" s="23" t="n"/>
      <c r="K46" s="23" t="n"/>
      <c r="L46" s="24">
        <f>IF(COUNTA(I46,J46,K46)=0,"",I46+J46+K46)</f>
        <v/>
      </c>
      <c r="M46" s="25" t="n"/>
      <c r="N46" s="25" t="n"/>
      <c r="O46" s="25" t="n"/>
      <c r="P46" s="26">
        <f>IF(COUNTA(M46,N46,O46)=0,"",M46+N46+O46)</f>
        <v/>
      </c>
      <c r="Q46" s="27" t="n"/>
      <c r="R46" s="27" t="n"/>
      <c r="S46" s="27" t="n"/>
      <c r="T46" s="28">
        <f>IF(COUNTA(Q46,R46,S46)=0,"",Q46+R46+S46)</f>
        <v/>
      </c>
      <c r="U46" s="29" t="n"/>
      <c r="V46" s="29" t="n"/>
      <c r="W46" s="29" t="n"/>
      <c r="X46" s="30">
        <f>IF(COUNTA(U46,V46,W46)=0,"",U46+V46+W46)</f>
        <v/>
      </c>
      <c r="Y46" s="31" t="n"/>
      <c r="Z46" s="31" t="n"/>
      <c r="AA46" s="31" t="n"/>
      <c r="AB46" s="32">
        <f>IF(COUNTA(Y46,Z46,AA46)=0,"",Y46+Z46+AA46)</f>
        <v/>
      </c>
      <c r="AC46" s="33">
        <f>IF(COUNTA(H46,L46,P46,T46,X46,AB46)=0,"",H46+L46+P46+T46+X46+AB46)</f>
        <v/>
      </c>
      <c r="AD46" s="33">
        <f>IF(AC46="","",IF(AC46&gt;=85,"A",IF(AC46&gt;=75,"AB",IF(AC46&gt;=65,"B",IF(AC46&gt;=55,"BC",IF(AC46&gt;=45,"C",IF(AC46&gt;=35,"CD",IF(AC46&gt;=25,"D","E"))))))))</f>
        <v/>
      </c>
      <c r="AE46" s="34" t="inlineStr"/>
    </row>
    <row r="47" ht="18" customHeight="1">
      <c r="A47" s="19" t="n">
        <v>44</v>
      </c>
      <c r="B47" s="19" t="inlineStr">
        <is>
          <t>24060124120037</t>
        </is>
      </c>
      <c r="C47" s="20" t="inlineStr">
        <is>
          <t>Muhammad Fahri</t>
        </is>
      </c>
      <c r="D47" s="19" t="n">
        <v>13</v>
      </c>
      <c r="E47" s="21" t="n"/>
      <c r="F47" s="21" t="n"/>
      <c r="G47" s="21" t="n"/>
      <c r="H47" s="22">
        <f>IF(COUNTA(E47,F47,G47)=0,"",E47+F47+G47)</f>
        <v/>
      </c>
      <c r="I47" s="23" t="n"/>
      <c r="J47" s="23" t="n"/>
      <c r="K47" s="23" t="n"/>
      <c r="L47" s="24">
        <f>IF(COUNTA(I47,J47,K47)=0,"",I47+J47+K47)</f>
        <v/>
      </c>
      <c r="M47" s="25" t="n"/>
      <c r="N47" s="25" t="n"/>
      <c r="O47" s="25" t="n"/>
      <c r="P47" s="26">
        <f>IF(COUNTA(M47,N47,O47)=0,"",M47+N47+O47)</f>
        <v/>
      </c>
      <c r="Q47" s="27" t="n"/>
      <c r="R47" s="27" t="n"/>
      <c r="S47" s="27" t="n"/>
      <c r="T47" s="28">
        <f>IF(COUNTA(Q47,R47,S47)=0,"",Q47+R47+S47)</f>
        <v/>
      </c>
      <c r="U47" s="29" t="n"/>
      <c r="V47" s="29" t="n"/>
      <c r="W47" s="29" t="n"/>
      <c r="X47" s="30">
        <f>IF(COUNTA(U47,V47,W47)=0,"",U47+V47+W47)</f>
        <v/>
      </c>
      <c r="Y47" s="31" t="n"/>
      <c r="Z47" s="31" t="n"/>
      <c r="AA47" s="31" t="n"/>
      <c r="AB47" s="32">
        <f>IF(COUNTA(Y47,Z47,AA47)=0,"",Y47+Z47+AA47)</f>
        <v/>
      </c>
      <c r="AC47" s="33">
        <f>IF(COUNTA(H47,L47,P47,T47,X47,AB47)=0,"",H47+L47+P47+T47+X47+AB47)</f>
        <v/>
      </c>
      <c r="AD47" s="33">
        <f>IF(AC47="","",IF(AC47&gt;=85,"A",IF(AC47&gt;=75,"AB",IF(AC47&gt;=65,"B",IF(AC47&gt;=55,"BC",IF(AC47&gt;=45,"C",IF(AC47&gt;=35,"CD",IF(AC47&gt;=25,"D","E"))))))))</f>
        <v/>
      </c>
      <c r="AE47" s="34" t="inlineStr"/>
    </row>
    <row r="48" ht="18" customHeight="1">
      <c r="A48" s="19" t="n">
        <v>45</v>
      </c>
      <c r="B48" s="19" t="inlineStr">
        <is>
          <t>24060124140207</t>
        </is>
      </c>
      <c r="C48" s="20" t="inlineStr">
        <is>
          <t>Hadrian Shandhy Yudha</t>
        </is>
      </c>
      <c r="D48" s="19" t="n">
        <v>13</v>
      </c>
      <c r="E48" s="21" t="n"/>
      <c r="F48" s="21" t="n"/>
      <c r="G48" s="21" t="n"/>
      <c r="H48" s="22">
        <f>IF(COUNTA(E48,F48,G48)=0,"",E48+F48+G48)</f>
        <v/>
      </c>
      <c r="I48" s="23" t="n"/>
      <c r="J48" s="23" t="n"/>
      <c r="K48" s="23" t="n"/>
      <c r="L48" s="24">
        <f>IF(COUNTA(I48,J48,K48)=0,"",I48+J48+K48)</f>
        <v/>
      </c>
      <c r="M48" s="25" t="n"/>
      <c r="N48" s="25" t="n"/>
      <c r="O48" s="25" t="n"/>
      <c r="P48" s="26">
        <f>IF(COUNTA(M48,N48,O48)=0,"",M48+N48+O48)</f>
        <v/>
      </c>
      <c r="Q48" s="27" t="n"/>
      <c r="R48" s="27" t="n"/>
      <c r="S48" s="27" t="n"/>
      <c r="T48" s="28">
        <f>IF(COUNTA(Q48,R48,S48)=0,"",Q48+R48+S48)</f>
        <v/>
      </c>
      <c r="U48" s="29" t="n"/>
      <c r="V48" s="29" t="n"/>
      <c r="W48" s="29" t="n"/>
      <c r="X48" s="30">
        <f>IF(COUNTA(U48,V48,W48)=0,"",U48+V48+W48)</f>
        <v/>
      </c>
      <c r="Y48" s="31" t="n"/>
      <c r="Z48" s="31" t="n"/>
      <c r="AA48" s="31" t="n"/>
      <c r="AB48" s="32">
        <f>IF(COUNTA(Y48,Z48,AA48)=0,"",Y48+Z48+AA48)</f>
        <v/>
      </c>
      <c r="AC48" s="33">
        <f>IF(COUNTA(H48,L48,P48,T48,X48,AB48)=0,"",H48+L48+P48+T48+X48+AB48)</f>
        <v/>
      </c>
      <c r="AD48" s="33">
        <f>IF(AC48="","",IF(AC48&gt;=85,"A",IF(AC48&gt;=75,"AB",IF(AC48&gt;=65,"B",IF(AC48&gt;=55,"BC",IF(AC48&gt;=45,"C",IF(AC48&gt;=35,"CD",IF(AC48&gt;=25,"D","E"))))))))</f>
        <v/>
      </c>
      <c r="AE48" s="34" t="inlineStr"/>
    </row>
  </sheetData>
  <mergeCells count="7">
    <mergeCell ref="Y2:AB2"/>
    <mergeCell ref="A1:AE1"/>
    <mergeCell ref="U2:X2"/>
    <mergeCell ref="M2:P2"/>
    <mergeCell ref="Q2:T2"/>
    <mergeCell ref="E2:H2"/>
    <mergeCell ref="I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5" customWidth="1" min="4" max="4"/>
    <col width="6" customWidth="1" min="5" max="5"/>
    <col width="5" customWidth="1" min="6" max="6"/>
    <col width="5" customWidth="1" min="7" max="7"/>
    <col width="7" customWidth="1" min="8" max="8"/>
    <col width="5" customWidth="1" min="9" max="9"/>
    <col width="5" customWidth="1" min="10" max="10"/>
    <col width="5" customWidth="1" min="11" max="11"/>
    <col width="7" customWidth="1" min="12" max="12"/>
    <col width="5" customWidth="1" min="13" max="13"/>
    <col width="6" customWidth="1" min="14" max="14"/>
    <col width="6" customWidth="1" min="15" max="15"/>
    <col width="7" customWidth="1" min="16" max="16"/>
    <col width="5" customWidth="1" min="17" max="17"/>
    <col width="6" customWidth="1" min="18" max="18"/>
    <col width="6" customWidth="1" min="19" max="19"/>
    <col width="7" customWidth="1" min="20" max="20"/>
    <col width="5" customWidth="1" min="21" max="21"/>
    <col width="5" customWidth="1" min="22" max="22"/>
    <col width="5" customWidth="1" min="23" max="23"/>
    <col width="7" customWidth="1" min="24" max="24"/>
    <col width="5" customWidth="1" min="25" max="25"/>
    <col width="4" customWidth="1" min="26" max="26"/>
    <col width="4" customWidth="1" min="27" max="27"/>
    <col width="7" customWidth="1" min="28" max="28"/>
    <col width="9" customWidth="1" min="29" max="29"/>
    <col width="7" customWidth="1" min="30" max="30"/>
    <col width="32" customWidth="1" min="31" max="31"/>
  </cols>
  <sheetData>
    <row r="1" ht="28" customHeight="1">
      <c r="A1" s="1" t="inlineStr">
        <is>
          <t>LEMBAR PENILAIAN TUGAS KELOMPOK — ASA KELAS B 2026</t>
        </is>
      </c>
    </row>
    <row r="2" ht="22" customHeight="1">
      <c r="A2" s="2" t="inlineStr">
        <is>
          <t>No</t>
        </is>
      </c>
      <c r="B2" s="2" t="inlineStr">
        <is>
          <t>NIM</t>
        </is>
      </c>
      <c r="C2" s="2" t="inlineStr">
        <is>
          <t>Nama</t>
        </is>
      </c>
      <c r="D2" s="2" t="inlineStr">
        <is>
          <t>Kel</t>
        </is>
      </c>
      <c r="E2" s="3" t="inlineStr">
        <is>
          <t>A</t>
        </is>
      </c>
      <c r="I2" s="4" t="inlineStr">
        <is>
          <t>B</t>
        </is>
      </c>
      <c r="M2" s="5" t="inlineStr">
        <is>
          <t>C</t>
        </is>
      </c>
      <c r="Q2" s="6" t="inlineStr">
        <is>
          <t>D</t>
        </is>
      </c>
      <c r="U2" s="7" t="inlineStr">
        <is>
          <t>E</t>
        </is>
      </c>
      <c r="Y2" s="8" t="inlineStr">
        <is>
          <t>F</t>
        </is>
      </c>
      <c r="AC2" s="9" t="inlineStr">
        <is>
          <t>TOTAL</t>
        </is>
      </c>
      <c r="AD2" s="9" t="inlineStr">
        <is>
          <t>NILAI</t>
        </is>
      </c>
      <c r="AE2" s="2" t="inlineStr">
        <is>
          <t>Catatan</t>
        </is>
      </c>
    </row>
    <row r="3" ht="36" customHeight="1">
      <c r="A3" s="10" t="inlineStr">
        <is>
          <t>No</t>
        </is>
      </c>
      <c r="B3" s="10" t="inlineStr">
        <is>
          <t>NIM</t>
        </is>
      </c>
      <c r="C3" s="10" t="inlineStr">
        <is>
          <t>Nama</t>
        </is>
      </c>
      <c r="D3" s="10" t="inlineStr">
        <is>
          <t>Kel</t>
        </is>
      </c>
      <c r="E3" s="11" t="inlineStr">
        <is>
          <t>A.1
/10</t>
        </is>
      </c>
      <c r="F3" s="11" t="inlineStr">
        <is>
          <t>A.2
/5</t>
        </is>
      </c>
      <c r="G3" s="11" t="inlineStr">
        <is>
          <t>A.3
/5</t>
        </is>
      </c>
      <c r="H3" s="11" t="inlineStr">
        <is>
          <t>TOT
/20</t>
        </is>
      </c>
      <c r="I3" s="12" t="inlineStr">
        <is>
          <t>B.1
/5</t>
        </is>
      </c>
      <c r="J3" s="12" t="inlineStr">
        <is>
          <t>B.2
/5</t>
        </is>
      </c>
      <c r="K3" s="12" t="inlineStr">
        <is>
          <t>B.3
/5</t>
        </is>
      </c>
      <c r="L3" s="12" t="inlineStr">
        <is>
          <t>TOT
/15</t>
        </is>
      </c>
      <c r="M3" s="13" t="inlineStr">
        <is>
          <t>C.1
/6</t>
        </is>
      </c>
      <c r="N3" s="13" t="inlineStr">
        <is>
          <t>C.2
/7</t>
        </is>
      </c>
      <c r="O3" s="13" t="inlineStr">
        <is>
          <t>C.3
/7</t>
        </is>
      </c>
      <c r="P3" s="13" t="inlineStr">
        <is>
          <t>TOT
/20</t>
        </is>
      </c>
      <c r="Q3" s="14" t="inlineStr">
        <is>
          <t>D.1
/6</t>
        </is>
      </c>
      <c r="R3" s="14" t="inlineStr">
        <is>
          <t>D.2
/7</t>
        </is>
      </c>
      <c r="S3" s="14" t="inlineStr">
        <is>
          <t>D.3
/7</t>
        </is>
      </c>
      <c r="T3" s="14" t="inlineStr">
        <is>
          <t>TOT
/20</t>
        </is>
      </c>
      <c r="U3" s="15" t="inlineStr">
        <is>
          <t>E.1
/5</t>
        </is>
      </c>
      <c r="V3" s="15" t="inlineStr">
        <is>
          <t>E.2
/5</t>
        </is>
      </c>
      <c r="W3" s="15" t="inlineStr">
        <is>
          <t>E.3
/5</t>
        </is>
      </c>
      <c r="X3" s="15" t="inlineStr">
        <is>
          <t>TOT
/15</t>
        </is>
      </c>
      <c r="Y3" s="16" t="inlineStr">
        <is>
          <t>F.1
/4</t>
        </is>
      </c>
      <c r="Z3" s="16" t="inlineStr">
        <is>
          <t>F.2
/3</t>
        </is>
      </c>
      <c r="AA3" s="16" t="inlineStr">
        <is>
          <t>F.3
/3</t>
        </is>
      </c>
      <c r="AB3" s="16" t="inlineStr">
        <is>
          <t>TOT
/10</t>
        </is>
      </c>
      <c r="AC3" s="17" t="inlineStr">
        <is>
          <t>/100</t>
        </is>
      </c>
      <c r="AD3" s="17" t="inlineStr">
        <is>
          <t>Huruf</t>
        </is>
      </c>
      <c r="AE3" s="18" t="inlineStr">
        <is>
          <t>Catatan</t>
        </is>
      </c>
    </row>
    <row r="4" ht="18" customHeight="1">
      <c r="A4" s="19" t="n">
        <v>1</v>
      </c>
      <c r="B4" s="19" t="inlineStr">
        <is>
          <t>24060124130121</t>
        </is>
      </c>
      <c r="C4" s="20" t="inlineStr">
        <is>
          <t>Fazl Nizam Priyambono</t>
        </is>
      </c>
      <c r="D4" s="19" t="n">
        <v>1</v>
      </c>
      <c r="E4" s="21" t="n"/>
      <c r="F4" s="21" t="n"/>
      <c r="G4" s="21" t="n"/>
      <c r="H4" s="22">
        <f>IF(COUNTA(E4,F4,G4)=0,"",E4+F4+G4)</f>
        <v/>
      </c>
      <c r="I4" s="23" t="n"/>
      <c r="J4" s="23" t="n"/>
      <c r="K4" s="23" t="n"/>
      <c r="L4" s="24">
        <f>IF(COUNTA(I4,J4,K4)=0,"",I4+J4+K4)</f>
        <v/>
      </c>
      <c r="M4" s="25" t="n"/>
      <c r="N4" s="25" t="n"/>
      <c r="O4" s="25" t="n"/>
      <c r="P4" s="26">
        <f>IF(COUNTA(M4,N4,O4)=0,"",M4+N4+O4)</f>
        <v/>
      </c>
      <c r="Q4" s="27" t="n"/>
      <c r="R4" s="27" t="n"/>
      <c r="S4" s="27" t="n"/>
      <c r="T4" s="28">
        <f>IF(COUNTA(Q4,R4,S4)=0,"",Q4+R4+S4)</f>
        <v/>
      </c>
      <c r="U4" s="29" t="n"/>
      <c r="V4" s="29" t="n"/>
      <c r="W4" s="29" t="n"/>
      <c r="X4" s="30">
        <f>IF(COUNTA(U4,V4,W4)=0,"",U4+V4+W4)</f>
        <v/>
      </c>
      <c r="Y4" s="31" t="n"/>
      <c r="Z4" s="31" t="n"/>
      <c r="AA4" s="31" t="n"/>
      <c r="AB4" s="32">
        <f>IF(COUNTA(Y4,Z4,AA4)=0,"",Y4+Z4+AA4)</f>
        <v/>
      </c>
      <c r="AC4" s="33">
        <f>IF(COUNTA(H4,L4,P4,T4,X4,AB4)=0,"",H4+L4+P4+T4+X4+AB4)</f>
        <v/>
      </c>
      <c r="AD4" s="33">
        <f>IF(AC4="","",IF(AC4&gt;=85,"A",IF(AC4&gt;=75,"AB",IF(AC4&gt;=65,"B",IF(AC4&gt;=55,"BC",IF(AC4&gt;=45,"C",IF(AC4&gt;=35,"CD",IF(AC4&gt;=25,"D","E"))))))))</f>
        <v/>
      </c>
      <c r="AE4" s="34" t="inlineStr"/>
    </row>
    <row r="5" ht="18" customHeight="1">
      <c r="A5" s="19" t="n">
        <v>2</v>
      </c>
      <c r="B5" s="19" t="inlineStr">
        <is>
          <t>24060124120017</t>
        </is>
      </c>
      <c r="C5" s="20" t="inlineStr">
        <is>
          <t>Lintang Aulia Nuraini</t>
        </is>
      </c>
      <c r="D5" s="19" t="n">
        <v>1</v>
      </c>
      <c r="E5" s="21" t="n"/>
      <c r="F5" s="21" t="n"/>
      <c r="G5" s="21" t="n"/>
      <c r="H5" s="22">
        <f>IF(COUNTA(E5,F5,G5)=0,"",E5+F5+G5)</f>
        <v/>
      </c>
      <c r="I5" s="23" t="n"/>
      <c r="J5" s="23" t="n"/>
      <c r="K5" s="23" t="n"/>
      <c r="L5" s="24">
        <f>IF(COUNTA(I5,J5,K5)=0,"",I5+J5+K5)</f>
        <v/>
      </c>
      <c r="M5" s="25" t="n"/>
      <c r="N5" s="25" t="n"/>
      <c r="O5" s="25" t="n"/>
      <c r="P5" s="26">
        <f>IF(COUNTA(M5,N5,O5)=0,"",M5+N5+O5)</f>
        <v/>
      </c>
      <c r="Q5" s="27" t="n"/>
      <c r="R5" s="27" t="n"/>
      <c r="S5" s="27" t="n"/>
      <c r="T5" s="28">
        <f>IF(COUNTA(Q5,R5,S5)=0,"",Q5+R5+S5)</f>
        <v/>
      </c>
      <c r="U5" s="29" t="n"/>
      <c r="V5" s="29" t="n"/>
      <c r="W5" s="29" t="n"/>
      <c r="X5" s="30">
        <f>IF(COUNTA(U5,V5,W5)=0,"",U5+V5+W5)</f>
        <v/>
      </c>
      <c r="Y5" s="31" t="n"/>
      <c r="Z5" s="31" t="n"/>
      <c r="AA5" s="31" t="n"/>
      <c r="AB5" s="32">
        <f>IF(COUNTA(Y5,Z5,AA5)=0,"",Y5+Z5+AA5)</f>
        <v/>
      </c>
      <c r="AC5" s="33">
        <f>IF(COUNTA(H5,L5,P5,T5,X5,AB5)=0,"",H5+L5+P5+T5+X5+AB5)</f>
        <v/>
      </c>
      <c r="AD5" s="33">
        <f>IF(AC5="","",IF(AC5&gt;=85,"A",IF(AC5&gt;=75,"AB",IF(AC5&gt;=65,"B",IF(AC5&gt;=55,"BC",IF(AC5&gt;=45,"C",IF(AC5&gt;=35,"CD",IF(AC5&gt;=25,"D","E"))))))))</f>
        <v/>
      </c>
      <c r="AE5" s="34" t="inlineStr"/>
    </row>
    <row r="6" ht="18" customHeight="1">
      <c r="A6" s="19" t="n">
        <v>3</v>
      </c>
      <c r="B6" s="19" t="inlineStr">
        <is>
          <t>24060124120041</t>
        </is>
      </c>
      <c r="C6" s="20" t="inlineStr">
        <is>
          <t>Nawaal Hanif Muntaz Arriye</t>
        </is>
      </c>
      <c r="D6" s="19" t="n">
        <v>1</v>
      </c>
      <c r="E6" s="21" t="n"/>
      <c r="F6" s="21" t="n"/>
      <c r="G6" s="21" t="n"/>
      <c r="H6" s="22">
        <f>IF(COUNTA(E6,F6,G6)=0,"",E6+F6+G6)</f>
        <v/>
      </c>
      <c r="I6" s="23" t="n"/>
      <c r="J6" s="23" t="n"/>
      <c r="K6" s="23" t="n"/>
      <c r="L6" s="24">
        <f>IF(COUNTA(I6,J6,K6)=0,"",I6+J6+K6)</f>
        <v/>
      </c>
      <c r="M6" s="25" t="n"/>
      <c r="N6" s="25" t="n"/>
      <c r="O6" s="25" t="n"/>
      <c r="P6" s="26">
        <f>IF(COUNTA(M6,N6,O6)=0,"",M6+N6+O6)</f>
        <v/>
      </c>
      <c r="Q6" s="27" t="n"/>
      <c r="R6" s="27" t="n"/>
      <c r="S6" s="27" t="n"/>
      <c r="T6" s="28">
        <f>IF(COUNTA(Q6,R6,S6)=0,"",Q6+R6+S6)</f>
        <v/>
      </c>
      <c r="U6" s="29" t="n"/>
      <c r="V6" s="29" t="n"/>
      <c r="W6" s="29" t="n"/>
      <c r="X6" s="30">
        <f>IF(COUNTA(U6,V6,W6)=0,"",U6+V6+W6)</f>
        <v/>
      </c>
      <c r="Y6" s="31" t="n"/>
      <c r="Z6" s="31" t="n"/>
      <c r="AA6" s="31" t="n"/>
      <c r="AB6" s="32">
        <f>IF(COUNTA(Y6,Z6,AA6)=0,"",Y6+Z6+AA6)</f>
        <v/>
      </c>
      <c r="AC6" s="33">
        <f>IF(COUNTA(H6,L6,P6,T6,X6,AB6)=0,"",H6+L6+P6+T6+X6+AB6)</f>
        <v/>
      </c>
      <c r="AD6" s="33">
        <f>IF(AC6="","",IF(AC6&gt;=85,"A",IF(AC6&gt;=75,"AB",IF(AC6&gt;=65,"B",IF(AC6&gt;=55,"BC",IF(AC6&gt;=45,"C",IF(AC6&gt;=35,"CD",IF(AC6&gt;=25,"D","E"))))))))</f>
        <v/>
      </c>
      <c r="AE6" s="34" t="inlineStr"/>
    </row>
    <row r="7" ht="18" customHeight="1">
      <c r="A7" s="19" t="n">
        <v>4</v>
      </c>
      <c r="B7" s="19" t="inlineStr">
        <is>
          <t>24060124130094</t>
        </is>
      </c>
      <c r="C7" s="20" t="inlineStr">
        <is>
          <t>Moses Morell Yosefan</t>
        </is>
      </c>
      <c r="D7" s="19" t="n">
        <v>1</v>
      </c>
      <c r="E7" s="21" t="n"/>
      <c r="F7" s="21" t="n"/>
      <c r="G7" s="21" t="n"/>
      <c r="H7" s="22">
        <f>IF(COUNTA(E7,F7,G7)=0,"",E7+F7+G7)</f>
        <v/>
      </c>
      <c r="I7" s="23" t="n"/>
      <c r="J7" s="23" t="n"/>
      <c r="K7" s="23" t="n"/>
      <c r="L7" s="24">
        <f>IF(COUNTA(I7,J7,K7)=0,"",I7+J7+K7)</f>
        <v/>
      </c>
      <c r="M7" s="25" t="n"/>
      <c r="N7" s="25" t="n"/>
      <c r="O7" s="25" t="n"/>
      <c r="P7" s="26">
        <f>IF(COUNTA(M7,N7,O7)=0,"",M7+N7+O7)</f>
        <v/>
      </c>
      <c r="Q7" s="27" t="n"/>
      <c r="R7" s="27" t="n"/>
      <c r="S7" s="27" t="n"/>
      <c r="T7" s="28">
        <f>IF(COUNTA(Q7,R7,S7)=0,"",Q7+R7+S7)</f>
        <v/>
      </c>
      <c r="U7" s="29" t="n"/>
      <c r="V7" s="29" t="n"/>
      <c r="W7" s="29" t="n"/>
      <c r="X7" s="30">
        <f>IF(COUNTA(U7,V7,W7)=0,"",U7+V7+W7)</f>
        <v/>
      </c>
      <c r="Y7" s="31" t="n"/>
      <c r="Z7" s="31" t="n"/>
      <c r="AA7" s="31" t="n"/>
      <c r="AB7" s="32">
        <f>IF(COUNTA(Y7,Z7,AA7)=0,"",Y7+Z7+AA7)</f>
        <v/>
      </c>
      <c r="AC7" s="33">
        <f>IF(COUNTA(H7,L7,P7,T7,X7,AB7)=0,"",H7+L7+P7+T7+X7+AB7)</f>
        <v/>
      </c>
      <c r="AD7" s="33">
        <f>IF(AC7="","",IF(AC7&gt;=85,"A",IF(AC7&gt;=75,"AB",IF(AC7&gt;=65,"B",IF(AC7&gt;=55,"BC",IF(AC7&gt;=45,"C",IF(AC7&gt;=35,"CD",IF(AC7&gt;=25,"D","E"))))))))</f>
        <v/>
      </c>
      <c r="AE7" s="34" t="inlineStr"/>
    </row>
    <row r="8" ht="18" customHeight="1">
      <c r="A8" s="35" t="n">
        <v>5</v>
      </c>
      <c r="B8" s="35" t="inlineStr">
        <is>
          <t>24060124140179</t>
        </is>
      </c>
      <c r="C8" s="36" t="inlineStr">
        <is>
          <t>Adam Mulya Rasyid</t>
        </is>
      </c>
      <c r="D8" s="35" t="n">
        <v>2</v>
      </c>
      <c r="E8" s="21" t="n"/>
      <c r="F8" s="21" t="n"/>
      <c r="G8" s="21" t="n"/>
      <c r="H8" s="22">
        <f>IF(COUNTA(E8,F8,G8)=0,"",E8+F8+G8)</f>
        <v/>
      </c>
      <c r="I8" s="23" t="n"/>
      <c r="J8" s="23" t="n"/>
      <c r="K8" s="23" t="n"/>
      <c r="L8" s="24">
        <f>IF(COUNTA(I8,J8,K8)=0,"",I8+J8+K8)</f>
        <v/>
      </c>
      <c r="M8" s="25" t="n"/>
      <c r="N8" s="25" t="n"/>
      <c r="O8" s="25" t="n"/>
      <c r="P8" s="26">
        <f>IF(COUNTA(M8,N8,O8)=0,"",M8+N8+O8)</f>
        <v/>
      </c>
      <c r="Q8" s="27" t="n"/>
      <c r="R8" s="27" t="n"/>
      <c r="S8" s="27" t="n"/>
      <c r="T8" s="28">
        <f>IF(COUNTA(Q8,R8,S8)=0,"",Q8+R8+S8)</f>
        <v/>
      </c>
      <c r="U8" s="29" t="n"/>
      <c r="V8" s="29" t="n"/>
      <c r="W8" s="29" t="n"/>
      <c r="X8" s="30">
        <f>IF(COUNTA(U8,V8,W8)=0,"",U8+V8+W8)</f>
        <v/>
      </c>
      <c r="Y8" s="31" t="n"/>
      <c r="Z8" s="31" t="n"/>
      <c r="AA8" s="31" t="n"/>
      <c r="AB8" s="32">
        <f>IF(COUNTA(Y8,Z8,AA8)=0,"",Y8+Z8+AA8)</f>
        <v/>
      </c>
      <c r="AC8" s="33">
        <f>IF(COUNTA(H8,L8,P8,T8,X8,AB8)=0,"",H8+L8+P8+T8+X8+AB8)</f>
        <v/>
      </c>
      <c r="AD8" s="33">
        <f>IF(AC8="","",IF(AC8&gt;=85,"A",IF(AC8&gt;=75,"AB",IF(AC8&gt;=65,"B",IF(AC8&gt;=55,"BC",IF(AC8&gt;=45,"C",IF(AC8&gt;=35,"CD",IF(AC8&gt;=25,"D","E"))))))))</f>
        <v/>
      </c>
      <c r="AE8" s="37" t="inlineStr"/>
    </row>
    <row r="9" ht="18" customHeight="1">
      <c r="A9" s="35" t="n">
        <v>6</v>
      </c>
      <c r="B9" s="35" t="inlineStr">
        <is>
          <t>24060124140141</t>
        </is>
      </c>
      <c r="C9" s="36" t="inlineStr">
        <is>
          <t>Muchammad Rajib Tafrichan</t>
        </is>
      </c>
      <c r="D9" s="35" t="n">
        <v>2</v>
      </c>
      <c r="E9" s="21" t="n"/>
      <c r="F9" s="21" t="n"/>
      <c r="G9" s="21" t="n"/>
      <c r="H9" s="22">
        <f>IF(COUNTA(E9,F9,G9)=0,"",E9+F9+G9)</f>
        <v/>
      </c>
      <c r="I9" s="23" t="n"/>
      <c r="J9" s="23" t="n"/>
      <c r="K9" s="23" t="n"/>
      <c r="L9" s="24">
        <f>IF(COUNTA(I9,J9,K9)=0,"",I9+J9+K9)</f>
        <v/>
      </c>
      <c r="M9" s="25" t="n"/>
      <c r="N9" s="25" t="n"/>
      <c r="O9" s="25" t="n"/>
      <c r="P9" s="26">
        <f>IF(COUNTA(M9,N9,O9)=0,"",M9+N9+O9)</f>
        <v/>
      </c>
      <c r="Q9" s="27" t="n"/>
      <c r="R9" s="27" t="n"/>
      <c r="S9" s="27" t="n"/>
      <c r="T9" s="28">
        <f>IF(COUNTA(Q9,R9,S9)=0,"",Q9+R9+S9)</f>
        <v/>
      </c>
      <c r="U9" s="29" t="n"/>
      <c r="V9" s="29" t="n"/>
      <c r="W9" s="29" t="n"/>
      <c r="X9" s="30">
        <f>IF(COUNTA(U9,V9,W9)=0,"",U9+V9+W9)</f>
        <v/>
      </c>
      <c r="Y9" s="31" t="n"/>
      <c r="Z9" s="31" t="n"/>
      <c r="AA9" s="31" t="n"/>
      <c r="AB9" s="32">
        <f>IF(COUNTA(Y9,Z9,AA9)=0,"",Y9+Z9+AA9)</f>
        <v/>
      </c>
      <c r="AC9" s="33">
        <f>IF(COUNTA(H9,L9,P9,T9,X9,AB9)=0,"",H9+L9+P9+T9+X9+AB9)</f>
        <v/>
      </c>
      <c r="AD9" s="33">
        <f>IF(AC9="","",IF(AC9&gt;=85,"A",IF(AC9&gt;=75,"AB",IF(AC9&gt;=65,"B",IF(AC9&gt;=55,"BC",IF(AC9&gt;=45,"C",IF(AC9&gt;=35,"CD",IF(AC9&gt;=25,"D","E"))))))))</f>
        <v/>
      </c>
      <c r="AE9" s="37" t="inlineStr"/>
    </row>
    <row r="10" ht="18" customHeight="1">
      <c r="A10" s="35" t="n">
        <v>7</v>
      </c>
      <c r="B10" s="35" t="inlineStr">
        <is>
          <t>24060124140140</t>
        </is>
      </c>
      <c r="C10" s="36" t="inlineStr">
        <is>
          <t>Muhammad Ibrahim Alghifari</t>
        </is>
      </c>
      <c r="D10" s="35" t="n">
        <v>2</v>
      </c>
      <c r="E10" s="21" t="n"/>
      <c r="F10" s="21" t="n"/>
      <c r="G10" s="21" t="n"/>
      <c r="H10" s="22">
        <f>IF(COUNTA(E10,F10,G10)=0,"",E10+F10+G10)</f>
        <v/>
      </c>
      <c r="I10" s="23" t="n"/>
      <c r="J10" s="23" t="n"/>
      <c r="K10" s="23" t="n"/>
      <c r="L10" s="24">
        <f>IF(COUNTA(I10,J10,K10)=0,"",I10+J10+K10)</f>
        <v/>
      </c>
      <c r="M10" s="25" t="n"/>
      <c r="N10" s="25" t="n"/>
      <c r="O10" s="25" t="n"/>
      <c r="P10" s="26">
        <f>IF(COUNTA(M10,N10,O10)=0,"",M10+N10+O10)</f>
        <v/>
      </c>
      <c r="Q10" s="27" t="n"/>
      <c r="R10" s="27" t="n"/>
      <c r="S10" s="27" t="n"/>
      <c r="T10" s="28">
        <f>IF(COUNTA(Q10,R10,S10)=0,"",Q10+R10+S10)</f>
        <v/>
      </c>
      <c r="U10" s="29" t="n"/>
      <c r="V10" s="29" t="n"/>
      <c r="W10" s="29" t="n"/>
      <c r="X10" s="30">
        <f>IF(COUNTA(U10,V10,W10)=0,"",U10+V10+W10)</f>
        <v/>
      </c>
      <c r="Y10" s="31" t="n"/>
      <c r="Z10" s="31" t="n"/>
      <c r="AA10" s="31" t="n"/>
      <c r="AB10" s="32">
        <f>IF(COUNTA(Y10,Z10,AA10)=0,"",Y10+Z10+AA10)</f>
        <v/>
      </c>
      <c r="AC10" s="33">
        <f>IF(COUNTA(H10,L10,P10,T10,X10,AB10)=0,"",H10+L10+P10+T10+X10+AB10)</f>
        <v/>
      </c>
      <c r="AD10" s="33">
        <f>IF(AC10="","",IF(AC10&gt;=85,"A",IF(AC10&gt;=75,"AB",IF(AC10&gt;=65,"B",IF(AC10&gt;=55,"BC",IF(AC10&gt;=45,"C",IF(AC10&gt;=35,"CD",IF(AC10&gt;=25,"D","E"))))))))</f>
        <v/>
      </c>
      <c r="AE10" s="37" t="inlineStr"/>
    </row>
    <row r="11" ht="18" customHeight="1">
      <c r="A11" s="35" t="n">
        <v>8</v>
      </c>
      <c r="B11" s="35" t="inlineStr">
        <is>
          <t>24060124130085</t>
        </is>
      </c>
      <c r="C11" s="36" t="inlineStr">
        <is>
          <t>Raffa Putra Nugroho</t>
        </is>
      </c>
      <c r="D11" s="35" t="n">
        <v>2</v>
      </c>
      <c r="E11" s="21" t="n"/>
      <c r="F11" s="21" t="n"/>
      <c r="G11" s="21" t="n"/>
      <c r="H11" s="22">
        <f>IF(COUNTA(E11,F11,G11)=0,"",E11+F11+G11)</f>
        <v/>
      </c>
      <c r="I11" s="23" t="n"/>
      <c r="J11" s="23" t="n"/>
      <c r="K11" s="23" t="n"/>
      <c r="L11" s="24">
        <f>IF(COUNTA(I11,J11,K11)=0,"",I11+J11+K11)</f>
        <v/>
      </c>
      <c r="M11" s="25" t="n"/>
      <c r="N11" s="25" t="n"/>
      <c r="O11" s="25" t="n"/>
      <c r="P11" s="26">
        <f>IF(COUNTA(M11,N11,O11)=0,"",M11+N11+O11)</f>
        <v/>
      </c>
      <c r="Q11" s="27" t="n"/>
      <c r="R11" s="27" t="n"/>
      <c r="S11" s="27" t="n"/>
      <c r="T11" s="28">
        <f>IF(COUNTA(Q11,R11,S11)=0,"",Q11+R11+S11)</f>
        <v/>
      </c>
      <c r="U11" s="29" t="n"/>
      <c r="V11" s="29" t="n"/>
      <c r="W11" s="29" t="n"/>
      <c r="X11" s="30">
        <f>IF(COUNTA(U11,V11,W11)=0,"",U11+V11+W11)</f>
        <v/>
      </c>
      <c r="Y11" s="31" t="n"/>
      <c r="Z11" s="31" t="n"/>
      <c r="AA11" s="31" t="n"/>
      <c r="AB11" s="32">
        <f>IF(COUNTA(Y11,Z11,AA11)=0,"",Y11+Z11+AA11)</f>
        <v/>
      </c>
      <c r="AC11" s="33">
        <f>IF(COUNTA(H11,L11,P11,T11,X11,AB11)=0,"",H11+L11+P11+T11+X11+AB11)</f>
        <v/>
      </c>
      <c r="AD11" s="33">
        <f>IF(AC11="","",IF(AC11&gt;=85,"A",IF(AC11&gt;=75,"AB",IF(AC11&gt;=65,"B",IF(AC11&gt;=55,"BC",IF(AC11&gt;=45,"C",IF(AC11&gt;=35,"CD",IF(AC11&gt;=25,"D","E"))))))))</f>
        <v/>
      </c>
      <c r="AE11" s="37" t="inlineStr"/>
    </row>
    <row r="12" ht="18" customHeight="1">
      <c r="A12" s="19" t="n">
        <v>9</v>
      </c>
      <c r="B12" s="19" t="inlineStr">
        <is>
          <t>24060124130106</t>
        </is>
      </c>
      <c r="C12" s="20" t="inlineStr">
        <is>
          <t>Shofwan Fikrul Huda</t>
        </is>
      </c>
      <c r="D12" s="19" t="n">
        <v>3</v>
      </c>
      <c r="E12" s="21" t="n"/>
      <c r="F12" s="21" t="n"/>
      <c r="G12" s="21" t="n"/>
      <c r="H12" s="22">
        <f>IF(COUNTA(E12,F12,G12)=0,"",E12+F12+G12)</f>
        <v/>
      </c>
      <c r="I12" s="23" t="n"/>
      <c r="J12" s="23" t="n"/>
      <c r="K12" s="23" t="n"/>
      <c r="L12" s="24">
        <f>IF(COUNTA(I12,J12,K12)=0,"",I12+J12+K12)</f>
        <v/>
      </c>
      <c r="M12" s="25" t="n"/>
      <c r="N12" s="25" t="n"/>
      <c r="O12" s="25" t="n"/>
      <c r="P12" s="26">
        <f>IF(COUNTA(M12,N12,O12)=0,"",M12+N12+O12)</f>
        <v/>
      </c>
      <c r="Q12" s="27" t="n"/>
      <c r="R12" s="27" t="n"/>
      <c r="S12" s="27" t="n"/>
      <c r="T12" s="28">
        <f>IF(COUNTA(Q12,R12,S12)=0,"",Q12+R12+S12)</f>
        <v/>
      </c>
      <c r="U12" s="29" t="n"/>
      <c r="V12" s="29" t="n"/>
      <c r="W12" s="29" t="n"/>
      <c r="X12" s="30">
        <f>IF(COUNTA(U12,V12,W12)=0,"",U12+V12+W12)</f>
        <v/>
      </c>
      <c r="Y12" s="31" t="n"/>
      <c r="Z12" s="31" t="n"/>
      <c r="AA12" s="31" t="n"/>
      <c r="AB12" s="32">
        <f>IF(COUNTA(Y12,Z12,AA12)=0,"",Y12+Z12+AA12)</f>
        <v/>
      </c>
      <c r="AC12" s="33">
        <f>IF(COUNTA(H12,L12,P12,T12,X12,AB12)=0,"",H12+L12+P12+T12+X12+AB12)</f>
        <v/>
      </c>
      <c r="AD12" s="33">
        <f>IF(AC12="","",IF(AC12&gt;=85,"A",IF(AC12&gt;=75,"AB",IF(AC12&gt;=65,"B",IF(AC12&gt;=55,"BC",IF(AC12&gt;=45,"C",IF(AC12&gt;=35,"CD",IF(AC12&gt;=25,"D","E"))))))))</f>
        <v/>
      </c>
      <c r="AE12" s="34" t="inlineStr"/>
    </row>
    <row r="13" ht="18" customHeight="1">
      <c r="A13" s="19" t="n">
        <v>10</v>
      </c>
      <c r="B13" s="19" t="inlineStr">
        <is>
          <t>24060124120043</t>
        </is>
      </c>
      <c r="C13" s="20" t="inlineStr">
        <is>
          <t>Syifa Aeni Mudrikah</t>
        </is>
      </c>
      <c r="D13" s="19" t="n">
        <v>3</v>
      </c>
      <c r="E13" s="21" t="n"/>
      <c r="F13" s="21" t="n"/>
      <c r="G13" s="21" t="n"/>
      <c r="H13" s="22">
        <f>IF(COUNTA(E13,F13,G13)=0,"",E13+F13+G13)</f>
        <v/>
      </c>
      <c r="I13" s="23" t="n"/>
      <c r="J13" s="23" t="n"/>
      <c r="K13" s="23" t="n"/>
      <c r="L13" s="24">
        <f>IF(COUNTA(I13,J13,K13)=0,"",I13+J13+K13)</f>
        <v/>
      </c>
      <c r="M13" s="25" t="n"/>
      <c r="N13" s="25" t="n"/>
      <c r="O13" s="25" t="n"/>
      <c r="P13" s="26">
        <f>IF(COUNTA(M13,N13,O13)=0,"",M13+N13+O13)</f>
        <v/>
      </c>
      <c r="Q13" s="27" t="n"/>
      <c r="R13" s="27" t="n"/>
      <c r="S13" s="27" t="n"/>
      <c r="T13" s="28">
        <f>IF(COUNTA(Q13,R13,S13)=0,"",Q13+R13+S13)</f>
        <v/>
      </c>
      <c r="U13" s="29" t="n"/>
      <c r="V13" s="29" t="n"/>
      <c r="W13" s="29" t="n"/>
      <c r="X13" s="30">
        <f>IF(COUNTA(U13,V13,W13)=0,"",U13+V13+W13)</f>
        <v/>
      </c>
      <c r="Y13" s="31" t="n"/>
      <c r="Z13" s="31" t="n"/>
      <c r="AA13" s="31" t="n"/>
      <c r="AB13" s="32">
        <f>IF(COUNTA(Y13,Z13,AA13)=0,"",Y13+Z13+AA13)</f>
        <v/>
      </c>
      <c r="AC13" s="33">
        <f>IF(COUNTA(H13,L13,P13,T13,X13,AB13)=0,"",H13+L13+P13+T13+X13+AB13)</f>
        <v/>
      </c>
      <c r="AD13" s="33">
        <f>IF(AC13="","",IF(AC13&gt;=85,"A",IF(AC13&gt;=75,"AB",IF(AC13&gt;=65,"B",IF(AC13&gt;=55,"BC",IF(AC13&gt;=45,"C",IF(AC13&gt;=35,"CD",IF(AC13&gt;=25,"D","E"))))))))</f>
        <v/>
      </c>
      <c r="AE13" s="34" t="inlineStr"/>
    </row>
    <row r="14" ht="18" customHeight="1">
      <c r="A14" s="19" t="n">
        <v>11</v>
      </c>
      <c r="B14" s="19" t="inlineStr">
        <is>
          <t>24060124140146</t>
        </is>
      </c>
      <c r="C14" s="20" t="inlineStr">
        <is>
          <t>Shafa Aqilla Zahira</t>
        </is>
      </c>
      <c r="D14" s="19" t="n">
        <v>3</v>
      </c>
      <c r="E14" s="21" t="n"/>
      <c r="F14" s="21" t="n"/>
      <c r="G14" s="21" t="n"/>
      <c r="H14" s="22">
        <f>IF(COUNTA(E14,F14,G14)=0,"",E14+F14+G14)</f>
        <v/>
      </c>
      <c r="I14" s="23" t="n"/>
      <c r="J14" s="23" t="n"/>
      <c r="K14" s="23" t="n"/>
      <c r="L14" s="24">
        <f>IF(COUNTA(I14,J14,K14)=0,"",I14+J14+K14)</f>
        <v/>
      </c>
      <c r="M14" s="25" t="n"/>
      <c r="N14" s="25" t="n"/>
      <c r="O14" s="25" t="n"/>
      <c r="P14" s="26">
        <f>IF(COUNTA(M14,N14,O14)=0,"",M14+N14+O14)</f>
        <v/>
      </c>
      <c r="Q14" s="27" t="n"/>
      <c r="R14" s="27" t="n"/>
      <c r="S14" s="27" t="n"/>
      <c r="T14" s="28">
        <f>IF(COUNTA(Q14,R14,S14)=0,"",Q14+R14+S14)</f>
        <v/>
      </c>
      <c r="U14" s="29" t="n"/>
      <c r="V14" s="29" t="n"/>
      <c r="W14" s="29" t="n"/>
      <c r="X14" s="30">
        <f>IF(COUNTA(U14,V14,W14)=0,"",U14+V14+W14)</f>
        <v/>
      </c>
      <c r="Y14" s="31" t="n"/>
      <c r="Z14" s="31" t="n"/>
      <c r="AA14" s="31" t="n"/>
      <c r="AB14" s="32">
        <f>IF(COUNTA(Y14,Z14,AA14)=0,"",Y14+Z14+AA14)</f>
        <v/>
      </c>
      <c r="AC14" s="33">
        <f>IF(COUNTA(H14,L14,P14,T14,X14,AB14)=0,"",H14+L14+P14+T14+X14+AB14)</f>
        <v/>
      </c>
      <c r="AD14" s="33">
        <f>IF(AC14="","",IF(AC14&gt;=85,"A",IF(AC14&gt;=75,"AB",IF(AC14&gt;=65,"B",IF(AC14&gt;=55,"BC",IF(AC14&gt;=45,"C",IF(AC14&gt;=35,"CD",IF(AC14&gt;=25,"D","E"))))))))</f>
        <v/>
      </c>
      <c r="AE14" s="34" t="inlineStr"/>
    </row>
    <row r="15" ht="18" customHeight="1">
      <c r="A15" s="19" t="n">
        <v>12</v>
      </c>
      <c r="B15" s="19" t="inlineStr">
        <is>
          <t>24060124130071</t>
        </is>
      </c>
      <c r="C15" s="20" t="inlineStr">
        <is>
          <t>Rafi Anandra Dharmawan</t>
        </is>
      </c>
      <c r="D15" s="19" t="n">
        <v>3</v>
      </c>
      <c r="E15" s="21" t="n"/>
      <c r="F15" s="21" t="n"/>
      <c r="G15" s="21" t="n"/>
      <c r="H15" s="22">
        <f>IF(COUNTA(E15,F15,G15)=0,"",E15+F15+G15)</f>
        <v/>
      </c>
      <c r="I15" s="23" t="n"/>
      <c r="J15" s="23" t="n"/>
      <c r="K15" s="23" t="n"/>
      <c r="L15" s="24">
        <f>IF(COUNTA(I15,J15,K15)=0,"",I15+J15+K15)</f>
        <v/>
      </c>
      <c r="M15" s="25" t="n"/>
      <c r="N15" s="25" t="n"/>
      <c r="O15" s="25" t="n"/>
      <c r="P15" s="26">
        <f>IF(COUNTA(M15,N15,O15)=0,"",M15+N15+O15)</f>
        <v/>
      </c>
      <c r="Q15" s="27" t="n"/>
      <c r="R15" s="27" t="n"/>
      <c r="S15" s="27" t="n"/>
      <c r="T15" s="28">
        <f>IF(COUNTA(Q15,R15,S15)=0,"",Q15+R15+S15)</f>
        <v/>
      </c>
      <c r="U15" s="29" t="n"/>
      <c r="V15" s="29" t="n"/>
      <c r="W15" s="29" t="n"/>
      <c r="X15" s="30">
        <f>IF(COUNTA(U15,V15,W15)=0,"",U15+V15+W15)</f>
        <v/>
      </c>
      <c r="Y15" s="31" t="n"/>
      <c r="Z15" s="31" t="n"/>
      <c r="AA15" s="31" t="n"/>
      <c r="AB15" s="32">
        <f>IF(COUNTA(Y15,Z15,AA15)=0,"",Y15+Z15+AA15)</f>
        <v/>
      </c>
      <c r="AC15" s="33">
        <f>IF(COUNTA(H15,L15,P15,T15,X15,AB15)=0,"",H15+L15+P15+T15+X15+AB15)</f>
        <v/>
      </c>
      <c r="AD15" s="33">
        <f>IF(AC15="","",IF(AC15&gt;=85,"A",IF(AC15&gt;=75,"AB",IF(AC15&gt;=65,"B",IF(AC15&gt;=55,"BC",IF(AC15&gt;=45,"C",IF(AC15&gt;=35,"CD",IF(AC15&gt;=25,"D","E"))))))))</f>
        <v/>
      </c>
      <c r="AE15" s="34" t="inlineStr"/>
    </row>
    <row r="16" ht="18" customHeight="1">
      <c r="A16" s="35" t="n">
        <v>13</v>
      </c>
      <c r="B16" s="35" t="inlineStr">
        <is>
          <t>24060124120034</t>
        </is>
      </c>
      <c r="C16" s="36" t="inlineStr">
        <is>
          <t>Diah Maulida Pratiwi</t>
        </is>
      </c>
      <c r="D16" s="35" t="n">
        <v>4</v>
      </c>
      <c r="E16" s="21" t="n"/>
      <c r="F16" s="21" t="n"/>
      <c r="G16" s="21" t="n"/>
      <c r="H16" s="22">
        <f>IF(COUNTA(E16,F16,G16)=0,"",E16+F16+G16)</f>
        <v/>
      </c>
      <c r="I16" s="23" t="n"/>
      <c r="J16" s="23" t="n"/>
      <c r="K16" s="23" t="n"/>
      <c r="L16" s="24">
        <f>IF(COUNTA(I16,J16,K16)=0,"",I16+J16+K16)</f>
        <v/>
      </c>
      <c r="M16" s="25" t="n"/>
      <c r="N16" s="25" t="n"/>
      <c r="O16" s="25" t="n"/>
      <c r="P16" s="26">
        <f>IF(COUNTA(M16,N16,O16)=0,"",M16+N16+O16)</f>
        <v/>
      </c>
      <c r="Q16" s="27" t="n"/>
      <c r="R16" s="27" t="n"/>
      <c r="S16" s="27" t="n"/>
      <c r="T16" s="28">
        <f>IF(COUNTA(Q16,R16,S16)=0,"",Q16+R16+S16)</f>
        <v/>
      </c>
      <c r="U16" s="29" t="n"/>
      <c r="V16" s="29" t="n"/>
      <c r="W16" s="29" t="n"/>
      <c r="X16" s="30">
        <f>IF(COUNTA(U16,V16,W16)=0,"",U16+V16+W16)</f>
        <v/>
      </c>
      <c r="Y16" s="31" t="n"/>
      <c r="Z16" s="31" t="n"/>
      <c r="AA16" s="31" t="n"/>
      <c r="AB16" s="32">
        <f>IF(COUNTA(Y16,Z16,AA16)=0,"",Y16+Z16+AA16)</f>
        <v/>
      </c>
      <c r="AC16" s="33">
        <f>IF(COUNTA(H16,L16,P16,T16,X16,AB16)=0,"",H16+L16+P16+T16+X16+AB16)</f>
        <v/>
      </c>
      <c r="AD16" s="33">
        <f>IF(AC16="","",IF(AC16&gt;=85,"A",IF(AC16&gt;=75,"AB",IF(AC16&gt;=65,"B",IF(AC16&gt;=55,"BC",IF(AC16&gt;=45,"C",IF(AC16&gt;=35,"CD",IF(AC16&gt;=25,"D","E"))))))))</f>
        <v/>
      </c>
      <c r="AE16" s="37" t="inlineStr"/>
    </row>
    <row r="17" ht="18" customHeight="1">
      <c r="A17" s="35" t="n">
        <v>14</v>
      </c>
      <c r="B17" s="35" t="inlineStr">
        <is>
          <t>24060124130081</t>
        </is>
      </c>
      <c r="C17" s="36" t="inlineStr">
        <is>
          <t>Hana Nafi'atul Haq</t>
        </is>
      </c>
      <c r="D17" s="35" t="n">
        <v>4</v>
      </c>
      <c r="E17" s="21" t="n"/>
      <c r="F17" s="21" t="n"/>
      <c r="G17" s="21" t="n"/>
      <c r="H17" s="22">
        <f>IF(COUNTA(E17,F17,G17)=0,"",E17+F17+G17)</f>
        <v/>
      </c>
      <c r="I17" s="23" t="n"/>
      <c r="J17" s="23" t="n"/>
      <c r="K17" s="23" t="n"/>
      <c r="L17" s="24">
        <f>IF(COUNTA(I17,J17,K17)=0,"",I17+J17+K17)</f>
        <v/>
      </c>
      <c r="M17" s="25" t="n"/>
      <c r="N17" s="25" t="n"/>
      <c r="O17" s="25" t="n"/>
      <c r="P17" s="26">
        <f>IF(COUNTA(M17,N17,O17)=0,"",M17+N17+O17)</f>
        <v/>
      </c>
      <c r="Q17" s="27" t="n"/>
      <c r="R17" s="27" t="n"/>
      <c r="S17" s="27" t="n"/>
      <c r="T17" s="28">
        <f>IF(COUNTA(Q17,R17,S17)=0,"",Q17+R17+S17)</f>
        <v/>
      </c>
      <c r="U17" s="29" t="n"/>
      <c r="V17" s="29" t="n"/>
      <c r="W17" s="29" t="n"/>
      <c r="X17" s="30">
        <f>IF(COUNTA(U17,V17,W17)=0,"",U17+V17+W17)</f>
        <v/>
      </c>
      <c r="Y17" s="31" t="n"/>
      <c r="Z17" s="31" t="n"/>
      <c r="AA17" s="31" t="n"/>
      <c r="AB17" s="32">
        <f>IF(COUNTA(Y17,Z17,AA17)=0,"",Y17+Z17+AA17)</f>
        <v/>
      </c>
      <c r="AC17" s="33">
        <f>IF(COUNTA(H17,L17,P17,T17,X17,AB17)=0,"",H17+L17+P17+T17+X17+AB17)</f>
        <v/>
      </c>
      <c r="AD17" s="33">
        <f>IF(AC17="","",IF(AC17&gt;=85,"A",IF(AC17&gt;=75,"AB",IF(AC17&gt;=65,"B",IF(AC17&gt;=55,"BC",IF(AC17&gt;=45,"C",IF(AC17&gt;=35,"CD",IF(AC17&gt;=25,"D","E"))))))))</f>
        <v/>
      </c>
      <c r="AE17" s="37" t="inlineStr"/>
    </row>
    <row r="18" ht="18" customHeight="1">
      <c r="A18" s="35" t="n">
        <v>15</v>
      </c>
      <c r="B18" s="35" t="inlineStr">
        <is>
          <t>24060124120002</t>
        </is>
      </c>
      <c r="C18" s="36" t="inlineStr">
        <is>
          <t>Birela Miadeta Purita</t>
        </is>
      </c>
      <c r="D18" s="35" t="n">
        <v>4</v>
      </c>
      <c r="E18" s="21" t="n"/>
      <c r="F18" s="21" t="n"/>
      <c r="G18" s="21" t="n"/>
      <c r="H18" s="22">
        <f>IF(COUNTA(E18,F18,G18)=0,"",E18+F18+G18)</f>
        <v/>
      </c>
      <c r="I18" s="23" t="n"/>
      <c r="J18" s="23" t="n"/>
      <c r="K18" s="23" t="n"/>
      <c r="L18" s="24">
        <f>IF(COUNTA(I18,J18,K18)=0,"",I18+J18+K18)</f>
        <v/>
      </c>
      <c r="M18" s="25" t="n"/>
      <c r="N18" s="25" t="n"/>
      <c r="O18" s="25" t="n"/>
      <c r="P18" s="26">
        <f>IF(COUNTA(M18,N18,O18)=0,"",M18+N18+O18)</f>
        <v/>
      </c>
      <c r="Q18" s="27" t="n"/>
      <c r="R18" s="27" t="n"/>
      <c r="S18" s="27" t="n"/>
      <c r="T18" s="28">
        <f>IF(COUNTA(Q18,R18,S18)=0,"",Q18+R18+S18)</f>
        <v/>
      </c>
      <c r="U18" s="29" t="n"/>
      <c r="V18" s="29" t="n"/>
      <c r="W18" s="29" t="n"/>
      <c r="X18" s="30">
        <f>IF(COUNTA(U18,V18,W18)=0,"",U18+V18+W18)</f>
        <v/>
      </c>
      <c r="Y18" s="31" t="n"/>
      <c r="Z18" s="31" t="n"/>
      <c r="AA18" s="31" t="n"/>
      <c r="AB18" s="32">
        <f>IF(COUNTA(Y18,Z18,AA18)=0,"",Y18+Z18+AA18)</f>
        <v/>
      </c>
      <c r="AC18" s="33">
        <f>IF(COUNTA(H18,L18,P18,T18,X18,AB18)=0,"",H18+L18+P18+T18+X18+AB18)</f>
        <v/>
      </c>
      <c r="AD18" s="33">
        <f>IF(AC18="","",IF(AC18&gt;=85,"A",IF(AC18&gt;=75,"AB",IF(AC18&gt;=65,"B",IF(AC18&gt;=55,"BC",IF(AC18&gt;=45,"C",IF(AC18&gt;=35,"CD",IF(AC18&gt;=25,"D","E"))))))))</f>
        <v/>
      </c>
      <c r="AE18" s="37" t="inlineStr"/>
    </row>
    <row r="19" ht="18" customHeight="1">
      <c r="A19" s="19" t="n">
        <v>16</v>
      </c>
      <c r="B19" s="19" t="inlineStr">
        <is>
          <t>24060124120038</t>
        </is>
      </c>
      <c r="C19" s="20" t="inlineStr">
        <is>
          <t>Alyssa Shane Kurniawan</t>
        </is>
      </c>
      <c r="D19" s="19" t="n">
        <v>5</v>
      </c>
      <c r="E19" s="21" t="n"/>
      <c r="F19" s="21" t="n"/>
      <c r="G19" s="21" t="n"/>
      <c r="H19" s="22">
        <f>IF(COUNTA(E19,F19,G19)=0,"",E19+F19+G19)</f>
        <v/>
      </c>
      <c r="I19" s="23" t="n"/>
      <c r="J19" s="23" t="n"/>
      <c r="K19" s="23" t="n"/>
      <c r="L19" s="24">
        <f>IF(COUNTA(I19,J19,K19)=0,"",I19+J19+K19)</f>
        <v/>
      </c>
      <c r="M19" s="25" t="n"/>
      <c r="N19" s="25" t="n"/>
      <c r="O19" s="25" t="n"/>
      <c r="P19" s="26">
        <f>IF(COUNTA(M19,N19,O19)=0,"",M19+N19+O19)</f>
        <v/>
      </c>
      <c r="Q19" s="27" t="n"/>
      <c r="R19" s="27" t="n"/>
      <c r="S19" s="27" t="n"/>
      <c r="T19" s="28">
        <f>IF(COUNTA(Q19,R19,S19)=0,"",Q19+R19+S19)</f>
        <v/>
      </c>
      <c r="U19" s="29" t="n"/>
      <c r="V19" s="29" t="n"/>
      <c r="W19" s="29" t="n"/>
      <c r="X19" s="30">
        <f>IF(COUNTA(U19,V19,W19)=0,"",U19+V19+W19)</f>
        <v/>
      </c>
      <c r="Y19" s="31" t="n"/>
      <c r="Z19" s="31" t="n"/>
      <c r="AA19" s="31" t="n"/>
      <c r="AB19" s="32">
        <f>IF(COUNTA(Y19,Z19,AA19)=0,"",Y19+Z19+AA19)</f>
        <v/>
      </c>
      <c r="AC19" s="33">
        <f>IF(COUNTA(H19,L19,P19,T19,X19,AB19)=0,"",H19+L19+P19+T19+X19+AB19)</f>
        <v/>
      </c>
      <c r="AD19" s="33">
        <f>IF(AC19="","",IF(AC19&gt;=85,"A",IF(AC19&gt;=75,"AB",IF(AC19&gt;=65,"B",IF(AC19&gt;=55,"BC",IF(AC19&gt;=45,"C",IF(AC19&gt;=35,"CD",IF(AC19&gt;=25,"D","E"))))))))</f>
        <v/>
      </c>
      <c r="AE19" s="34" t="inlineStr"/>
    </row>
    <row r="20" ht="18" customHeight="1">
      <c r="A20" s="19" t="n">
        <v>17</v>
      </c>
      <c r="B20" s="19" t="inlineStr">
        <is>
          <t>24060124120050</t>
        </is>
      </c>
      <c r="C20" s="20" t="inlineStr">
        <is>
          <t>Olivia Oktaviani</t>
        </is>
      </c>
      <c r="D20" s="19" t="n">
        <v>5</v>
      </c>
      <c r="E20" s="21" t="n"/>
      <c r="F20" s="21" t="n"/>
      <c r="G20" s="21" t="n"/>
      <c r="H20" s="22">
        <f>IF(COUNTA(E20,F20,G20)=0,"",E20+F20+G20)</f>
        <v/>
      </c>
      <c r="I20" s="23" t="n"/>
      <c r="J20" s="23" t="n"/>
      <c r="K20" s="23" t="n"/>
      <c r="L20" s="24">
        <f>IF(COUNTA(I20,J20,K20)=0,"",I20+J20+K20)</f>
        <v/>
      </c>
      <c r="M20" s="25" t="n"/>
      <c r="N20" s="25" t="n"/>
      <c r="O20" s="25" t="n"/>
      <c r="P20" s="26">
        <f>IF(COUNTA(M20,N20,O20)=0,"",M20+N20+O20)</f>
        <v/>
      </c>
      <c r="Q20" s="27" t="n"/>
      <c r="R20" s="27" t="n"/>
      <c r="S20" s="27" t="n"/>
      <c r="T20" s="28">
        <f>IF(COUNTA(Q20,R20,S20)=0,"",Q20+R20+S20)</f>
        <v/>
      </c>
      <c r="U20" s="29" t="n"/>
      <c r="V20" s="29" t="n"/>
      <c r="W20" s="29" t="n"/>
      <c r="X20" s="30">
        <f>IF(COUNTA(U20,V20,W20)=0,"",U20+V20+W20)</f>
        <v/>
      </c>
      <c r="Y20" s="31" t="n"/>
      <c r="Z20" s="31" t="n"/>
      <c r="AA20" s="31" t="n"/>
      <c r="AB20" s="32">
        <f>IF(COUNTA(Y20,Z20,AA20)=0,"",Y20+Z20+AA20)</f>
        <v/>
      </c>
      <c r="AC20" s="33">
        <f>IF(COUNTA(H20,L20,P20,T20,X20,AB20)=0,"",H20+L20+P20+T20+X20+AB20)</f>
        <v/>
      </c>
      <c r="AD20" s="33">
        <f>IF(AC20="","",IF(AC20&gt;=85,"A",IF(AC20&gt;=75,"AB",IF(AC20&gt;=65,"B",IF(AC20&gt;=55,"BC",IF(AC20&gt;=45,"C",IF(AC20&gt;=35,"CD",IF(AC20&gt;=25,"D","E"))))))))</f>
        <v/>
      </c>
      <c r="AE20" s="34" t="inlineStr"/>
    </row>
    <row r="21" ht="18" customHeight="1">
      <c r="A21" s="19" t="n">
        <v>18</v>
      </c>
      <c r="B21" s="19" t="inlineStr">
        <is>
          <t>24060124140132</t>
        </is>
      </c>
      <c r="C21" s="20" t="inlineStr">
        <is>
          <t>Puti Shasta Khafiyani</t>
        </is>
      </c>
      <c r="D21" s="19" t="n">
        <v>5</v>
      </c>
      <c r="E21" s="21" t="n"/>
      <c r="F21" s="21" t="n"/>
      <c r="G21" s="21" t="n"/>
      <c r="H21" s="22">
        <f>IF(COUNTA(E21,F21,G21)=0,"",E21+F21+G21)</f>
        <v/>
      </c>
      <c r="I21" s="23" t="n"/>
      <c r="J21" s="23" t="n"/>
      <c r="K21" s="23" t="n"/>
      <c r="L21" s="24">
        <f>IF(COUNTA(I21,J21,K21)=0,"",I21+J21+K21)</f>
        <v/>
      </c>
      <c r="M21" s="25" t="n"/>
      <c r="N21" s="25" t="n"/>
      <c r="O21" s="25" t="n"/>
      <c r="P21" s="26">
        <f>IF(COUNTA(M21,N21,O21)=0,"",M21+N21+O21)</f>
        <v/>
      </c>
      <c r="Q21" s="27" t="n"/>
      <c r="R21" s="27" t="n"/>
      <c r="S21" s="27" t="n"/>
      <c r="T21" s="28">
        <f>IF(COUNTA(Q21,R21,S21)=0,"",Q21+R21+S21)</f>
        <v/>
      </c>
      <c r="U21" s="29" t="n"/>
      <c r="V21" s="29" t="n"/>
      <c r="W21" s="29" t="n"/>
      <c r="X21" s="30">
        <f>IF(COUNTA(U21,V21,W21)=0,"",U21+V21+W21)</f>
        <v/>
      </c>
      <c r="Y21" s="31" t="n"/>
      <c r="Z21" s="31" t="n"/>
      <c r="AA21" s="31" t="n"/>
      <c r="AB21" s="32">
        <f>IF(COUNTA(Y21,Z21,AA21)=0,"",Y21+Z21+AA21)</f>
        <v/>
      </c>
      <c r="AC21" s="33">
        <f>IF(COUNTA(H21,L21,P21,T21,X21,AB21)=0,"",H21+L21+P21+T21+X21+AB21)</f>
        <v/>
      </c>
      <c r="AD21" s="33">
        <f>IF(AC21="","",IF(AC21&gt;=85,"A",IF(AC21&gt;=75,"AB",IF(AC21&gt;=65,"B",IF(AC21&gt;=55,"BC",IF(AC21&gt;=45,"C",IF(AC21&gt;=35,"CD",IF(AC21&gt;=25,"D","E"))))))))</f>
        <v/>
      </c>
      <c r="AE21" s="34" t="inlineStr"/>
    </row>
    <row r="22" ht="18" customHeight="1">
      <c r="A22" s="19" t="n">
        <v>19</v>
      </c>
      <c r="B22" s="19" t="inlineStr">
        <is>
          <t>24060124140155</t>
        </is>
      </c>
      <c r="C22" s="20" t="inlineStr">
        <is>
          <t>Revalina Salwa Aliya W. P.</t>
        </is>
      </c>
      <c r="D22" s="19" t="n">
        <v>5</v>
      </c>
      <c r="E22" s="21" t="n"/>
      <c r="F22" s="21" t="n"/>
      <c r="G22" s="21" t="n"/>
      <c r="H22" s="22">
        <f>IF(COUNTA(E22,F22,G22)=0,"",E22+F22+G22)</f>
        <v/>
      </c>
      <c r="I22" s="23" t="n"/>
      <c r="J22" s="23" t="n"/>
      <c r="K22" s="23" t="n"/>
      <c r="L22" s="24">
        <f>IF(COUNTA(I22,J22,K22)=0,"",I22+J22+K22)</f>
        <v/>
      </c>
      <c r="M22" s="25" t="n"/>
      <c r="N22" s="25" t="n"/>
      <c r="O22" s="25" t="n"/>
      <c r="P22" s="26">
        <f>IF(COUNTA(M22,N22,O22)=0,"",M22+N22+O22)</f>
        <v/>
      </c>
      <c r="Q22" s="27" t="n"/>
      <c r="R22" s="27" t="n"/>
      <c r="S22" s="27" t="n"/>
      <c r="T22" s="28">
        <f>IF(COUNTA(Q22,R22,S22)=0,"",Q22+R22+S22)</f>
        <v/>
      </c>
      <c r="U22" s="29" t="n"/>
      <c r="V22" s="29" t="n"/>
      <c r="W22" s="29" t="n"/>
      <c r="X22" s="30">
        <f>IF(COUNTA(U22,V22,W22)=0,"",U22+V22+W22)</f>
        <v/>
      </c>
      <c r="Y22" s="31" t="n"/>
      <c r="Z22" s="31" t="n"/>
      <c r="AA22" s="31" t="n"/>
      <c r="AB22" s="32">
        <f>IF(COUNTA(Y22,Z22,AA22)=0,"",Y22+Z22+AA22)</f>
        <v/>
      </c>
      <c r="AC22" s="33">
        <f>IF(COUNTA(H22,L22,P22,T22,X22,AB22)=0,"",H22+L22+P22+T22+X22+AB22)</f>
        <v/>
      </c>
      <c r="AD22" s="33">
        <f>IF(AC22="","",IF(AC22&gt;=85,"A",IF(AC22&gt;=75,"AB",IF(AC22&gt;=65,"B",IF(AC22&gt;=55,"BC",IF(AC22&gt;=45,"C",IF(AC22&gt;=35,"CD",IF(AC22&gt;=25,"D","E"))))))))</f>
        <v/>
      </c>
      <c r="AE22" s="34" t="inlineStr"/>
    </row>
    <row r="23" ht="18" customHeight="1">
      <c r="A23" s="35" t="n">
        <v>20</v>
      </c>
      <c r="B23" s="35" t="inlineStr">
        <is>
          <t>24060124120044</t>
        </is>
      </c>
      <c r="C23" s="36" t="inlineStr">
        <is>
          <t>Jordan Tenggara</t>
        </is>
      </c>
      <c r="D23" s="35" t="n">
        <v>6</v>
      </c>
      <c r="E23" s="21" t="n"/>
      <c r="F23" s="21" t="n"/>
      <c r="G23" s="21" t="n"/>
      <c r="H23" s="22">
        <f>IF(COUNTA(E23,F23,G23)=0,"",E23+F23+G23)</f>
        <v/>
      </c>
      <c r="I23" s="23" t="n"/>
      <c r="J23" s="23" t="n"/>
      <c r="K23" s="23" t="n"/>
      <c r="L23" s="24">
        <f>IF(COUNTA(I23,J23,K23)=0,"",I23+J23+K23)</f>
        <v/>
      </c>
      <c r="M23" s="25" t="n"/>
      <c r="N23" s="25" t="n"/>
      <c r="O23" s="25" t="n"/>
      <c r="P23" s="26">
        <f>IF(COUNTA(M23,N23,O23)=0,"",M23+N23+O23)</f>
        <v/>
      </c>
      <c r="Q23" s="27" t="n"/>
      <c r="R23" s="27" t="n"/>
      <c r="S23" s="27" t="n"/>
      <c r="T23" s="28">
        <f>IF(COUNTA(Q23,R23,S23)=0,"",Q23+R23+S23)</f>
        <v/>
      </c>
      <c r="U23" s="29" t="n"/>
      <c r="V23" s="29" t="n"/>
      <c r="W23" s="29" t="n"/>
      <c r="X23" s="30">
        <f>IF(COUNTA(U23,V23,W23)=0,"",U23+V23+W23)</f>
        <v/>
      </c>
      <c r="Y23" s="31" t="n"/>
      <c r="Z23" s="31" t="n"/>
      <c r="AA23" s="31" t="n"/>
      <c r="AB23" s="32">
        <f>IF(COUNTA(Y23,Z23,AA23)=0,"",Y23+Z23+AA23)</f>
        <v/>
      </c>
      <c r="AC23" s="33">
        <f>IF(COUNTA(H23,L23,P23,T23,X23,AB23)=0,"",H23+L23+P23+T23+X23+AB23)</f>
        <v/>
      </c>
      <c r="AD23" s="33">
        <f>IF(AC23="","",IF(AC23&gt;=85,"A",IF(AC23&gt;=75,"AB",IF(AC23&gt;=65,"B",IF(AC23&gt;=55,"BC",IF(AC23&gt;=45,"C",IF(AC23&gt;=35,"CD",IF(AC23&gt;=25,"D","E"))))))))</f>
        <v/>
      </c>
      <c r="AE23" s="37" t="inlineStr"/>
    </row>
    <row r="24" ht="18" customHeight="1">
      <c r="A24" s="35" t="n">
        <v>21</v>
      </c>
      <c r="B24" s="35" t="inlineStr">
        <is>
          <t>24060124130078</t>
        </is>
      </c>
      <c r="C24" s="36" t="inlineStr">
        <is>
          <t>Restu Surya</t>
        </is>
      </c>
      <c r="D24" s="35" t="n">
        <v>6</v>
      </c>
      <c r="E24" s="21" t="n"/>
      <c r="F24" s="21" t="n"/>
      <c r="G24" s="21" t="n"/>
      <c r="H24" s="22">
        <f>IF(COUNTA(E24,F24,G24)=0,"",E24+F24+G24)</f>
        <v/>
      </c>
      <c r="I24" s="23" t="n"/>
      <c r="J24" s="23" t="n"/>
      <c r="K24" s="23" t="n"/>
      <c r="L24" s="24">
        <f>IF(COUNTA(I24,J24,K24)=0,"",I24+J24+K24)</f>
        <v/>
      </c>
      <c r="M24" s="25" t="n"/>
      <c r="N24" s="25" t="n"/>
      <c r="O24" s="25" t="n"/>
      <c r="P24" s="26">
        <f>IF(COUNTA(M24,N24,O24)=0,"",M24+N24+O24)</f>
        <v/>
      </c>
      <c r="Q24" s="27" t="n"/>
      <c r="R24" s="27" t="n"/>
      <c r="S24" s="27" t="n"/>
      <c r="T24" s="28">
        <f>IF(COUNTA(Q24,R24,S24)=0,"",Q24+R24+S24)</f>
        <v/>
      </c>
      <c r="U24" s="29" t="n"/>
      <c r="V24" s="29" t="n"/>
      <c r="W24" s="29" t="n"/>
      <c r="X24" s="30">
        <f>IF(COUNTA(U24,V24,W24)=0,"",U24+V24+W24)</f>
        <v/>
      </c>
      <c r="Y24" s="31" t="n"/>
      <c r="Z24" s="31" t="n"/>
      <c r="AA24" s="31" t="n"/>
      <c r="AB24" s="32">
        <f>IF(COUNTA(Y24,Z24,AA24)=0,"",Y24+Z24+AA24)</f>
        <v/>
      </c>
      <c r="AC24" s="33">
        <f>IF(COUNTA(H24,L24,P24,T24,X24,AB24)=0,"",H24+L24+P24+T24+X24+AB24)</f>
        <v/>
      </c>
      <c r="AD24" s="33">
        <f>IF(AC24="","",IF(AC24&gt;=85,"A",IF(AC24&gt;=75,"AB",IF(AC24&gt;=65,"B",IF(AC24&gt;=55,"BC",IF(AC24&gt;=45,"C",IF(AC24&gt;=35,"CD",IF(AC24&gt;=25,"D","E"))))))))</f>
        <v/>
      </c>
      <c r="AE24" s="37" t="inlineStr"/>
    </row>
    <row r="25" ht="18" customHeight="1">
      <c r="A25" s="35" t="n">
        <v>22</v>
      </c>
      <c r="B25" s="35" t="inlineStr">
        <is>
          <t>240601241*</t>
        </is>
      </c>
      <c r="C25" s="36" t="inlineStr">
        <is>
          <t>Reynaldi Bertinus Hutagaol</t>
        </is>
      </c>
      <c r="D25" s="35" t="n">
        <v>6</v>
      </c>
      <c r="E25" s="21" t="n"/>
      <c r="F25" s="21" t="n"/>
      <c r="G25" s="21" t="n"/>
      <c r="H25" s="22">
        <f>IF(COUNTA(E25,F25,G25)=0,"",E25+F25+G25)</f>
        <v/>
      </c>
      <c r="I25" s="23" t="n"/>
      <c r="J25" s="23" t="n"/>
      <c r="K25" s="23" t="n"/>
      <c r="L25" s="24">
        <f>IF(COUNTA(I25,J25,K25)=0,"",I25+J25+K25)</f>
        <v/>
      </c>
      <c r="M25" s="25" t="n"/>
      <c r="N25" s="25" t="n"/>
      <c r="O25" s="25" t="n"/>
      <c r="P25" s="26">
        <f>IF(COUNTA(M25,N25,O25)=0,"",M25+N25+O25)</f>
        <v/>
      </c>
      <c r="Q25" s="27" t="n"/>
      <c r="R25" s="27" t="n"/>
      <c r="S25" s="27" t="n"/>
      <c r="T25" s="28">
        <f>IF(COUNTA(Q25,R25,S25)=0,"",Q25+R25+S25)</f>
        <v/>
      </c>
      <c r="U25" s="29" t="n"/>
      <c r="V25" s="29" t="n"/>
      <c r="W25" s="29" t="n"/>
      <c r="X25" s="30">
        <f>IF(COUNTA(U25,V25,W25)=0,"",U25+V25+W25)</f>
        <v/>
      </c>
      <c r="Y25" s="31" t="n"/>
      <c r="Z25" s="31" t="n"/>
      <c r="AA25" s="31" t="n"/>
      <c r="AB25" s="32">
        <f>IF(COUNTA(Y25,Z25,AA25)=0,"",Y25+Z25+AA25)</f>
        <v/>
      </c>
      <c r="AC25" s="33">
        <f>IF(COUNTA(H25,L25,P25,T25,X25,AB25)=0,"",H25+L25+P25+T25+X25+AB25)</f>
        <v/>
      </c>
      <c r="AD25" s="33">
        <f>IF(AC25="","",IF(AC25&gt;=85,"A",IF(AC25&gt;=75,"AB",IF(AC25&gt;=65,"B",IF(AC25&gt;=55,"BC",IF(AC25&gt;=45,"C",IF(AC25&gt;=35,"CD",IF(AC25&gt;=25,"D","E"))))))))</f>
        <v/>
      </c>
      <c r="AE25" s="38" t="inlineStr">
        <is>
          <t>[!] NIM tidak lengkap (9 digit), wajib konfirmasi</t>
        </is>
      </c>
    </row>
    <row r="26" ht="18" customHeight="1">
      <c r="A26" s="35" t="n">
        <v>23</v>
      </c>
      <c r="B26" s="35" t="inlineStr">
        <is>
          <t>2406012414193*</t>
        </is>
      </c>
      <c r="C26" s="36" t="inlineStr">
        <is>
          <t>Mohammad Banyuputra Eka Pramuditha</t>
        </is>
      </c>
      <c r="D26" s="35" t="n">
        <v>6</v>
      </c>
      <c r="E26" s="21" t="n"/>
      <c r="F26" s="21" t="n"/>
      <c r="G26" s="21" t="n"/>
      <c r="H26" s="22">
        <f>IF(COUNTA(E26,F26,G26)=0,"",E26+F26+G26)</f>
        <v/>
      </c>
      <c r="I26" s="23" t="n"/>
      <c r="J26" s="23" t="n"/>
      <c r="K26" s="23" t="n"/>
      <c r="L26" s="24">
        <f>IF(COUNTA(I26,J26,K26)=0,"",I26+J26+K26)</f>
        <v/>
      </c>
      <c r="M26" s="25" t="n"/>
      <c r="N26" s="25" t="n"/>
      <c r="O26" s="25" t="n"/>
      <c r="P26" s="26">
        <f>IF(COUNTA(M26,N26,O26)=0,"",M26+N26+O26)</f>
        <v/>
      </c>
      <c r="Q26" s="27" t="n"/>
      <c r="R26" s="27" t="n"/>
      <c r="S26" s="27" t="n"/>
      <c r="T26" s="28">
        <f>IF(COUNTA(Q26,R26,S26)=0,"",Q26+R26+S26)</f>
        <v/>
      </c>
      <c r="U26" s="29" t="n"/>
      <c r="V26" s="29" t="n"/>
      <c r="W26" s="29" t="n"/>
      <c r="X26" s="30">
        <f>IF(COUNTA(U26,V26,W26)=0,"",U26+V26+W26)</f>
        <v/>
      </c>
      <c r="Y26" s="31" t="n"/>
      <c r="Z26" s="31" t="n"/>
      <c r="AA26" s="31" t="n"/>
      <c r="AB26" s="32">
        <f>IF(COUNTA(Y26,Z26,AA26)=0,"",Y26+Z26+AA26)</f>
        <v/>
      </c>
      <c r="AC26" s="33">
        <f>IF(COUNTA(H26,L26,P26,T26,X26,AB26)=0,"",H26+L26+P26+T26+X26+AB26)</f>
        <v/>
      </c>
      <c r="AD26" s="33">
        <f>IF(AC26="","",IF(AC26&gt;=85,"A",IF(AC26&gt;=75,"AB",IF(AC26&gt;=65,"B",IF(AC26&gt;=55,"BC",IF(AC26&gt;=45,"C",IF(AC26&gt;=35,"CD",IF(AC26&gt;=25,"D","E"))))))))</f>
        <v/>
      </c>
      <c r="AE26" s="38" t="inlineStr">
        <is>
          <t>[!] NIM tidak lengkap (13 digit), wajib konfirmasi</t>
        </is>
      </c>
    </row>
    <row r="27" ht="18" customHeight="1">
      <c r="A27" s="19" t="n">
        <v>24</v>
      </c>
      <c r="B27" s="19" t="inlineStr">
        <is>
          <t>24060124130077</t>
        </is>
      </c>
      <c r="C27" s="20" t="inlineStr">
        <is>
          <t>Laurensius Brian Prayoga</t>
        </is>
      </c>
      <c r="D27" s="19" t="n">
        <v>7</v>
      </c>
      <c r="E27" s="21" t="n"/>
      <c r="F27" s="21" t="n"/>
      <c r="G27" s="21" t="n"/>
      <c r="H27" s="22">
        <f>IF(COUNTA(E27,F27,G27)=0,"",E27+F27+G27)</f>
        <v/>
      </c>
      <c r="I27" s="23" t="n"/>
      <c r="J27" s="23" t="n"/>
      <c r="K27" s="23" t="n"/>
      <c r="L27" s="24">
        <f>IF(COUNTA(I27,J27,K27)=0,"",I27+J27+K27)</f>
        <v/>
      </c>
      <c r="M27" s="25" t="n"/>
      <c r="N27" s="25" t="n"/>
      <c r="O27" s="25" t="n"/>
      <c r="P27" s="26">
        <f>IF(COUNTA(M27,N27,O27)=0,"",M27+N27+O27)</f>
        <v/>
      </c>
      <c r="Q27" s="27" t="n"/>
      <c r="R27" s="27" t="n"/>
      <c r="S27" s="27" t="n"/>
      <c r="T27" s="28">
        <f>IF(COUNTA(Q27,R27,S27)=0,"",Q27+R27+S27)</f>
        <v/>
      </c>
      <c r="U27" s="29" t="n"/>
      <c r="V27" s="29" t="n"/>
      <c r="W27" s="29" t="n"/>
      <c r="X27" s="30">
        <f>IF(COUNTA(U27,V27,W27)=0,"",U27+V27+W27)</f>
        <v/>
      </c>
      <c r="Y27" s="31" t="n"/>
      <c r="Z27" s="31" t="n"/>
      <c r="AA27" s="31" t="n"/>
      <c r="AB27" s="32">
        <f>IF(COUNTA(Y27,Z27,AA27)=0,"",Y27+Z27+AA27)</f>
        <v/>
      </c>
      <c r="AC27" s="33">
        <f>IF(COUNTA(H27,L27,P27,T27,X27,AB27)=0,"",H27+L27+P27+T27+X27+AB27)</f>
        <v/>
      </c>
      <c r="AD27" s="33">
        <f>IF(AC27="","",IF(AC27&gt;=85,"A",IF(AC27&gt;=75,"AB",IF(AC27&gt;=65,"B",IF(AC27&gt;=55,"BC",IF(AC27&gt;=45,"C",IF(AC27&gt;=35,"CD",IF(AC27&gt;=25,"D","E"))))))))</f>
        <v/>
      </c>
      <c r="AE27" s="34" t="inlineStr"/>
    </row>
    <row r="28" ht="18" customHeight="1">
      <c r="A28" s="19" t="n">
        <v>25</v>
      </c>
      <c r="B28" s="19" t="inlineStr">
        <is>
          <t>24060124140128</t>
        </is>
      </c>
      <c r="C28" s="20" t="inlineStr">
        <is>
          <t>Ida Bagus Ngurah Yudistira K</t>
        </is>
      </c>
      <c r="D28" s="19" t="n">
        <v>7</v>
      </c>
      <c r="E28" s="21" t="n"/>
      <c r="F28" s="21" t="n"/>
      <c r="G28" s="21" t="n"/>
      <c r="H28" s="22">
        <f>IF(COUNTA(E28,F28,G28)=0,"",E28+F28+G28)</f>
        <v/>
      </c>
      <c r="I28" s="23" t="n"/>
      <c r="J28" s="23" t="n"/>
      <c r="K28" s="23" t="n"/>
      <c r="L28" s="24">
        <f>IF(COUNTA(I28,J28,K28)=0,"",I28+J28+K28)</f>
        <v/>
      </c>
      <c r="M28" s="25" t="n"/>
      <c r="N28" s="25" t="n"/>
      <c r="O28" s="25" t="n"/>
      <c r="P28" s="26">
        <f>IF(COUNTA(M28,N28,O28)=0,"",M28+N28+O28)</f>
        <v/>
      </c>
      <c r="Q28" s="27" t="n"/>
      <c r="R28" s="27" t="n"/>
      <c r="S28" s="27" t="n"/>
      <c r="T28" s="28">
        <f>IF(COUNTA(Q28,R28,S28)=0,"",Q28+R28+S28)</f>
        <v/>
      </c>
      <c r="U28" s="29" t="n"/>
      <c r="V28" s="29" t="n"/>
      <c r="W28" s="29" t="n"/>
      <c r="X28" s="30">
        <f>IF(COUNTA(U28,V28,W28)=0,"",U28+V28+W28)</f>
        <v/>
      </c>
      <c r="Y28" s="31" t="n"/>
      <c r="Z28" s="31" t="n"/>
      <c r="AA28" s="31" t="n"/>
      <c r="AB28" s="32">
        <f>IF(COUNTA(Y28,Z28,AA28)=0,"",Y28+Z28+AA28)</f>
        <v/>
      </c>
      <c r="AC28" s="33">
        <f>IF(COUNTA(H28,L28,P28,T28,X28,AB28)=0,"",H28+L28+P28+T28+X28+AB28)</f>
        <v/>
      </c>
      <c r="AD28" s="33">
        <f>IF(AC28="","",IF(AC28&gt;=85,"A",IF(AC28&gt;=75,"AB",IF(AC28&gt;=65,"B",IF(AC28&gt;=55,"BC",IF(AC28&gt;=45,"C",IF(AC28&gt;=35,"CD",IF(AC28&gt;=25,"D","E"))))))))</f>
        <v/>
      </c>
      <c r="AE28" s="34" t="inlineStr"/>
    </row>
    <row r="29" ht="18" customHeight="1">
      <c r="A29" s="19" t="n">
        <v>26</v>
      </c>
      <c r="B29" s="19" t="inlineStr">
        <is>
          <t>24060124120001</t>
        </is>
      </c>
      <c r="C29" s="20" t="inlineStr">
        <is>
          <t>Rizky Saefirdaus</t>
        </is>
      </c>
      <c r="D29" s="19" t="n">
        <v>7</v>
      </c>
      <c r="E29" s="21" t="n"/>
      <c r="F29" s="21" t="n"/>
      <c r="G29" s="21" t="n"/>
      <c r="H29" s="22">
        <f>IF(COUNTA(E29,F29,G29)=0,"",E29+F29+G29)</f>
        <v/>
      </c>
      <c r="I29" s="23" t="n"/>
      <c r="J29" s="23" t="n"/>
      <c r="K29" s="23" t="n"/>
      <c r="L29" s="24">
        <f>IF(COUNTA(I29,J29,K29)=0,"",I29+J29+K29)</f>
        <v/>
      </c>
      <c r="M29" s="25" t="n"/>
      <c r="N29" s="25" t="n"/>
      <c r="O29" s="25" t="n"/>
      <c r="P29" s="26">
        <f>IF(COUNTA(M29,N29,O29)=0,"",M29+N29+O29)</f>
        <v/>
      </c>
      <c r="Q29" s="27" t="n"/>
      <c r="R29" s="27" t="n"/>
      <c r="S29" s="27" t="n"/>
      <c r="T29" s="28">
        <f>IF(COUNTA(Q29,R29,S29)=0,"",Q29+R29+S29)</f>
        <v/>
      </c>
      <c r="U29" s="29" t="n"/>
      <c r="V29" s="29" t="n"/>
      <c r="W29" s="29" t="n"/>
      <c r="X29" s="30">
        <f>IF(COUNTA(U29,V29,W29)=0,"",U29+V29+W29)</f>
        <v/>
      </c>
      <c r="Y29" s="31" t="n"/>
      <c r="Z29" s="31" t="n"/>
      <c r="AA29" s="31" t="n"/>
      <c r="AB29" s="32">
        <f>IF(COUNTA(Y29,Z29,AA29)=0,"",Y29+Z29+AA29)</f>
        <v/>
      </c>
      <c r="AC29" s="33">
        <f>IF(COUNTA(H29,L29,P29,T29,X29,AB29)=0,"",H29+L29+P29+T29+X29+AB29)</f>
        <v/>
      </c>
      <c r="AD29" s="33">
        <f>IF(AC29="","",IF(AC29&gt;=85,"A",IF(AC29&gt;=75,"AB",IF(AC29&gt;=65,"B",IF(AC29&gt;=55,"BC",IF(AC29&gt;=45,"C",IF(AC29&gt;=35,"CD",IF(AC29&gt;=25,"D","E"))))))))</f>
        <v/>
      </c>
      <c r="AE29" s="34" t="inlineStr"/>
    </row>
    <row r="30" ht="18" customHeight="1">
      <c r="A30" s="19" t="n">
        <v>27</v>
      </c>
      <c r="B30" s="19" t="inlineStr">
        <is>
          <t>24060124140153</t>
        </is>
      </c>
      <c r="C30" s="20" t="inlineStr">
        <is>
          <t>Iza Yunus Andhika</t>
        </is>
      </c>
      <c r="D30" s="19" t="n">
        <v>7</v>
      </c>
      <c r="E30" s="21" t="n"/>
      <c r="F30" s="21" t="n"/>
      <c r="G30" s="21" t="n"/>
      <c r="H30" s="22">
        <f>IF(COUNTA(E30,F30,G30)=0,"",E30+F30+G30)</f>
        <v/>
      </c>
      <c r="I30" s="23" t="n"/>
      <c r="J30" s="23" t="n"/>
      <c r="K30" s="23" t="n"/>
      <c r="L30" s="24">
        <f>IF(COUNTA(I30,J30,K30)=0,"",I30+J30+K30)</f>
        <v/>
      </c>
      <c r="M30" s="25" t="n"/>
      <c r="N30" s="25" t="n"/>
      <c r="O30" s="25" t="n"/>
      <c r="P30" s="26">
        <f>IF(COUNTA(M30,N30,O30)=0,"",M30+N30+O30)</f>
        <v/>
      </c>
      <c r="Q30" s="27" t="n"/>
      <c r="R30" s="27" t="n"/>
      <c r="S30" s="27" t="n"/>
      <c r="T30" s="28">
        <f>IF(COUNTA(Q30,R30,S30)=0,"",Q30+R30+S30)</f>
        <v/>
      </c>
      <c r="U30" s="29" t="n"/>
      <c r="V30" s="29" t="n"/>
      <c r="W30" s="29" t="n"/>
      <c r="X30" s="30">
        <f>IF(COUNTA(U30,V30,W30)=0,"",U30+V30+W30)</f>
        <v/>
      </c>
      <c r="Y30" s="31" t="n"/>
      <c r="Z30" s="31" t="n"/>
      <c r="AA30" s="31" t="n"/>
      <c r="AB30" s="32">
        <f>IF(COUNTA(Y30,Z30,AA30)=0,"",Y30+Z30+AA30)</f>
        <v/>
      </c>
      <c r="AC30" s="33">
        <f>IF(COUNTA(H30,L30,P30,T30,X30,AB30)=0,"",H30+L30+P30+T30+X30+AB30)</f>
        <v/>
      </c>
      <c r="AD30" s="33">
        <f>IF(AC30="","",IF(AC30&gt;=85,"A",IF(AC30&gt;=75,"AB",IF(AC30&gt;=65,"B",IF(AC30&gt;=55,"BC",IF(AC30&gt;=45,"C",IF(AC30&gt;=35,"CD",IF(AC30&gt;=25,"D","E"))))))))</f>
        <v/>
      </c>
      <c r="AE30" s="34" t="inlineStr"/>
    </row>
    <row r="31" ht="18" customHeight="1">
      <c r="A31" s="35" t="n">
        <v>28</v>
      </c>
      <c r="B31" s="35" t="inlineStr">
        <is>
          <t>24060122140162</t>
        </is>
      </c>
      <c r="C31" s="36" t="inlineStr">
        <is>
          <t>Zahra Nisaa Fitria Nur Afifah</t>
        </is>
      </c>
      <c r="D31" s="35" t="n">
        <v>8</v>
      </c>
      <c r="E31" s="21" t="n"/>
      <c r="F31" s="21" t="n"/>
      <c r="G31" s="21" t="n"/>
      <c r="H31" s="22">
        <f>IF(COUNTA(E31,F31,G31)=0,"",E31+F31+G31)</f>
        <v/>
      </c>
      <c r="I31" s="23" t="n"/>
      <c r="J31" s="23" t="n"/>
      <c r="K31" s="23" t="n"/>
      <c r="L31" s="24">
        <f>IF(COUNTA(I31,J31,K31)=0,"",I31+J31+K31)</f>
        <v/>
      </c>
      <c r="M31" s="25" t="n"/>
      <c r="N31" s="25" t="n"/>
      <c r="O31" s="25" t="n"/>
      <c r="P31" s="26">
        <f>IF(COUNTA(M31,N31,O31)=0,"",M31+N31+O31)</f>
        <v/>
      </c>
      <c r="Q31" s="27" t="n"/>
      <c r="R31" s="27" t="n"/>
      <c r="S31" s="27" t="n"/>
      <c r="T31" s="28">
        <f>IF(COUNTA(Q31,R31,S31)=0,"",Q31+R31+S31)</f>
        <v/>
      </c>
      <c r="U31" s="29" t="n"/>
      <c r="V31" s="29" t="n"/>
      <c r="W31" s="29" t="n"/>
      <c r="X31" s="30">
        <f>IF(COUNTA(U31,V31,W31)=0,"",U31+V31+W31)</f>
        <v/>
      </c>
      <c r="Y31" s="31" t="n"/>
      <c r="Z31" s="31" t="n"/>
      <c r="AA31" s="31" t="n"/>
      <c r="AB31" s="32">
        <f>IF(COUNTA(Y31,Z31,AA31)=0,"",Y31+Z31+AA31)</f>
        <v/>
      </c>
      <c r="AC31" s="33">
        <f>IF(COUNTA(H31,L31,P31,T31,X31,AB31)=0,"",H31+L31+P31+T31+X31+AB31)</f>
        <v/>
      </c>
      <c r="AD31" s="33">
        <f>IF(AC31="","",IF(AC31&gt;=85,"A",IF(AC31&gt;=75,"AB",IF(AC31&gt;=65,"B",IF(AC31&gt;=55,"BC",IF(AC31&gt;=45,"C",IF(AC31&gt;=35,"CD",IF(AC31&gt;=25,"D","E"))))))))</f>
        <v/>
      </c>
      <c r="AE31" s="37" t="inlineStr"/>
    </row>
    <row r="32" ht="18" customHeight="1">
      <c r="A32" s="35" t="n">
        <v>29</v>
      </c>
      <c r="B32" s="35" t="inlineStr">
        <is>
          <t>24060122130082</t>
        </is>
      </c>
      <c r="C32" s="36" t="inlineStr">
        <is>
          <t>Fathia Rahma</t>
        </is>
      </c>
      <c r="D32" s="35" t="n">
        <v>8</v>
      </c>
      <c r="E32" s="21" t="n"/>
      <c r="F32" s="21" t="n"/>
      <c r="G32" s="21" t="n"/>
      <c r="H32" s="22">
        <f>IF(COUNTA(E32,F32,G32)=0,"",E32+F32+G32)</f>
        <v/>
      </c>
      <c r="I32" s="23" t="n"/>
      <c r="J32" s="23" t="n"/>
      <c r="K32" s="23" t="n"/>
      <c r="L32" s="24">
        <f>IF(COUNTA(I32,J32,K32)=0,"",I32+J32+K32)</f>
        <v/>
      </c>
      <c r="M32" s="25" t="n"/>
      <c r="N32" s="25" t="n"/>
      <c r="O32" s="25" t="n"/>
      <c r="P32" s="26">
        <f>IF(COUNTA(M32,N32,O32)=0,"",M32+N32+O32)</f>
        <v/>
      </c>
      <c r="Q32" s="27" t="n"/>
      <c r="R32" s="27" t="n"/>
      <c r="S32" s="27" t="n"/>
      <c r="T32" s="28">
        <f>IF(COUNTA(Q32,R32,S32)=0,"",Q32+R32+S32)</f>
        <v/>
      </c>
      <c r="U32" s="29" t="n"/>
      <c r="V32" s="29" t="n"/>
      <c r="W32" s="29" t="n"/>
      <c r="X32" s="30">
        <f>IF(COUNTA(U32,V32,W32)=0,"",U32+V32+W32)</f>
        <v/>
      </c>
      <c r="Y32" s="31" t="n"/>
      <c r="Z32" s="31" t="n"/>
      <c r="AA32" s="31" t="n"/>
      <c r="AB32" s="32">
        <f>IF(COUNTA(Y32,Z32,AA32)=0,"",Y32+Z32+AA32)</f>
        <v/>
      </c>
      <c r="AC32" s="33">
        <f>IF(COUNTA(H32,L32,P32,T32,X32,AB32)=0,"",H32+L32+P32+T32+X32+AB32)</f>
        <v/>
      </c>
      <c r="AD32" s="33">
        <f>IF(AC32="","",IF(AC32&gt;=85,"A",IF(AC32&gt;=75,"AB",IF(AC32&gt;=65,"B",IF(AC32&gt;=55,"BC",IF(AC32&gt;=45,"C",IF(AC32&gt;=35,"CD",IF(AC32&gt;=25,"D","E"))))))))</f>
        <v/>
      </c>
      <c r="AE32" s="37" t="inlineStr">
        <is>
          <t>Anggota ke-3 (P3) tidak terdaftar di spreadsheet</t>
        </is>
      </c>
    </row>
    <row r="33" ht="18" customHeight="1">
      <c r="A33" s="19" t="n">
        <v>30</v>
      </c>
      <c r="B33" s="19" t="inlineStr">
        <is>
          <t>24060124140152</t>
        </is>
      </c>
      <c r="C33" s="20" t="inlineStr">
        <is>
          <t>Adhyaksa M. Banjar Nahor</t>
        </is>
      </c>
      <c r="D33" s="19" t="n">
        <v>9</v>
      </c>
      <c r="E33" s="21" t="n"/>
      <c r="F33" s="21" t="n"/>
      <c r="G33" s="21" t="n"/>
      <c r="H33" s="22">
        <f>IF(COUNTA(E33,F33,G33)=0,"",E33+F33+G33)</f>
        <v/>
      </c>
      <c r="I33" s="23" t="n"/>
      <c r="J33" s="23" t="n"/>
      <c r="K33" s="23" t="n"/>
      <c r="L33" s="24">
        <f>IF(COUNTA(I33,J33,K33)=0,"",I33+J33+K33)</f>
        <v/>
      </c>
      <c r="M33" s="25" t="n"/>
      <c r="N33" s="25" t="n"/>
      <c r="O33" s="25" t="n"/>
      <c r="P33" s="26">
        <f>IF(COUNTA(M33,N33,O33)=0,"",M33+N33+O33)</f>
        <v/>
      </c>
      <c r="Q33" s="27" t="n"/>
      <c r="R33" s="27" t="n"/>
      <c r="S33" s="27" t="n"/>
      <c r="T33" s="28">
        <f>IF(COUNTA(Q33,R33,S33)=0,"",Q33+R33+S33)</f>
        <v/>
      </c>
      <c r="U33" s="29" t="n"/>
      <c r="V33" s="29" t="n"/>
      <c r="W33" s="29" t="n"/>
      <c r="X33" s="30">
        <f>IF(COUNTA(U33,V33,W33)=0,"",U33+V33+W33)</f>
        <v/>
      </c>
      <c r="Y33" s="31" t="n"/>
      <c r="Z33" s="31" t="n"/>
      <c r="AA33" s="31" t="n"/>
      <c r="AB33" s="32">
        <f>IF(COUNTA(Y33,Z33,AA33)=0,"",Y33+Z33+AA33)</f>
        <v/>
      </c>
      <c r="AC33" s="33">
        <f>IF(COUNTA(H33,L33,P33,T33,X33,AB33)=0,"",H33+L33+P33+T33+X33+AB33)</f>
        <v/>
      </c>
      <c r="AD33" s="33">
        <f>IF(AC33="","",IF(AC33&gt;=85,"A",IF(AC33&gt;=75,"AB",IF(AC33&gt;=65,"B",IF(AC33&gt;=55,"BC",IF(AC33&gt;=45,"C",IF(AC33&gt;=35,"CD",IF(AC33&gt;=25,"D","E"))))))))</f>
        <v/>
      </c>
      <c r="AE33" s="34" t="inlineStr"/>
    </row>
    <row r="34" ht="18" customHeight="1">
      <c r="A34" s="19" t="n">
        <v>31</v>
      </c>
      <c r="B34" s="19" t="inlineStr">
        <is>
          <t>24060124140191</t>
        </is>
      </c>
      <c r="C34" s="20" t="inlineStr">
        <is>
          <t>Arga Yura Danendra</t>
        </is>
      </c>
      <c r="D34" s="19" t="n">
        <v>9</v>
      </c>
      <c r="E34" s="21" t="n"/>
      <c r="F34" s="21" t="n"/>
      <c r="G34" s="21" t="n"/>
      <c r="H34" s="22">
        <f>IF(COUNTA(E34,F34,G34)=0,"",E34+F34+G34)</f>
        <v/>
      </c>
      <c r="I34" s="23" t="n"/>
      <c r="J34" s="23" t="n"/>
      <c r="K34" s="23" t="n"/>
      <c r="L34" s="24">
        <f>IF(COUNTA(I34,J34,K34)=0,"",I34+J34+K34)</f>
        <v/>
      </c>
      <c r="M34" s="25" t="n"/>
      <c r="N34" s="25" t="n"/>
      <c r="O34" s="25" t="n"/>
      <c r="P34" s="26">
        <f>IF(COUNTA(M34,N34,O34)=0,"",M34+N34+O34)</f>
        <v/>
      </c>
      <c r="Q34" s="27" t="n"/>
      <c r="R34" s="27" t="n"/>
      <c r="S34" s="27" t="n"/>
      <c r="T34" s="28">
        <f>IF(COUNTA(Q34,R34,S34)=0,"",Q34+R34+S34)</f>
        <v/>
      </c>
      <c r="U34" s="29" t="n"/>
      <c r="V34" s="29" t="n"/>
      <c r="W34" s="29" t="n"/>
      <c r="X34" s="30">
        <f>IF(COUNTA(U34,V34,W34)=0,"",U34+V34+W34)</f>
        <v/>
      </c>
      <c r="Y34" s="31" t="n"/>
      <c r="Z34" s="31" t="n"/>
      <c r="AA34" s="31" t="n"/>
      <c r="AB34" s="32">
        <f>IF(COUNTA(Y34,Z34,AA34)=0,"",Y34+Z34+AA34)</f>
        <v/>
      </c>
      <c r="AC34" s="33">
        <f>IF(COUNTA(H34,L34,P34,T34,X34,AB34)=0,"",H34+L34+P34+T34+X34+AB34)</f>
        <v/>
      </c>
      <c r="AD34" s="33">
        <f>IF(AC34="","",IF(AC34&gt;=85,"A",IF(AC34&gt;=75,"AB",IF(AC34&gt;=65,"B",IF(AC34&gt;=55,"BC",IF(AC34&gt;=45,"C",IF(AC34&gt;=35,"CD",IF(AC34&gt;=25,"D","E"))))))))</f>
        <v/>
      </c>
      <c r="AE34" s="34" t="inlineStr"/>
    </row>
    <row r="35" ht="18" customHeight="1">
      <c r="A35" s="19" t="n">
        <v>32</v>
      </c>
      <c r="B35" s="19" t="inlineStr">
        <is>
          <t>24060124140178</t>
        </is>
      </c>
      <c r="C35" s="20" t="inlineStr">
        <is>
          <t>Raihan Lazuardi</t>
        </is>
      </c>
      <c r="D35" s="19" t="n">
        <v>9</v>
      </c>
      <c r="E35" s="21" t="n"/>
      <c r="F35" s="21" t="n"/>
      <c r="G35" s="21" t="n"/>
      <c r="H35" s="22">
        <f>IF(COUNTA(E35,F35,G35)=0,"",E35+F35+G35)</f>
        <v/>
      </c>
      <c r="I35" s="23" t="n"/>
      <c r="J35" s="23" t="n"/>
      <c r="K35" s="23" t="n"/>
      <c r="L35" s="24">
        <f>IF(COUNTA(I35,J35,K35)=0,"",I35+J35+K35)</f>
        <v/>
      </c>
      <c r="M35" s="25" t="n"/>
      <c r="N35" s="25" t="n"/>
      <c r="O35" s="25" t="n"/>
      <c r="P35" s="26">
        <f>IF(COUNTA(M35,N35,O35)=0,"",M35+N35+O35)</f>
        <v/>
      </c>
      <c r="Q35" s="27" t="n"/>
      <c r="R35" s="27" t="n"/>
      <c r="S35" s="27" t="n"/>
      <c r="T35" s="28">
        <f>IF(COUNTA(Q35,R35,S35)=0,"",Q35+R35+S35)</f>
        <v/>
      </c>
      <c r="U35" s="29" t="n"/>
      <c r="V35" s="29" t="n"/>
      <c r="W35" s="29" t="n"/>
      <c r="X35" s="30">
        <f>IF(COUNTA(U35,V35,W35)=0,"",U35+V35+W35)</f>
        <v/>
      </c>
      <c r="Y35" s="31" t="n"/>
      <c r="Z35" s="31" t="n"/>
      <c r="AA35" s="31" t="n"/>
      <c r="AB35" s="32">
        <f>IF(COUNTA(Y35,Z35,AA35)=0,"",Y35+Z35+AA35)</f>
        <v/>
      </c>
      <c r="AC35" s="33">
        <f>IF(COUNTA(H35,L35,P35,T35,X35,AB35)=0,"",H35+L35+P35+T35+X35+AB35)</f>
        <v/>
      </c>
      <c r="AD35" s="33">
        <f>IF(AC35="","",IF(AC35&gt;=85,"A",IF(AC35&gt;=75,"AB",IF(AC35&gt;=65,"B",IF(AC35&gt;=55,"BC",IF(AC35&gt;=45,"C",IF(AC35&gt;=35,"CD",IF(AC35&gt;=25,"D","E"))))))))</f>
        <v/>
      </c>
      <c r="AE35" s="34" t="inlineStr"/>
    </row>
    <row r="36" ht="18" customHeight="1">
      <c r="A36" s="19" t="n">
        <v>33</v>
      </c>
      <c r="B36" s="19" t="inlineStr">
        <is>
          <t>24060124120025</t>
        </is>
      </c>
      <c r="C36" s="20" t="inlineStr">
        <is>
          <t>Ganendra Satya Sindhunata</t>
        </is>
      </c>
      <c r="D36" s="19" t="n">
        <v>9</v>
      </c>
      <c r="E36" s="21" t="n"/>
      <c r="F36" s="21" t="n"/>
      <c r="G36" s="21" t="n"/>
      <c r="H36" s="22">
        <f>IF(COUNTA(E36,F36,G36)=0,"",E36+F36+G36)</f>
        <v/>
      </c>
      <c r="I36" s="23" t="n"/>
      <c r="J36" s="23" t="n"/>
      <c r="K36" s="23" t="n"/>
      <c r="L36" s="24">
        <f>IF(COUNTA(I36,J36,K36)=0,"",I36+J36+K36)</f>
        <v/>
      </c>
      <c r="M36" s="25" t="n"/>
      <c r="N36" s="25" t="n"/>
      <c r="O36" s="25" t="n"/>
      <c r="P36" s="26">
        <f>IF(COUNTA(M36,N36,O36)=0,"",M36+N36+O36)</f>
        <v/>
      </c>
      <c r="Q36" s="27" t="n"/>
      <c r="R36" s="27" t="n"/>
      <c r="S36" s="27" t="n"/>
      <c r="T36" s="28">
        <f>IF(COUNTA(Q36,R36,S36)=0,"",Q36+R36+S36)</f>
        <v/>
      </c>
      <c r="U36" s="29" t="n"/>
      <c r="V36" s="29" t="n"/>
      <c r="W36" s="29" t="n"/>
      <c r="X36" s="30">
        <f>IF(COUNTA(U36,V36,W36)=0,"",U36+V36+W36)</f>
        <v/>
      </c>
      <c r="Y36" s="31" t="n"/>
      <c r="Z36" s="31" t="n"/>
      <c r="AA36" s="31" t="n"/>
      <c r="AB36" s="32">
        <f>IF(COUNTA(Y36,Z36,AA36)=0,"",Y36+Z36+AA36)</f>
        <v/>
      </c>
      <c r="AC36" s="33">
        <f>IF(COUNTA(H36,L36,P36,T36,X36,AB36)=0,"",H36+L36+P36+T36+X36+AB36)</f>
        <v/>
      </c>
      <c r="AD36" s="33">
        <f>IF(AC36="","",IF(AC36&gt;=85,"A",IF(AC36&gt;=75,"AB",IF(AC36&gt;=65,"B",IF(AC36&gt;=55,"BC",IF(AC36&gt;=45,"C",IF(AC36&gt;=35,"CD",IF(AC36&gt;=25,"D","E"))))))))</f>
        <v/>
      </c>
      <c r="AE36" s="38" t="inlineStr">
        <is>
          <t>Duplikat P2 dengan Arga, konfirmasi kontribusi</t>
        </is>
      </c>
    </row>
    <row r="37" ht="18" customHeight="1">
      <c r="A37" s="35" t="n">
        <v>34</v>
      </c>
      <c r="B37" s="35" t="inlineStr">
        <is>
          <t>24060123140198</t>
        </is>
      </c>
      <c r="C37" s="36" t="inlineStr">
        <is>
          <t>Benjamin Hamonangan</t>
        </is>
      </c>
      <c r="D37" s="35" t="n">
        <v>10</v>
      </c>
      <c r="E37" s="21" t="n"/>
      <c r="F37" s="21" t="n"/>
      <c r="G37" s="21" t="n"/>
      <c r="H37" s="22">
        <f>IF(COUNTA(E37,F37,G37)=0,"",E37+F37+G37)</f>
        <v/>
      </c>
      <c r="I37" s="23" t="n"/>
      <c r="J37" s="23" t="n"/>
      <c r="K37" s="23" t="n"/>
      <c r="L37" s="24">
        <f>IF(COUNTA(I37,J37,K37)=0,"",I37+J37+K37)</f>
        <v/>
      </c>
      <c r="M37" s="25" t="n"/>
      <c r="N37" s="25" t="n"/>
      <c r="O37" s="25" t="n"/>
      <c r="P37" s="26">
        <f>IF(COUNTA(M37,N37,O37)=0,"",M37+N37+O37)</f>
        <v/>
      </c>
      <c r="Q37" s="27" t="n"/>
      <c r="R37" s="27" t="n"/>
      <c r="S37" s="27" t="n"/>
      <c r="T37" s="28">
        <f>IF(COUNTA(Q37,R37,S37)=0,"",Q37+R37+S37)</f>
        <v/>
      </c>
      <c r="U37" s="29" t="n"/>
      <c r="V37" s="29" t="n"/>
      <c r="W37" s="29" t="n"/>
      <c r="X37" s="30">
        <f>IF(COUNTA(U37,V37,W37)=0,"",U37+V37+W37)</f>
        <v/>
      </c>
      <c r="Y37" s="31" t="n"/>
      <c r="Z37" s="31" t="n"/>
      <c r="AA37" s="31" t="n"/>
      <c r="AB37" s="32">
        <f>IF(COUNTA(Y37,Z37,AA37)=0,"",Y37+Z37+AA37)</f>
        <v/>
      </c>
      <c r="AC37" s="33">
        <f>IF(COUNTA(H37,L37,P37,T37,X37,AB37)=0,"",H37+L37+P37+T37+X37+AB37)</f>
        <v/>
      </c>
      <c r="AD37" s="33">
        <f>IF(AC37="","",IF(AC37&gt;=85,"A",IF(AC37&gt;=75,"AB",IF(AC37&gt;=65,"B",IF(AC37&gt;=55,"BC",IF(AC37&gt;=45,"C",IF(AC37&gt;=35,"CD",IF(AC37&gt;=25,"D","E"))))))))</f>
        <v/>
      </c>
      <c r="AE37" s="37" t="inlineStr"/>
    </row>
    <row r="38" ht="18" customHeight="1">
      <c r="A38" s="35" t="n">
        <v>35</v>
      </c>
      <c r="B38" s="35" t="inlineStr">
        <is>
          <t>24060123140161</t>
        </is>
      </c>
      <c r="C38" s="36" t="inlineStr">
        <is>
          <t>Aura Cantika Nabila A.</t>
        </is>
      </c>
      <c r="D38" s="35" t="n">
        <v>10</v>
      </c>
      <c r="E38" s="21" t="n"/>
      <c r="F38" s="21" t="n"/>
      <c r="G38" s="21" t="n"/>
      <c r="H38" s="22">
        <f>IF(COUNTA(E38,F38,G38)=0,"",E38+F38+G38)</f>
        <v/>
      </c>
      <c r="I38" s="23" t="n"/>
      <c r="J38" s="23" t="n"/>
      <c r="K38" s="23" t="n"/>
      <c r="L38" s="24">
        <f>IF(COUNTA(I38,J38,K38)=0,"",I38+J38+K38)</f>
        <v/>
      </c>
      <c r="M38" s="25" t="n"/>
      <c r="N38" s="25" t="n"/>
      <c r="O38" s="25" t="n"/>
      <c r="P38" s="26">
        <f>IF(COUNTA(M38,N38,O38)=0,"",M38+N38+O38)</f>
        <v/>
      </c>
      <c r="Q38" s="27" t="n"/>
      <c r="R38" s="27" t="n"/>
      <c r="S38" s="27" t="n"/>
      <c r="T38" s="28">
        <f>IF(COUNTA(Q38,R38,S38)=0,"",Q38+R38+S38)</f>
        <v/>
      </c>
      <c r="U38" s="29" t="n"/>
      <c r="V38" s="29" t="n"/>
      <c r="W38" s="29" t="n"/>
      <c r="X38" s="30">
        <f>IF(COUNTA(U38,V38,W38)=0,"",U38+V38+W38)</f>
        <v/>
      </c>
      <c r="Y38" s="31" t="n"/>
      <c r="Z38" s="31" t="n"/>
      <c r="AA38" s="31" t="n"/>
      <c r="AB38" s="32">
        <f>IF(COUNTA(Y38,Z38,AA38)=0,"",Y38+Z38+AA38)</f>
        <v/>
      </c>
      <c r="AC38" s="33">
        <f>IF(COUNTA(H38,L38,P38,T38,X38,AB38)=0,"",H38+L38+P38+T38+X38+AB38)</f>
        <v/>
      </c>
      <c r="AD38" s="33">
        <f>IF(AC38="","",IF(AC38&gt;=85,"A",IF(AC38&gt;=75,"AB",IF(AC38&gt;=65,"B",IF(AC38&gt;=55,"BC",IF(AC38&gt;=45,"C",IF(AC38&gt;=35,"CD",IF(AC38&gt;=25,"D","E"))))))))</f>
        <v/>
      </c>
      <c r="AE38" s="37" t="inlineStr"/>
    </row>
    <row r="39" ht="18" customHeight="1">
      <c r="A39" s="35" t="n">
        <v>36</v>
      </c>
      <c r="B39" s="35" t="inlineStr">
        <is>
          <t>24060123140128</t>
        </is>
      </c>
      <c r="C39" s="36" t="inlineStr">
        <is>
          <t>Fakhri Ali Azadi</t>
        </is>
      </c>
      <c r="D39" s="35" t="n">
        <v>10</v>
      </c>
      <c r="E39" s="21" t="n"/>
      <c r="F39" s="21" t="n"/>
      <c r="G39" s="21" t="n"/>
      <c r="H39" s="22">
        <f>IF(COUNTA(E39,F39,G39)=0,"",E39+F39+G39)</f>
        <v/>
      </c>
      <c r="I39" s="23" t="n"/>
      <c r="J39" s="23" t="n"/>
      <c r="K39" s="23" t="n"/>
      <c r="L39" s="24">
        <f>IF(COUNTA(I39,J39,K39)=0,"",I39+J39+K39)</f>
        <v/>
      </c>
      <c r="M39" s="25" t="n"/>
      <c r="N39" s="25" t="n"/>
      <c r="O39" s="25" t="n"/>
      <c r="P39" s="26">
        <f>IF(COUNTA(M39,N39,O39)=0,"",M39+N39+O39)</f>
        <v/>
      </c>
      <c r="Q39" s="27" t="n"/>
      <c r="R39" s="27" t="n"/>
      <c r="S39" s="27" t="n"/>
      <c r="T39" s="28">
        <f>IF(COUNTA(Q39,R39,S39)=0,"",Q39+R39+S39)</f>
        <v/>
      </c>
      <c r="U39" s="29" t="n"/>
      <c r="V39" s="29" t="n"/>
      <c r="W39" s="29" t="n"/>
      <c r="X39" s="30">
        <f>IF(COUNTA(U39,V39,W39)=0,"",U39+V39+W39)</f>
        <v/>
      </c>
      <c r="Y39" s="31" t="n"/>
      <c r="Z39" s="31" t="n"/>
      <c r="AA39" s="31" t="n"/>
      <c r="AB39" s="32">
        <f>IF(COUNTA(Y39,Z39,AA39)=0,"",Y39+Z39+AA39)</f>
        <v/>
      </c>
      <c r="AC39" s="33">
        <f>IF(COUNTA(H39,L39,P39,T39,X39,AB39)=0,"",H39+L39+P39+T39+X39+AB39)</f>
        <v/>
      </c>
      <c r="AD39" s="33">
        <f>IF(AC39="","",IF(AC39&gt;=85,"A",IF(AC39&gt;=75,"AB",IF(AC39&gt;=65,"B",IF(AC39&gt;=55,"BC",IF(AC39&gt;=45,"C",IF(AC39&gt;=35,"CD",IF(AC39&gt;=25,"D","E"))))))))</f>
        <v/>
      </c>
      <c r="AE39" s="37" t="inlineStr"/>
    </row>
    <row r="40" ht="18" customHeight="1">
      <c r="A40" s="19" t="n">
        <v>37</v>
      </c>
      <c r="B40" s="19" t="inlineStr">
        <is>
          <t>24060124140162</t>
        </is>
      </c>
      <c r="C40" s="20" t="inlineStr">
        <is>
          <t>Galvin Shalahudin Mumtaz</t>
        </is>
      </c>
      <c r="D40" s="19" t="n">
        <v>11</v>
      </c>
      <c r="E40" s="21" t="n"/>
      <c r="F40" s="21" t="n"/>
      <c r="G40" s="21" t="n"/>
      <c r="H40" s="22">
        <f>IF(COUNTA(E40,F40,G40)=0,"",E40+F40+G40)</f>
        <v/>
      </c>
      <c r="I40" s="23" t="n"/>
      <c r="J40" s="23" t="n"/>
      <c r="K40" s="23" t="n"/>
      <c r="L40" s="24">
        <f>IF(COUNTA(I40,J40,K40)=0,"",I40+J40+K40)</f>
        <v/>
      </c>
      <c r="M40" s="25" t="n"/>
      <c r="N40" s="25" t="n"/>
      <c r="O40" s="25" t="n"/>
      <c r="P40" s="26">
        <f>IF(COUNTA(M40,N40,O40)=0,"",M40+N40+O40)</f>
        <v/>
      </c>
      <c r="Q40" s="27" t="n"/>
      <c r="R40" s="27" t="n"/>
      <c r="S40" s="27" t="n"/>
      <c r="T40" s="28">
        <f>IF(COUNTA(Q40,R40,S40)=0,"",Q40+R40+S40)</f>
        <v/>
      </c>
      <c r="U40" s="29" t="n"/>
      <c r="V40" s="29" t="n"/>
      <c r="W40" s="29" t="n"/>
      <c r="X40" s="30">
        <f>IF(COUNTA(U40,V40,W40)=0,"",U40+V40+W40)</f>
        <v/>
      </c>
      <c r="Y40" s="31" t="n"/>
      <c r="Z40" s="31" t="n"/>
      <c r="AA40" s="31" t="n"/>
      <c r="AB40" s="32">
        <f>IF(COUNTA(Y40,Z40,AA40)=0,"",Y40+Z40+AA40)</f>
        <v/>
      </c>
      <c r="AC40" s="33">
        <f>IF(COUNTA(H40,L40,P40,T40,X40,AB40)=0,"",H40+L40+P40+T40+X40+AB40)</f>
        <v/>
      </c>
      <c r="AD40" s="33">
        <f>IF(AC40="","",IF(AC40&gt;=85,"A",IF(AC40&gt;=75,"AB",IF(AC40&gt;=65,"B",IF(AC40&gt;=55,"BC",IF(AC40&gt;=45,"C",IF(AC40&gt;=35,"CD",IF(AC40&gt;=25,"D","E"))))))))</f>
        <v/>
      </c>
      <c r="AE40" s="34" t="inlineStr"/>
    </row>
    <row r="41" ht="18" customHeight="1">
      <c r="A41" s="19" t="n">
        <v>38</v>
      </c>
      <c r="B41" s="19" t="inlineStr">
        <is>
          <t>24060124130101</t>
        </is>
      </c>
      <c r="C41" s="20" t="inlineStr">
        <is>
          <t>Galang Bintang Ramadhan</t>
        </is>
      </c>
      <c r="D41" s="19" t="n">
        <v>11</v>
      </c>
      <c r="E41" s="21" t="n"/>
      <c r="F41" s="21" t="n"/>
      <c r="G41" s="21" t="n"/>
      <c r="H41" s="22">
        <f>IF(COUNTA(E41,F41,G41)=0,"",E41+F41+G41)</f>
        <v/>
      </c>
      <c r="I41" s="23" t="n"/>
      <c r="J41" s="23" t="n"/>
      <c r="K41" s="23" t="n"/>
      <c r="L41" s="24">
        <f>IF(COUNTA(I41,J41,K41)=0,"",I41+J41+K41)</f>
        <v/>
      </c>
      <c r="M41" s="25" t="n"/>
      <c r="N41" s="25" t="n"/>
      <c r="O41" s="25" t="n"/>
      <c r="P41" s="26">
        <f>IF(COUNTA(M41,N41,O41)=0,"",M41+N41+O41)</f>
        <v/>
      </c>
      <c r="Q41" s="27" t="n"/>
      <c r="R41" s="27" t="n"/>
      <c r="S41" s="27" t="n"/>
      <c r="T41" s="28">
        <f>IF(COUNTA(Q41,R41,S41)=0,"",Q41+R41+S41)</f>
        <v/>
      </c>
      <c r="U41" s="29" t="n"/>
      <c r="V41" s="29" t="n"/>
      <c r="W41" s="29" t="n"/>
      <c r="X41" s="30">
        <f>IF(COUNTA(U41,V41,W41)=0,"",U41+V41+W41)</f>
        <v/>
      </c>
      <c r="Y41" s="31" t="n"/>
      <c r="Z41" s="31" t="n"/>
      <c r="AA41" s="31" t="n"/>
      <c r="AB41" s="32">
        <f>IF(COUNTA(Y41,Z41,AA41)=0,"",Y41+Z41+AA41)</f>
        <v/>
      </c>
      <c r="AC41" s="33">
        <f>IF(COUNTA(H41,L41,P41,T41,X41,AB41)=0,"",H41+L41+P41+T41+X41+AB41)</f>
        <v/>
      </c>
      <c r="AD41" s="33">
        <f>IF(AC41="","",IF(AC41&gt;=85,"A",IF(AC41&gt;=75,"AB",IF(AC41&gt;=65,"B",IF(AC41&gt;=55,"BC",IF(AC41&gt;=45,"C",IF(AC41&gt;=35,"CD",IF(AC41&gt;=25,"D","E"))))))))</f>
        <v/>
      </c>
      <c r="AE41" s="34" t="inlineStr"/>
    </row>
    <row r="42" ht="18" customHeight="1">
      <c r="A42" s="19" t="n">
        <v>39</v>
      </c>
      <c r="B42" s="19" t="inlineStr">
        <is>
          <t>24060124140185</t>
        </is>
      </c>
      <c r="C42" s="20" t="inlineStr">
        <is>
          <t>Farhan Muhtaram</t>
        </is>
      </c>
      <c r="D42" s="19" t="n">
        <v>11</v>
      </c>
      <c r="E42" s="21" t="n"/>
      <c r="F42" s="21" t="n"/>
      <c r="G42" s="21" t="n"/>
      <c r="H42" s="22">
        <f>IF(COUNTA(E42,F42,G42)=0,"",E42+F42+G42)</f>
        <v/>
      </c>
      <c r="I42" s="23" t="n"/>
      <c r="J42" s="23" t="n"/>
      <c r="K42" s="23" t="n"/>
      <c r="L42" s="24">
        <f>IF(COUNTA(I42,J42,K42)=0,"",I42+J42+K42)</f>
        <v/>
      </c>
      <c r="M42" s="25" t="n"/>
      <c r="N42" s="25" t="n"/>
      <c r="O42" s="25" t="n"/>
      <c r="P42" s="26">
        <f>IF(COUNTA(M42,N42,O42)=0,"",M42+N42+O42)</f>
        <v/>
      </c>
      <c r="Q42" s="27" t="n"/>
      <c r="R42" s="27" t="n"/>
      <c r="S42" s="27" t="n"/>
      <c r="T42" s="28">
        <f>IF(COUNTA(Q42,R42,S42)=0,"",Q42+R42+S42)</f>
        <v/>
      </c>
      <c r="U42" s="29" t="n"/>
      <c r="V42" s="29" t="n"/>
      <c r="W42" s="29" t="n"/>
      <c r="X42" s="30">
        <f>IF(COUNTA(U42,V42,W42)=0,"",U42+V42+W42)</f>
        <v/>
      </c>
      <c r="Y42" s="31" t="n"/>
      <c r="Z42" s="31" t="n"/>
      <c r="AA42" s="31" t="n"/>
      <c r="AB42" s="32">
        <f>IF(COUNTA(Y42,Z42,AA42)=0,"",Y42+Z42+AA42)</f>
        <v/>
      </c>
      <c r="AC42" s="33">
        <f>IF(COUNTA(H42,L42,P42,T42,X42,AB42)=0,"",H42+L42+P42+T42+X42+AB42)</f>
        <v/>
      </c>
      <c r="AD42" s="33">
        <f>IF(AC42="","",IF(AC42&gt;=85,"A",IF(AC42&gt;=75,"AB",IF(AC42&gt;=65,"B",IF(AC42&gt;=55,"BC",IF(AC42&gt;=45,"C",IF(AC42&gt;=35,"CD",IF(AC42&gt;=25,"D","E"))))))))</f>
        <v/>
      </c>
      <c r="AE42" s="34" t="inlineStr"/>
    </row>
    <row r="43" ht="18" customHeight="1">
      <c r="A43" s="19" t="n">
        <v>40</v>
      </c>
      <c r="B43" s="19" t="inlineStr">
        <is>
          <t>24060124120027</t>
        </is>
      </c>
      <c r="C43" s="20" t="inlineStr">
        <is>
          <t>Muhammad Nauval Fadli</t>
        </is>
      </c>
      <c r="D43" s="19" t="n">
        <v>11</v>
      </c>
      <c r="E43" s="21" t="n"/>
      <c r="F43" s="21" t="n"/>
      <c r="G43" s="21" t="n"/>
      <c r="H43" s="22">
        <f>IF(COUNTA(E43,F43,G43)=0,"",E43+F43+G43)</f>
        <v/>
      </c>
      <c r="I43" s="23" t="n"/>
      <c r="J43" s="23" t="n"/>
      <c r="K43" s="23" t="n"/>
      <c r="L43" s="24">
        <f>IF(COUNTA(I43,J43,K43)=0,"",I43+J43+K43)</f>
        <v/>
      </c>
      <c r="M43" s="25" t="n"/>
      <c r="N43" s="25" t="n"/>
      <c r="O43" s="25" t="n"/>
      <c r="P43" s="26">
        <f>IF(COUNTA(M43,N43,O43)=0,"",M43+N43+O43)</f>
        <v/>
      </c>
      <c r="Q43" s="27" t="n"/>
      <c r="R43" s="27" t="n"/>
      <c r="S43" s="27" t="n"/>
      <c r="T43" s="28">
        <f>IF(COUNTA(Q43,R43,S43)=0,"",Q43+R43+S43)</f>
        <v/>
      </c>
      <c r="U43" s="29" t="n"/>
      <c r="V43" s="29" t="n"/>
      <c r="W43" s="29" t="n"/>
      <c r="X43" s="30">
        <f>IF(COUNTA(U43,V43,W43)=0,"",U43+V43+W43)</f>
        <v/>
      </c>
      <c r="Y43" s="31" t="n"/>
      <c r="Z43" s="31" t="n"/>
      <c r="AA43" s="31" t="n"/>
      <c r="AB43" s="32">
        <f>IF(COUNTA(Y43,Z43,AA43)=0,"",Y43+Z43+AA43)</f>
        <v/>
      </c>
      <c r="AC43" s="33">
        <f>IF(COUNTA(H43,L43,P43,T43,X43,AB43)=0,"",H43+L43+P43+T43+X43+AB43)</f>
        <v/>
      </c>
      <c r="AD43" s="33">
        <f>IF(AC43="","",IF(AC43&gt;=85,"A",IF(AC43&gt;=75,"AB",IF(AC43&gt;=65,"B",IF(AC43&gt;=55,"BC",IF(AC43&gt;=45,"C",IF(AC43&gt;=35,"CD",IF(AC43&gt;=25,"D","E"))))))))</f>
        <v/>
      </c>
      <c r="AE43" s="34" t="inlineStr"/>
    </row>
    <row r="44" ht="18" customHeight="1">
      <c r="A44" s="35" t="n">
        <v>41</v>
      </c>
      <c r="B44" s="35" t="inlineStr">
        <is>
          <t>24060123140172</t>
        </is>
      </c>
      <c r="C44" s="36" t="inlineStr">
        <is>
          <t>Cipta Fikri Wiratama</t>
        </is>
      </c>
      <c r="D44" s="35" t="n">
        <v>12</v>
      </c>
      <c r="E44" s="21" t="n"/>
      <c r="F44" s="21" t="n"/>
      <c r="G44" s="21" t="n"/>
      <c r="H44" s="22">
        <f>IF(COUNTA(E44,F44,G44)=0,"",E44+F44+G44)</f>
        <v/>
      </c>
      <c r="I44" s="23" t="n"/>
      <c r="J44" s="23" t="n"/>
      <c r="K44" s="23" t="n"/>
      <c r="L44" s="24">
        <f>IF(COUNTA(I44,J44,K44)=0,"",I44+J44+K44)</f>
        <v/>
      </c>
      <c r="M44" s="25" t="n"/>
      <c r="N44" s="25" t="n"/>
      <c r="O44" s="25" t="n"/>
      <c r="P44" s="26">
        <f>IF(COUNTA(M44,N44,O44)=0,"",M44+N44+O44)</f>
        <v/>
      </c>
      <c r="Q44" s="27" t="n"/>
      <c r="R44" s="27" t="n"/>
      <c r="S44" s="27" t="n"/>
      <c r="T44" s="28">
        <f>IF(COUNTA(Q44,R44,S44)=0,"",Q44+R44+S44)</f>
        <v/>
      </c>
      <c r="U44" s="29" t="n"/>
      <c r="V44" s="29" t="n"/>
      <c r="W44" s="29" t="n"/>
      <c r="X44" s="30">
        <f>IF(COUNTA(U44,V44,W44)=0,"",U44+V44+W44)</f>
        <v/>
      </c>
      <c r="Y44" s="31" t="n"/>
      <c r="Z44" s="31" t="n"/>
      <c r="AA44" s="31" t="n"/>
      <c r="AB44" s="32">
        <f>IF(COUNTA(Y44,Z44,AA44)=0,"",Y44+Z44+AA44)</f>
        <v/>
      </c>
      <c r="AC44" s="33">
        <f>IF(COUNTA(H44,L44,P44,T44,X44,AB44)=0,"",H44+L44+P44+T44+X44+AB44)</f>
        <v/>
      </c>
      <c r="AD44" s="33">
        <f>IF(AC44="","",IF(AC44&gt;=85,"A",IF(AC44&gt;=75,"AB",IF(AC44&gt;=65,"B",IF(AC44&gt;=55,"BC",IF(AC44&gt;=45,"C",IF(AC44&gt;=35,"CD",IF(AC44&gt;=25,"D","E"))))))))</f>
        <v/>
      </c>
      <c r="AE44" s="37" t="inlineStr"/>
    </row>
    <row r="45" ht="18" customHeight="1">
      <c r="A45" s="35" t="n">
        <v>42</v>
      </c>
      <c r="B45" s="35" t="inlineStr">
        <is>
          <t>24060123140120</t>
        </is>
      </c>
      <c r="C45" s="36" t="inlineStr">
        <is>
          <t>Muhammad Shafwan Raihan S</t>
        </is>
      </c>
      <c r="D45" s="35" t="n">
        <v>12</v>
      </c>
      <c r="E45" s="21" t="n"/>
      <c r="F45" s="21" t="n"/>
      <c r="G45" s="21" t="n"/>
      <c r="H45" s="22">
        <f>IF(COUNTA(E45,F45,G45)=0,"",E45+F45+G45)</f>
        <v/>
      </c>
      <c r="I45" s="23" t="n"/>
      <c r="J45" s="23" t="n"/>
      <c r="K45" s="23" t="n"/>
      <c r="L45" s="24">
        <f>IF(COUNTA(I45,J45,K45)=0,"",I45+J45+K45)</f>
        <v/>
      </c>
      <c r="M45" s="25" t="n"/>
      <c r="N45" s="25" t="n"/>
      <c r="O45" s="25" t="n"/>
      <c r="P45" s="26">
        <f>IF(COUNTA(M45,N45,O45)=0,"",M45+N45+O45)</f>
        <v/>
      </c>
      <c r="Q45" s="27" t="n"/>
      <c r="R45" s="27" t="n"/>
      <c r="S45" s="27" t="n"/>
      <c r="T45" s="28">
        <f>IF(COUNTA(Q45,R45,S45)=0,"",Q45+R45+S45)</f>
        <v/>
      </c>
      <c r="U45" s="29" t="n"/>
      <c r="V45" s="29" t="n"/>
      <c r="W45" s="29" t="n"/>
      <c r="X45" s="30">
        <f>IF(COUNTA(U45,V45,W45)=0,"",U45+V45+W45)</f>
        <v/>
      </c>
      <c r="Y45" s="31" t="n"/>
      <c r="Z45" s="31" t="n"/>
      <c r="AA45" s="31" t="n"/>
      <c r="AB45" s="32">
        <f>IF(COUNTA(Y45,Z45,AA45)=0,"",Y45+Z45+AA45)</f>
        <v/>
      </c>
      <c r="AC45" s="33">
        <f>IF(COUNTA(H45,L45,P45,T45,X45,AB45)=0,"",H45+L45+P45+T45+X45+AB45)</f>
        <v/>
      </c>
      <c r="AD45" s="33">
        <f>IF(AC45="","",IF(AC45&gt;=85,"A",IF(AC45&gt;=75,"AB",IF(AC45&gt;=65,"B",IF(AC45&gt;=55,"BC",IF(AC45&gt;=45,"C",IF(AC45&gt;=35,"CD",IF(AC45&gt;=25,"D","E"))))))))</f>
        <v/>
      </c>
      <c r="AE45" s="37" t="inlineStr"/>
    </row>
    <row r="46" ht="18" customHeight="1">
      <c r="A46" s="35" t="n">
        <v>43</v>
      </c>
      <c r="B46" s="35" t="inlineStr">
        <is>
          <t>24060123140194</t>
        </is>
      </c>
      <c r="C46" s="36" t="inlineStr">
        <is>
          <t>Stephen Andrew Pakpahan</t>
        </is>
      </c>
      <c r="D46" s="35" t="n">
        <v>12</v>
      </c>
      <c r="E46" s="21" t="n"/>
      <c r="F46" s="21" t="n"/>
      <c r="G46" s="21" t="n"/>
      <c r="H46" s="22">
        <f>IF(COUNTA(E46,F46,G46)=0,"",E46+F46+G46)</f>
        <v/>
      </c>
      <c r="I46" s="23" t="n"/>
      <c r="J46" s="23" t="n"/>
      <c r="K46" s="23" t="n"/>
      <c r="L46" s="24">
        <f>IF(COUNTA(I46,J46,K46)=0,"",I46+J46+K46)</f>
        <v/>
      </c>
      <c r="M46" s="25" t="n"/>
      <c r="N46" s="25" t="n"/>
      <c r="O46" s="25" t="n"/>
      <c r="P46" s="26">
        <f>IF(COUNTA(M46,N46,O46)=0,"",M46+N46+O46)</f>
        <v/>
      </c>
      <c r="Q46" s="27" t="n"/>
      <c r="R46" s="27" t="n"/>
      <c r="S46" s="27" t="n"/>
      <c r="T46" s="28">
        <f>IF(COUNTA(Q46,R46,S46)=0,"",Q46+R46+S46)</f>
        <v/>
      </c>
      <c r="U46" s="29" t="n"/>
      <c r="V46" s="29" t="n"/>
      <c r="W46" s="29" t="n"/>
      <c r="X46" s="30">
        <f>IF(COUNTA(U46,V46,W46)=0,"",U46+V46+W46)</f>
        <v/>
      </c>
      <c r="Y46" s="31" t="n"/>
      <c r="Z46" s="31" t="n"/>
      <c r="AA46" s="31" t="n"/>
      <c r="AB46" s="32">
        <f>IF(COUNTA(Y46,Z46,AA46)=0,"",Y46+Z46+AA46)</f>
        <v/>
      </c>
      <c r="AC46" s="33">
        <f>IF(COUNTA(H46,L46,P46,T46,X46,AB46)=0,"",H46+L46+P46+T46+X46+AB46)</f>
        <v/>
      </c>
      <c r="AD46" s="33">
        <f>IF(AC46="","",IF(AC46&gt;=85,"A",IF(AC46&gt;=75,"AB",IF(AC46&gt;=65,"B",IF(AC46&gt;=55,"BC",IF(AC46&gt;=45,"C",IF(AC46&gt;=35,"CD",IF(AC46&gt;=25,"D","E"))))))))</f>
        <v/>
      </c>
      <c r="AE46" s="37" t="inlineStr"/>
    </row>
    <row r="47" ht="18" customHeight="1">
      <c r="A47" s="19" t="n">
        <v>44</v>
      </c>
      <c r="B47" s="19" t="inlineStr">
        <is>
          <t>24060124140187</t>
        </is>
      </c>
      <c r="C47" s="20" t="inlineStr">
        <is>
          <t>Michael Stevano</t>
        </is>
      </c>
      <c r="D47" s="19" t="n">
        <v>13</v>
      </c>
      <c r="E47" s="21" t="n"/>
      <c r="F47" s="21" t="n"/>
      <c r="G47" s="21" t="n"/>
      <c r="H47" s="22">
        <f>IF(COUNTA(E47,F47,G47)=0,"",E47+F47+G47)</f>
        <v/>
      </c>
      <c r="I47" s="23" t="n"/>
      <c r="J47" s="23" t="n"/>
      <c r="K47" s="23" t="n"/>
      <c r="L47" s="24">
        <f>IF(COUNTA(I47,J47,K47)=0,"",I47+J47+K47)</f>
        <v/>
      </c>
      <c r="M47" s="25" t="n"/>
      <c r="N47" s="25" t="n"/>
      <c r="O47" s="25" t="n"/>
      <c r="P47" s="26">
        <f>IF(COUNTA(M47,N47,O47)=0,"",M47+N47+O47)</f>
        <v/>
      </c>
      <c r="Q47" s="27" t="n"/>
      <c r="R47" s="27" t="n"/>
      <c r="S47" s="27" t="n"/>
      <c r="T47" s="28">
        <f>IF(COUNTA(Q47,R47,S47)=0,"",Q47+R47+S47)</f>
        <v/>
      </c>
      <c r="U47" s="29" t="n"/>
      <c r="V47" s="29" t="n"/>
      <c r="W47" s="29" t="n"/>
      <c r="X47" s="30">
        <f>IF(COUNTA(U47,V47,W47)=0,"",U47+V47+W47)</f>
        <v/>
      </c>
      <c r="Y47" s="31" t="n"/>
      <c r="Z47" s="31" t="n"/>
      <c r="AA47" s="31" t="n"/>
      <c r="AB47" s="32">
        <f>IF(COUNTA(Y47,Z47,AA47)=0,"",Y47+Z47+AA47)</f>
        <v/>
      </c>
      <c r="AC47" s="33">
        <f>IF(COUNTA(H47,L47,P47,T47,X47,AB47)=0,"",H47+L47+P47+T47+X47+AB47)</f>
        <v/>
      </c>
      <c r="AD47" s="33">
        <f>IF(AC47="","",IF(AC47&gt;=85,"A",IF(AC47&gt;=75,"AB",IF(AC47&gt;=65,"B",IF(AC47&gt;=55,"BC",IF(AC47&gt;=45,"C",IF(AC47&gt;=35,"CD",IF(AC47&gt;=25,"D","E"))))))))</f>
        <v/>
      </c>
      <c r="AE47" s="38" t="inlineStr">
        <is>
          <t>[!] Hanya 1 anggota terdaftar, konfirmasi kelompok</t>
        </is>
      </c>
    </row>
  </sheetData>
  <mergeCells count="7">
    <mergeCell ref="Y2:AB2"/>
    <mergeCell ref="A1:AE1"/>
    <mergeCell ref="U2:X2"/>
    <mergeCell ref="M2:P2"/>
    <mergeCell ref="Q2:T2"/>
    <mergeCell ref="E2:H2"/>
    <mergeCell ref="I2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5" customWidth="1" min="4" max="4"/>
    <col width="6" customWidth="1" min="5" max="5"/>
    <col width="5" customWidth="1" min="6" max="6"/>
    <col width="5" customWidth="1" min="7" max="7"/>
    <col width="7" customWidth="1" min="8" max="8"/>
    <col width="5" customWidth="1" min="9" max="9"/>
    <col width="5" customWidth="1" min="10" max="10"/>
    <col width="5" customWidth="1" min="11" max="11"/>
    <col width="7" customWidth="1" min="12" max="12"/>
    <col width="5" customWidth="1" min="13" max="13"/>
    <col width="6" customWidth="1" min="14" max="14"/>
    <col width="6" customWidth="1" min="15" max="15"/>
    <col width="7" customWidth="1" min="16" max="16"/>
    <col width="5" customWidth="1" min="17" max="17"/>
    <col width="6" customWidth="1" min="18" max="18"/>
    <col width="6" customWidth="1" min="19" max="19"/>
    <col width="7" customWidth="1" min="20" max="20"/>
    <col width="5" customWidth="1" min="21" max="21"/>
    <col width="5" customWidth="1" min="22" max="22"/>
    <col width="5" customWidth="1" min="23" max="23"/>
    <col width="7" customWidth="1" min="24" max="24"/>
    <col width="5" customWidth="1" min="25" max="25"/>
    <col width="4" customWidth="1" min="26" max="26"/>
    <col width="4" customWidth="1" min="27" max="27"/>
    <col width="7" customWidth="1" min="28" max="28"/>
    <col width="9" customWidth="1" min="29" max="29"/>
    <col width="7" customWidth="1" min="30" max="30"/>
    <col width="32" customWidth="1" min="31" max="31"/>
  </cols>
  <sheetData>
    <row r="1" ht="28" customHeight="1">
      <c r="A1" s="1" t="inlineStr">
        <is>
          <t>LEMBAR PENILAIAN TUGAS KELOMPOK — ASA KELAS C 2026</t>
        </is>
      </c>
    </row>
    <row r="2" ht="22" customHeight="1">
      <c r="A2" s="2" t="inlineStr">
        <is>
          <t>No</t>
        </is>
      </c>
      <c r="B2" s="2" t="inlineStr">
        <is>
          <t>NIM</t>
        </is>
      </c>
      <c r="C2" s="2" t="inlineStr">
        <is>
          <t>Nama</t>
        </is>
      </c>
      <c r="D2" s="2" t="inlineStr">
        <is>
          <t>Kel</t>
        </is>
      </c>
      <c r="E2" s="3" t="inlineStr">
        <is>
          <t>A</t>
        </is>
      </c>
      <c r="I2" s="4" t="inlineStr">
        <is>
          <t>B</t>
        </is>
      </c>
      <c r="M2" s="5" t="inlineStr">
        <is>
          <t>C</t>
        </is>
      </c>
      <c r="Q2" s="6" t="inlineStr">
        <is>
          <t>D</t>
        </is>
      </c>
      <c r="U2" s="7" t="inlineStr">
        <is>
          <t>E</t>
        </is>
      </c>
      <c r="Y2" s="8" t="inlineStr">
        <is>
          <t>F</t>
        </is>
      </c>
      <c r="AC2" s="9" t="inlineStr">
        <is>
          <t>TOTAL</t>
        </is>
      </c>
      <c r="AD2" s="9" t="inlineStr">
        <is>
          <t>NILAI</t>
        </is>
      </c>
      <c r="AE2" s="2" t="inlineStr">
        <is>
          <t>Catatan</t>
        </is>
      </c>
    </row>
    <row r="3" ht="36" customHeight="1">
      <c r="A3" s="10" t="inlineStr">
        <is>
          <t>No</t>
        </is>
      </c>
      <c r="B3" s="10" t="inlineStr">
        <is>
          <t>NIM</t>
        </is>
      </c>
      <c r="C3" s="10" t="inlineStr">
        <is>
          <t>Nama</t>
        </is>
      </c>
      <c r="D3" s="10" t="inlineStr">
        <is>
          <t>Kel</t>
        </is>
      </c>
      <c r="E3" s="11" t="inlineStr">
        <is>
          <t>A.1
/10</t>
        </is>
      </c>
      <c r="F3" s="11" t="inlineStr">
        <is>
          <t>A.2
/5</t>
        </is>
      </c>
      <c r="G3" s="11" t="inlineStr">
        <is>
          <t>A.3
/5</t>
        </is>
      </c>
      <c r="H3" s="11" t="inlineStr">
        <is>
          <t>TOT
/20</t>
        </is>
      </c>
      <c r="I3" s="12" t="inlineStr">
        <is>
          <t>B.1
/5</t>
        </is>
      </c>
      <c r="J3" s="12" t="inlineStr">
        <is>
          <t>B.2
/5</t>
        </is>
      </c>
      <c r="K3" s="12" t="inlineStr">
        <is>
          <t>B.3
/5</t>
        </is>
      </c>
      <c r="L3" s="12" t="inlineStr">
        <is>
          <t>TOT
/15</t>
        </is>
      </c>
      <c r="M3" s="13" t="inlineStr">
        <is>
          <t>C.1
/6</t>
        </is>
      </c>
      <c r="N3" s="13" t="inlineStr">
        <is>
          <t>C.2
/7</t>
        </is>
      </c>
      <c r="O3" s="13" t="inlineStr">
        <is>
          <t>C.3
/7</t>
        </is>
      </c>
      <c r="P3" s="13" t="inlineStr">
        <is>
          <t>TOT
/20</t>
        </is>
      </c>
      <c r="Q3" s="14" t="inlineStr">
        <is>
          <t>D.1
/6</t>
        </is>
      </c>
      <c r="R3" s="14" t="inlineStr">
        <is>
          <t>D.2
/7</t>
        </is>
      </c>
      <c r="S3" s="14" t="inlineStr">
        <is>
          <t>D.3
/7</t>
        </is>
      </c>
      <c r="T3" s="14" t="inlineStr">
        <is>
          <t>TOT
/20</t>
        </is>
      </c>
      <c r="U3" s="15" t="inlineStr">
        <is>
          <t>E.1
/5</t>
        </is>
      </c>
      <c r="V3" s="15" t="inlineStr">
        <is>
          <t>E.2
/5</t>
        </is>
      </c>
      <c r="W3" s="15" t="inlineStr">
        <is>
          <t>E.3
/5</t>
        </is>
      </c>
      <c r="X3" s="15" t="inlineStr">
        <is>
          <t>TOT
/15</t>
        </is>
      </c>
      <c r="Y3" s="16" t="inlineStr">
        <is>
          <t>F.1
/4</t>
        </is>
      </c>
      <c r="Z3" s="16" t="inlineStr">
        <is>
          <t>F.2
/3</t>
        </is>
      </c>
      <c r="AA3" s="16" t="inlineStr">
        <is>
          <t>F.3
/3</t>
        </is>
      </c>
      <c r="AB3" s="16" t="inlineStr">
        <is>
          <t>TOT
/10</t>
        </is>
      </c>
      <c r="AC3" s="17" t="inlineStr">
        <is>
          <t>/100</t>
        </is>
      </c>
      <c r="AD3" s="17" t="inlineStr">
        <is>
          <t>Huruf</t>
        </is>
      </c>
      <c r="AE3" s="18" t="inlineStr">
        <is>
          <t>Catatan</t>
        </is>
      </c>
    </row>
    <row r="4">
      <c r="A4" s="39" t="inlineStr">
        <is>
          <t>Data belum tersedia — lihat penilaian-asa-c.md</t>
        </is>
      </c>
    </row>
  </sheetData>
  <mergeCells count="8">
    <mergeCell ref="A4:AE4"/>
    <mergeCell ref="Y2:AB2"/>
    <mergeCell ref="A1:AE1"/>
    <mergeCell ref="U2:X2"/>
    <mergeCell ref="M2:P2"/>
    <mergeCell ref="Q2:T2"/>
    <mergeCell ref="E2:H2"/>
    <mergeCell ref="I2:L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4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5" customWidth="1" min="4" max="4"/>
    <col width="6" customWidth="1" min="5" max="5"/>
    <col width="5" customWidth="1" min="6" max="6"/>
    <col width="5" customWidth="1" min="7" max="7"/>
    <col width="7" customWidth="1" min="8" max="8"/>
    <col width="5" customWidth="1" min="9" max="9"/>
    <col width="5" customWidth="1" min="10" max="10"/>
    <col width="5" customWidth="1" min="11" max="11"/>
    <col width="7" customWidth="1" min="12" max="12"/>
    <col width="5" customWidth="1" min="13" max="13"/>
    <col width="6" customWidth="1" min="14" max="14"/>
    <col width="6" customWidth="1" min="15" max="15"/>
    <col width="7" customWidth="1" min="16" max="16"/>
    <col width="5" customWidth="1" min="17" max="17"/>
    <col width="6" customWidth="1" min="18" max="18"/>
    <col width="6" customWidth="1" min="19" max="19"/>
    <col width="7" customWidth="1" min="20" max="20"/>
    <col width="5" customWidth="1" min="21" max="21"/>
    <col width="5" customWidth="1" min="22" max="22"/>
    <col width="5" customWidth="1" min="23" max="23"/>
    <col width="7" customWidth="1" min="24" max="24"/>
    <col width="5" customWidth="1" min="25" max="25"/>
    <col width="4" customWidth="1" min="26" max="26"/>
    <col width="4" customWidth="1" min="27" max="27"/>
    <col width="7" customWidth="1" min="28" max="28"/>
    <col width="9" customWidth="1" min="29" max="29"/>
    <col width="7" customWidth="1" min="30" max="30"/>
    <col width="32" customWidth="1" min="31" max="31"/>
  </cols>
  <sheetData>
    <row r="1" ht="28" customHeight="1">
      <c r="A1" s="1" t="inlineStr">
        <is>
          <t>LEMBAR PENILAIAN TUGAS KELOMPOK — ASA KELAS D 2026</t>
        </is>
      </c>
    </row>
    <row r="2" ht="22" customHeight="1">
      <c r="A2" s="2" t="inlineStr">
        <is>
          <t>No</t>
        </is>
      </c>
      <c r="B2" s="2" t="inlineStr">
        <is>
          <t>NIM</t>
        </is>
      </c>
      <c r="C2" s="2" t="inlineStr">
        <is>
          <t>Nama</t>
        </is>
      </c>
      <c r="D2" s="2" t="inlineStr">
        <is>
          <t>Kel</t>
        </is>
      </c>
      <c r="E2" s="3" t="inlineStr">
        <is>
          <t>A</t>
        </is>
      </c>
      <c r="I2" s="4" t="inlineStr">
        <is>
          <t>B</t>
        </is>
      </c>
      <c r="M2" s="5" t="inlineStr">
        <is>
          <t>C</t>
        </is>
      </c>
      <c r="Q2" s="6" t="inlineStr">
        <is>
          <t>D</t>
        </is>
      </c>
      <c r="U2" s="7" t="inlineStr">
        <is>
          <t>E</t>
        </is>
      </c>
      <c r="Y2" s="8" t="inlineStr">
        <is>
          <t>F</t>
        </is>
      </c>
      <c r="AC2" s="9" t="inlineStr">
        <is>
          <t>TOTAL</t>
        </is>
      </c>
      <c r="AD2" s="9" t="inlineStr">
        <is>
          <t>NILAI</t>
        </is>
      </c>
      <c r="AE2" s="2" t="inlineStr">
        <is>
          <t>Catatan</t>
        </is>
      </c>
    </row>
    <row r="3" ht="36" customHeight="1">
      <c r="A3" s="10" t="inlineStr">
        <is>
          <t>No</t>
        </is>
      </c>
      <c r="B3" s="10" t="inlineStr">
        <is>
          <t>NIM</t>
        </is>
      </c>
      <c r="C3" s="10" t="inlineStr">
        <is>
          <t>Nama</t>
        </is>
      </c>
      <c r="D3" s="10" t="inlineStr">
        <is>
          <t>Kel</t>
        </is>
      </c>
      <c r="E3" s="11" t="inlineStr">
        <is>
          <t>A.1
/10</t>
        </is>
      </c>
      <c r="F3" s="11" t="inlineStr">
        <is>
          <t>A.2
/5</t>
        </is>
      </c>
      <c r="G3" s="11" t="inlineStr">
        <is>
          <t>A.3
/5</t>
        </is>
      </c>
      <c r="H3" s="11" t="inlineStr">
        <is>
          <t>TOT
/20</t>
        </is>
      </c>
      <c r="I3" s="12" t="inlineStr">
        <is>
          <t>B.1
/5</t>
        </is>
      </c>
      <c r="J3" s="12" t="inlineStr">
        <is>
          <t>B.2
/5</t>
        </is>
      </c>
      <c r="K3" s="12" t="inlineStr">
        <is>
          <t>B.3
/5</t>
        </is>
      </c>
      <c r="L3" s="12" t="inlineStr">
        <is>
          <t>TOT
/15</t>
        </is>
      </c>
      <c r="M3" s="13" t="inlineStr">
        <is>
          <t>C.1
/6</t>
        </is>
      </c>
      <c r="N3" s="13" t="inlineStr">
        <is>
          <t>C.2
/7</t>
        </is>
      </c>
      <c r="O3" s="13" t="inlineStr">
        <is>
          <t>C.3
/7</t>
        </is>
      </c>
      <c r="P3" s="13" t="inlineStr">
        <is>
          <t>TOT
/20</t>
        </is>
      </c>
      <c r="Q3" s="14" t="inlineStr">
        <is>
          <t>D.1
/6</t>
        </is>
      </c>
      <c r="R3" s="14" t="inlineStr">
        <is>
          <t>D.2
/7</t>
        </is>
      </c>
      <c r="S3" s="14" t="inlineStr">
        <is>
          <t>D.3
/7</t>
        </is>
      </c>
      <c r="T3" s="14" t="inlineStr">
        <is>
          <t>TOT
/20</t>
        </is>
      </c>
      <c r="U3" s="15" t="inlineStr">
        <is>
          <t>E.1
/5</t>
        </is>
      </c>
      <c r="V3" s="15" t="inlineStr">
        <is>
          <t>E.2
/5</t>
        </is>
      </c>
      <c r="W3" s="15" t="inlineStr">
        <is>
          <t>E.3
/5</t>
        </is>
      </c>
      <c r="X3" s="15" t="inlineStr">
        <is>
          <t>TOT
/15</t>
        </is>
      </c>
      <c r="Y3" s="16" t="inlineStr">
        <is>
          <t>F.1
/4</t>
        </is>
      </c>
      <c r="Z3" s="16" t="inlineStr">
        <is>
          <t>F.2
/3</t>
        </is>
      </c>
      <c r="AA3" s="16" t="inlineStr">
        <is>
          <t>F.3
/3</t>
        </is>
      </c>
      <c r="AB3" s="16" t="inlineStr">
        <is>
          <t>TOT
/10</t>
        </is>
      </c>
      <c r="AC3" s="17" t="inlineStr">
        <is>
          <t>/100</t>
        </is>
      </c>
      <c r="AD3" s="17" t="inlineStr">
        <is>
          <t>Huruf</t>
        </is>
      </c>
      <c r="AE3" s="18" t="inlineStr">
        <is>
          <t>Catatan</t>
        </is>
      </c>
    </row>
    <row r="4" ht="18" customHeight="1">
      <c r="A4" s="19" t="n">
        <v>1</v>
      </c>
      <c r="B4" s="19" t="inlineStr">
        <is>
          <t>24060124140165</t>
        </is>
      </c>
      <c r="C4" s="20" t="inlineStr">
        <is>
          <t>Dinda Isyariani</t>
        </is>
      </c>
      <c r="D4" s="19" t="n">
        <v>1</v>
      </c>
      <c r="E4" s="21" t="n"/>
      <c r="F4" s="21" t="n"/>
      <c r="G4" s="21" t="n"/>
      <c r="H4" s="22">
        <f>IF(COUNTA(E4,F4,G4)=0,"",E4+F4+G4)</f>
        <v/>
      </c>
      <c r="I4" s="23" t="n"/>
      <c r="J4" s="23" t="n"/>
      <c r="K4" s="23" t="n"/>
      <c r="L4" s="24">
        <f>IF(COUNTA(I4,J4,K4)=0,"",I4+J4+K4)</f>
        <v/>
      </c>
      <c r="M4" s="25" t="n"/>
      <c r="N4" s="25" t="n"/>
      <c r="O4" s="25" t="n"/>
      <c r="P4" s="26">
        <f>IF(COUNTA(M4,N4,O4)=0,"",M4+N4+O4)</f>
        <v/>
      </c>
      <c r="Q4" s="27" t="n"/>
      <c r="R4" s="27" t="n"/>
      <c r="S4" s="27" t="n"/>
      <c r="T4" s="28">
        <f>IF(COUNTA(Q4,R4,S4)=0,"",Q4+R4+S4)</f>
        <v/>
      </c>
      <c r="U4" s="29" t="n"/>
      <c r="V4" s="29" t="n"/>
      <c r="W4" s="29" t="n"/>
      <c r="X4" s="30">
        <f>IF(COUNTA(U4,V4,W4)=0,"",U4+V4+W4)</f>
        <v/>
      </c>
      <c r="Y4" s="31" t="n"/>
      <c r="Z4" s="31" t="n"/>
      <c r="AA4" s="31" t="n"/>
      <c r="AB4" s="32">
        <f>IF(COUNTA(Y4,Z4,AA4)=0,"",Y4+Z4+AA4)</f>
        <v/>
      </c>
      <c r="AC4" s="33">
        <f>IF(COUNTA(H4,L4,P4,T4,X4,AB4)=0,"",H4+L4+P4+T4+X4+AB4)</f>
        <v/>
      </c>
      <c r="AD4" s="33">
        <f>IF(AC4="","",IF(AC4&gt;=85,"A",IF(AC4&gt;=75,"AB",IF(AC4&gt;=65,"B",IF(AC4&gt;=55,"BC",IF(AC4&gt;=45,"C",IF(AC4&gt;=35,"CD",IF(AC4&gt;=25,"D","E"))))))))</f>
        <v/>
      </c>
      <c r="AE4" s="34" t="inlineStr"/>
    </row>
    <row r="5" ht="18" customHeight="1">
      <c r="A5" s="19" t="n">
        <v>2</v>
      </c>
      <c r="B5" s="19" t="inlineStr">
        <is>
          <t>24060124130065</t>
        </is>
      </c>
      <c r="C5" s="20" t="inlineStr">
        <is>
          <t>Elza Khoirisma Carrynda</t>
        </is>
      </c>
      <c r="D5" s="19" t="n">
        <v>1</v>
      </c>
      <c r="E5" s="21" t="n"/>
      <c r="F5" s="21" t="n"/>
      <c r="G5" s="21" t="n"/>
      <c r="H5" s="22">
        <f>IF(COUNTA(E5,F5,G5)=0,"",E5+F5+G5)</f>
        <v/>
      </c>
      <c r="I5" s="23" t="n"/>
      <c r="J5" s="23" t="n"/>
      <c r="K5" s="23" t="n"/>
      <c r="L5" s="24">
        <f>IF(COUNTA(I5,J5,K5)=0,"",I5+J5+K5)</f>
        <v/>
      </c>
      <c r="M5" s="25" t="n"/>
      <c r="N5" s="25" t="n"/>
      <c r="O5" s="25" t="n"/>
      <c r="P5" s="26">
        <f>IF(COUNTA(M5,N5,O5)=0,"",M5+N5+O5)</f>
        <v/>
      </c>
      <c r="Q5" s="27" t="n"/>
      <c r="R5" s="27" t="n"/>
      <c r="S5" s="27" t="n"/>
      <c r="T5" s="28">
        <f>IF(COUNTA(Q5,R5,S5)=0,"",Q5+R5+S5)</f>
        <v/>
      </c>
      <c r="U5" s="29" t="n"/>
      <c r="V5" s="29" t="n"/>
      <c r="W5" s="29" t="n"/>
      <c r="X5" s="30">
        <f>IF(COUNTA(U5,V5,W5)=0,"",U5+V5+W5)</f>
        <v/>
      </c>
      <c r="Y5" s="31" t="n"/>
      <c r="Z5" s="31" t="n"/>
      <c r="AA5" s="31" t="n"/>
      <c r="AB5" s="32">
        <f>IF(COUNTA(Y5,Z5,AA5)=0,"",Y5+Z5+AA5)</f>
        <v/>
      </c>
      <c r="AC5" s="33">
        <f>IF(COUNTA(H5,L5,P5,T5,X5,AB5)=0,"",H5+L5+P5+T5+X5+AB5)</f>
        <v/>
      </c>
      <c r="AD5" s="33">
        <f>IF(AC5="","",IF(AC5&gt;=85,"A",IF(AC5&gt;=75,"AB",IF(AC5&gt;=65,"B",IF(AC5&gt;=55,"BC",IF(AC5&gt;=45,"C",IF(AC5&gt;=35,"CD",IF(AC5&gt;=25,"D","E"))))))))</f>
        <v/>
      </c>
      <c r="AE5" s="34" t="inlineStr"/>
    </row>
    <row r="6" ht="18" customHeight="1">
      <c r="A6" s="19" t="n">
        <v>3</v>
      </c>
      <c r="B6" s="19" t="inlineStr">
        <is>
          <t>24060124130095</t>
        </is>
      </c>
      <c r="C6" s="20" t="inlineStr">
        <is>
          <t>Zulfa Nabilah</t>
        </is>
      </c>
      <c r="D6" s="19" t="n">
        <v>1</v>
      </c>
      <c r="E6" s="21" t="n"/>
      <c r="F6" s="21" t="n"/>
      <c r="G6" s="21" t="n"/>
      <c r="H6" s="22">
        <f>IF(COUNTA(E6,F6,G6)=0,"",E6+F6+G6)</f>
        <v/>
      </c>
      <c r="I6" s="23" t="n"/>
      <c r="J6" s="23" t="n"/>
      <c r="K6" s="23" t="n"/>
      <c r="L6" s="24">
        <f>IF(COUNTA(I6,J6,K6)=0,"",I6+J6+K6)</f>
        <v/>
      </c>
      <c r="M6" s="25" t="n"/>
      <c r="N6" s="25" t="n"/>
      <c r="O6" s="25" t="n"/>
      <c r="P6" s="26">
        <f>IF(COUNTA(M6,N6,O6)=0,"",M6+N6+O6)</f>
        <v/>
      </c>
      <c r="Q6" s="27" t="n"/>
      <c r="R6" s="27" t="n"/>
      <c r="S6" s="27" t="n"/>
      <c r="T6" s="28">
        <f>IF(COUNTA(Q6,R6,S6)=0,"",Q6+R6+S6)</f>
        <v/>
      </c>
      <c r="U6" s="29" t="n"/>
      <c r="V6" s="29" t="n"/>
      <c r="W6" s="29" t="n"/>
      <c r="X6" s="30">
        <f>IF(COUNTA(U6,V6,W6)=0,"",U6+V6+W6)</f>
        <v/>
      </c>
      <c r="Y6" s="31" t="n"/>
      <c r="Z6" s="31" t="n"/>
      <c r="AA6" s="31" t="n"/>
      <c r="AB6" s="32">
        <f>IF(COUNTA(Y6,Z6,AA6)=0,"",Y6+Z6+AA6)</f>
        <v/>
      </c>
      <c r="AC6" s="33">
        <f>IF(COUNTA(H6,L6,P6,T6,X6,AB6)=0,"",H6+L6+P6+T6+X6+AB6)</f>
        <v/>
      </c>
      <c r="AD6" s="33">
        <f>IF(AC6="","",IF(AC6&gt;=85,"A",IF(AC6&gt;=75,"AB",IF(AC6&gt;=65,"B",IF(AC6&gt;=55,"BC",IF(AC6&gt;=45,"C",IF(AC6&gt;=35,"CD",IF(AC6&gt;=25,"D","E"))))))))</f>
        <v/>
      </c>
      <c r="AE6" s="34" t="inlineStr"/>
    </row>
    <row r="7" ht="18" customHeight="1">
      <c r="A7" s="19" t="n">
        <v>4</v>
      </c>
      <c r="B7" s="19" t="inlineStr">
        <is>
          <t>24060121120026</t>
        </is>
      </c>
      <c r="C7" s="20" t="inlineStr">
        <is>
          <t>M. Ghani Aryasuta</t>
        </is>
      </c>
      <c r="D7" s="19" t="n">
        <v>1</v>
      </c>
      <c r="E7" s="21" t="n"/>
      <c r="F7" s="21" t="n"/>
      <c r="G7" s="21" t="n"/>
      <c r="H7" s="22">
        <f>IF(COUNTA(E7,F7,G7)=0,"",E7+F7+G7)</f>
        <v/>
      </c>
      <c r="I7" s="23" t="n"/>
      <c r="J7" s="23" t="n"/>
      <c r="K7" s="23" t="n"/>
      <c r="L7" s="24">
        <f>IF(COUNTA(I7,J7,K7)=0,"",I7+J7+K7)</f>
        <v/>
      </c>
      <c r="M7" s="25" t="n"/>
      <c r="N7" s="25" t="n"/>
      <c r="O7" s="25" t="n"/>
      <c r="P7" s="26">
        <f>IF(COUNTA(M7,N7,O7)=0,"",M7+N7+O7)</f>
        <v/>
      </c>
      <c r="Q7" s="27" t="n"/>
      <c r="R7" s="27" t="n"/>
      <c r="S7" s="27" t="n"/>
      <c r="T7" s="28">
        <f>IF(COUNTA(Q7,R7,S7)=0,"",Q7+R7+S7)</f>
        <v/>
      </c>
      <c r="U7" s="29" t="n"/>
      <c r="V7" s="29" t="n"/>
      <c r="W7" s="29" t="n"/>
      <c r="X7" s="30">
        <f>IF(COUNTA(U7,V7,W7)=0,"",U7+V7+W7)</f>
        <v/>
      </c>
      <c r="Y7" s="31" t="n"/>
      <c r="Z7" s="31" t="n"/>
      <c r="AA7" s="31" t="n"/>
      <c r="AB7" s="32">
        <f>IF(COUNTA(Y7,Z7,AA7)=0,"",Y7+Z7+AA7)</f>
        <v/>
      </c>
      <c r="AC7" s="33">
        <f>IF(COUNTA(H7,L7,P7,T7,X7,AB7)=0,"",H7+L7+P7+T7+X7+AB7)</f>
        <v/>
      </c>
      <c r="AD7" s="33">
        <f>IF(AC7="","",IF(AC7&gt;=85,"A",IF(AC7&gt;=75,"AB",IF(AC7&gt;=65,"B",IF(AC7&gt;=55,"BC",IF(AC7&gt;=45,"C",IF(AC7&gt;=35,"CD",IF(AC7&gt;=25,"D","E"))))))))</f>
        <v/>
      </c>
      <c r="AE7" s="38" t="inlineStr">
        <is>
          <t>Angkatan 2021, konfirmasi status aktif</t>
        </is>
      </c>
    </row>
    <row r="8" ht="18" customHeight="1">
      <c r="A8" s="35" t="n">
        <v>5</v>
      </c>
      <c r="B8" s="35" t="inlineStr">
        <is>
          <t>24060124140196</t>
        </is>
      </c>
      <c r="C8" s="36" t="inlineStr">
        <is>
          <t>Saburo Rafqi Hidayat</t>
        </is>
      </c>
      <c r="D8" s="35" t="n">
        <v>2</v>
      </c>
      <c r="E8" s="21" t="n"/>
      <c r="F8" s="21" t="n"/>
      <c r="G8" s="21" t="n"/>
      <c r="H8" s="22">
        <f>IF(COUNTA(E8,F8,G8)=0,"",E8+F8+G8)</f>
        <v/>
      </c>
      <c r="I8" s="23" t="n"/>
      <c r="J8" s="23" t="n"/>
      <c r="K8" s="23" t="n"/>
      <c r="L8" s="24">
        <f>IF(COUNTA(I8,J8,K8)=0,"",I8+J8+K8)</f>
        <v/>
      </c>
      <c r="M8" s="25" t="n"/>
      <c r="N8" s="25" t="n"/>
      <c r="O8" s="25" t="n"/>
      <c r="P8" s="26">
        <f>IF(COUNTA(M8,N8,O8)=0,"",M8+N8+O8)</f>
        <v/>
      </c>
      <c r="Q8" s="27" t="n"/>
      <c r="R8" s="27" t="n"/>
      <c r="S8" s="27" t="n"/>
      <c r="T8" s="28">
        <f>IF(COUNTA(Q8,R8,S8)=0,"",Q8+R8+S8)</f>
        <v/>
      </c>
      <c r="U8" s="29" t="n"/>
      <c r="V8" s="29" t="n"/>
      <c r="W8" s="29" t="n"/>
      <c r="X8" s="30">
        <f>IF(COUNTA(U8,V8,W8)=0,"",U8+V8+W8)</f>
        <v/>
      </c>
      <c r="Y8" s="31" t="n"/>
      <c r="Z8" s="31" t="n"/>
      <c r="AA8" s="31" t="n"/>
      <c r="AB8" s="32">
        <f>IF(COUNTA(Y8,Z8,AA8)=0,"",Y8+Z8+AA8)</f>
        <v/>
      </c>
      <c r="AC8" s="33">
        <f>IF(COUNTA(H8,L8,P8,T8,X8,AB8)=0,"",H8+L8+P8+T8+X8+AB8)</f>
        <v/>
      </c>
      <c r="AD8" s="33">
        <f>IF(AC8="","",IF(AC8&gt;=85,"A",IF(AC8&gt;=75,"AB",IF(AC8&gt;=65,"B",IF(AC8&gt;=55,"BC",IF(AC8&gt;=45,"C",IF(AC8&gt;=35,"CD",IF(AC8&gt;=25,"D","E"))))))))</f>
        <v/>
      </c>
      <c r="AE8" s="37" t="inlineStr"/>
    </row>
    <row r="9" ht="18" customHeight="1">
      <c r="A9" s="35" t="n">
        <v>6</v>
      </c>
      <c r="B9" s="35" t="inlineStr">
        <is>
          <t>24060124120030</t>
        </is>
      </c>
      <c r="C9" s="36" t="inlineStr">
        <is>
          <t>An Al Rivaldi</t>
        </is>
      </c>
      <c r="D9" s="35" t="n">
        <v>2</v>
      </c>
      <c r="E9" s="21" t="n"/>
      <c r="F9" s="21" t="n"/>
      <c r="G9" s="21" t="n"/>
      <c r="H9" s="22">
        <f>IF(COUNTA(E9,F9,G9)=0,"",E9+F9+G9)</f>
        <v/>
      </c>
      <c r="I9" s="23" t="n"/>
      <c r="J9" s="23" t="n"/>
      <c r="K9" s="23" t="n"/>
      <c r="L9" s="24">
        <f>IF(COUNTA(I9,J9,K9)=0,"",I9+J9+K9)</f>
        <v/>
      </c>
      <c r="M9" s="25" t="n"/>
      <c r="N9" s="25" t="n"/>
      <c r="O9" s="25" t="n"/>
      <c r="P9" s="26">
        <f>IF(COUNTA(M9,N9,O9)=0,"",M9+N9+O9)</f>
        <v/>
      </c>
      <c r="Q9" s="27" t="n"/>
      <c r="R9" s="27" t="n"/>
      <c r="S9" s="27" t="n"/>
      <c r="T9" s="28">
        <f>IF(COUNTA(Q9,R9,S9)=0,"",Q9+R9+S9)</f>
        <v/>
      </c>
      <c r="U9" s="29" t="n"/>
      <c r="V9" s="29" t="n"/>
      <c r="W9" s="29" t="n"/>
      <c r="X9" s="30">
        <f>IF(COUNTA(U9,V9,W9)=0,"",U9+V9+W9)</f>
        <v/>
      </c>
      <c r="Y9" s="31" t="n"/>
      <c r="Z9" s="31" t="n"/>
      <c r="AA9" s="31" t="n"/>
      <c r="AB9" s="32">
        <f>IF(COUNTA(Y9,Z9,AA9)=0,"",Y9+Z9+AA9)</f>
        <v/>
      </c>
      <c r="AC9" s="33">
        <f>IF(COUNTA(H9,L9,P9,T9,X9,AB9)=0,"",H9+L9+P9+T9+X9+AB9)</f>
        <v/>
      </c>
      <c r="AD9" s="33">
        <f>IF(AC9="","",IF(AC9&gt;=85,"A",IF(AC9&gt;=75,"AB",IF(AC9&gt;=65,"B",IF(AC9&gt;=55,"BC",IF(AC9&gt;=45,"C",IF(AC9&gt;=35,"CD",IF(AC9&gt;=25,"D","E"))))))))</f>
        <v/>
      </c>
      <c r="AE9" s="37" t="inlineStr"/>
    </row>
    <row r="10" ht="18" customHeight="1">
      <c r="A10" s="35" t="n">
        <v>7</v>
      </c>
      <c r="B10" s="35" t="inlineStr">
        <is>
          <t>24060124130054</t>
        </is>
      </c>
      <c r="C10" s="36" t="inlineStr">
        <is>
          <t>Raffie Aditya Akbar</t>
        </is>
      </c>
      <c r="D10" s="35" t="n">
        <v>2</v>
      </c>
      <c r="E10" s="21" t="n"/>
      <c r="F10" s="21" t="n"/>
      <c r="G10" s="21" t="n"/>
      <c r="H10" s="22">
        <f>IF(COUNTA(E10,F10,G10)=0,"",E10+F10+G10)</f>
        <v/>
      </c>
      <c r="I10" s="23" t="n"/>
      <c r="J10" s="23" t="n"/>
      <c r="K10" s="23" t="n"/>
      <c r="L10" s="24">
        <f>IF(COUNTA(I10,J10,K10)=0,"",I10+J10+K10)</f>
        <v/>
      </c>
      <c r="M10" s="25" t="n"/>
      <c r="N10" s="25" t="n"/>
      <c r="O10" s="25" t="n"/>
      <c r="P10" s="26">
        <f>IF(COUNTA(M10,N10,O10)=0,"",M10+N10+O10)</f>
        <v/>
      </c>
      <c r="Q10" s="27" t="n"/>
      <c r="R10" s="27" t="n"/>
      <c r="S10" s="27" t="n"/>
      <c r="T10" s="28">
        <f>IF(COUNTA(Q10,R10,S10)=0,"",Q10+R10+S10)</f>
        <v/>
      </c>
      <c r="U10" s="29" t="n"/>
      <c r="V10" s="29" t="n"/>
      <c r="W10" s="29" t="n"/>
      <c r="X10" s="30">
        <f>IF(COUNTA(U10,V10,W10)=0,"",U10+V10+W10)</f>
        <v/>
      </c>
      <c r="Y10" s="31" t="n"/>
      <c r="Z10" s="31" t="n"/>
      <c r="AA10" s="31" t="n"/>
      <c r="AB10" s="32">
        <f>IF(COUNTA(Y10,Z10,AA10)=0,"",Y10+Z10+AA10)</f>
        <v/>
      </c>
      <c r="AC10" s="33">
        <f>IF(COUNTA(H10,L10,P10,T10,X10,AB10)=0,"",H10+L10+P10+T10+X10+AB10)</f>
        <v/>
      </c>
      <c r="AD10" s="33">
        <f>IF(AC10="","",IF(AC10&gt;=85,"A",IF(AC10&gt;=75,"AB",IF(AC10&gt;=65,"B",IF(AC10&gt;=55,"BC",IF(AC10&gt;=45,"C",IF(AC10&gt;=35,"CD",IF(AC10&gt;=25,"D","E"))))))))</f>
        <v/>
      </c>
      <c r="AE10" s="37" t="inlineStr"/>
    </row>
    <row r="11" ht="18" customHeight="1">
      <c r="A11" s="35" t="n">
        <v>8</v>
      </c>
      <c r="B11" s="35" t="inlineStr">
        <is>
          <t>24060124130092</t>
        </is>
      </c>
      <c r="C11" s="36" t="inlineStr">
        <is>
          <t>Syuraih Umar Khottob</t>
        </is>
      </c>
      <c r="D11" s="35" t="n">
        <v>2</v>
      </c>
      <c r="E11" s="21" t="n"/>
      <c r="F11" s="21" t="n"/>
      <c r="G11" s="21" t="n"/>
      <c r="H11" s="22">
        <f>IF(COUNTA(E11,F11,G11)=0,"",E11+F11+G11)</f>
        <v/>
      </c>
      <c r="I11" s="23" t="n"/>
      <c r="J11" s="23" t="n"/>
      <c r="K11" s="23" t="n"/>
      <c r="L11" s="24">
        <f>IF(COUNTA(I11,J11,K11)=0,"",I11+J11+K11)</f>
        <v/>
      </c>
      <c r="M11" s="25" t="n"/>
      <c r="N11" s="25" t="n"/>
      <c r="O11" s="25" t="n"/>
      <c r="P11" s="26">
        <f>IF(COUNTA(M11,N11,O11)=0,"",M11+N11+O11)</f>
        <v/>
      </c>
      <c r="Q11" s="27" t="n"/>
      <c r="R11" s="27" t="n"/>
      <c r="S11" s="27" t="n"/>
      <c r="T11" s="28">
        <f>IF(COUNTA(Q11,R11,S11)=0,"",Q11+R11+S11)</f>
        <v/>
      </c>
      <c r="U11" s="29" t="n"/>
      <c r="V11" s="29" t="n"/>
      <c r="W11" s="29" t="n"/>
      <c r="X11" s="30">
        <f>IF(COUNTA(U11,V11,W11)=0,"",U11+V11+W11)</f>
        <v/>
      </c>
      <c r="Y11" s="31" t="n"/>
      <c r="Z11" s="31" t="n"/>
      <c r="AA11" s="31" t="n"/>
      <c r="AB11" s="32">
        <f>IF(COUNTA(Y11,Z11,AA11)=0,"",Y11+Z11+AA11)</f>
        <v/>
      </c>
      <c r="AC11" s="33">
        <f>IF(COUNTA(H11,L11,P11,T11,X11,AB11)=0,"",H11+L11+P11+T11+X11+AB11)</f>
        <v/>
      </c>
      <c r="AD11" s="33">
        <f>IF(AC11="","",IF(AC11&gt;=85,"A",IF(AC11&gt;=75,"AB",IF(AC11&gt;=65,"B",IF(AC11&gt;=55,"BC",IF(AC11&gt;=45,"C",IF(AC11&gt;=35,"CD",IF(AC11&gt;=25,"D","E"))))))))</f>
        <v/>
      </c>
      <c r="AE11" s="37" t="inlineStr"/>
    </row>
    <row r="12" ht="18" customHeight="1">
      <c r="A12" s="19" t="n">
        <v>9</v>
      </c>
      <c r="B12" s="19" t="inlineStr">
        <is>
          <t>24060124140170</t>
        </is>
      </c>
      <c r="C12" s="20" t="inlineStr">
        <is>
          <t>Naufal Rayan Attallah</t>
        </is>
      </c>
      <c r="D12" s="19" t="n">
        <v>3</v>
      </c>
      <c r="E12" s="21" t="n"/>
      <c r="F12" s="21" t="n"/>
      <c r="G12" s="21" t="n"/>
      <c r="H12" s="22">
        <f>IF(COUNTA(E12,F12,G12)=0,"",E12+F12+G12)</f>
        <v/>
      </c>
      <c r="I12" s="23" t="n"/>
      <c r="J12" s="23" t="n"/>
      <c r="K12" s="23" t="n"/>
      <c r="L12" s="24">
        <f>IF(COUNTA(I12,J12,K12)=0,"",I12+J12+K12)</f>
        <v/>
      </c>
      <c r="M12" s="25" t="n"/>
      <c r="N12" s="25" t="n"/>
      <c r="O12" s="25" t="n"/>
      <c r="P12" s="26">
        <f>IF(COUNTA(M12,N12,O12)=0,"",M12+N12+O12)</f>
        <v/>
      </c>
      <c r="Q12" s="27" t="n"/>
      <c r="R12" s="27" t="n"/>
      <c r="S12" s="27" t="n"/>
      <c r="T12" s="28">
        <f>IF(COUNTA(Q12,R12,S12)=0,"",Q12+R12+S12)</f>
        <v/>
      </c>
      <c r="U12" s="29" t="n"/>
      <c r="V12" s="29" t="n"/>
      <c r="W12" s="29" t="n"/>
      <c r="X12" s="30">
        <f>IF(COUNTA(U12,V12,W12)=0,"",U12+V12+W12)</f>
        <v/>
      </c>
      <c r="Y12" s="31" t="n"/>
      <c r="Z12" s="31" t="n"/>
      <c r="AA12" s="31" t="n"/>
      <c r="AB12" s="32">
        <f>IF(COUNTA(Y12,Z12,AA12)=0,"",Y12+Z12+AA12)</f>
        <v/>
      </c>
      <c r="AC12" s="33">
        <f>IF(COUNTA(H12,L12,P12,T12,X12,AB12)=0,"",H12+L12+P12+T12+X12+AB12)</f>
        <v/>
      </c>
      <c r="AD12" s="33">
        <f>IF(AC12="","",IF(AC12&gt;=85,"A",IF(AC12&gt;=75,"AB",IF(AC12&gt;=65,"B",IF(AC12&gt;=55,"BC",IF(AC12&gt;=45,"C",IF(AC12&gt;=35,"CD",IF(AC12&gt;=25,"D","E"))))))))</f>
        <v/>
      </c>
      <c r="AE12" s="34" t="inlineStr"/>
    </row>
    <row r="13" ht="18" customHeight="1">
      <c r="A13" s="19" t="n">
        <v>10</v>
      </c>
      <c r="B13" s="19" t="inlineStr">
        <is>
          <t>24060124130056</t>
        </is>
      </c>
      <c r="C13" s="20" t="inlineStr">
        <is>
          <t>Muhammad Kamal Hamzah</t>
        </is>
      </c>
      <c r="D13" s="19" t="n">
        <v>3</v>
      </c>
      <c r="E13" s="21" t="n"/>
      <c r="F13" s="21" t="n"/>
      <c r="G13" s="21" t="n"/>
      <c r="H13" s="22">
        <f>IF(COUNTA(E13,F13,G13)=0,"",E13+F13+G13)</f>
        <v/>
      </c>
      <c r="I13" s="23" t="n"/>
      <c r="J13" s="23" t="n"/>
      <c r="K13" s="23" t="n"/>
      <c r="L13" s="24">
        <f>IF(COUNTA(I13,J13,K13)=0,"",I13+J13+K13)</f>
        <v/>
      </c>
      <c r="M13" s="25" t="n"/>
      <c r="N13" s="25" t="n"/>
      <c r="O13" s="25" t="n"/>
      <c r="P13" s="26">
        <f>IF(COUNTA(M13,N13,O13)=0,"",M13+N13+O13)</f>
        <v/>
      </c>
      <c r="Q13" s="27" t="n"/>
      <c r="R13" s="27" t="n"/>
      <c r="S13" s="27" t="n"/>
      <c r="T13" s="28">
        <f>IF(COUNTA(Q13,R13,S13)=0,"",Q13+R13+S13)</f>
        <v/>
      </c>
      <c r="U13" s="29" t="n"/>
      <c r="V13" s="29" t="n"/>
      <c r="W13" s="29" t="n"/>
      <c r="X13" s="30">
        <f>IF(COUNTA(U13,V13,W13)=0,"",U13+V13+W13)</f>
        <v/>
      </c>
      <c r="Y13" s="31" t="n"/>
      <c r="Z13" s="31" t="n"/>
      <c r="AA13" s="31" t="n"/>
      <c r="AB13" s="32">
        <f>IF(COUNTA(Y13,Z13,AA13)=0,"",Y13+Z13+AA13)</f>
        <v/>
      </c>
      <c r="AC13" s="33">
        <f>IF(COUNTA(H13,L13,P13,T13,X13,AB13)=0,"",H13+L13+P13+T13+X13+AB13)</f>
        <v/>
      </c>
      <c r="AD13" s="33">
        <f>IF(AC13="","",IF(AC13&gt;=85,"A",IF(AC13&gt;=75,"AB",IF(AC13&gt;=65,"B",IF(AC13&gt;=55,"BC",IF(AC13&gt;=45,"C",IF(AC13&gt;=35,"CD",IF(AC13&gt;=25,"D","E"))))))))</f>
        <v/>
      </c>
      <c r="AE13" s="34" t="inlineStr"/>
    </row>
    <row r="14" ht="18" customHeight="1">
      <c r="A14" s="19" t="n">
        <v>11</v>
      </c>
      <c r="B14" s="19" t="inlineStr">
        <is>
          <t>24060124140126</t>
        </is>
      </c>
      <c r="C14" s="20" t="inlineStr">
        <is>
          <t>Rafa Azlan</t>
        </is>
      </c>
      <c r="D14" s="19" t="n">
        <v>3</v>
      </c>
      <c r="E14" s="21" t="n"/>
      <c r="F14" s="21" t="n"/>
      <c r="G14" s="21" t="n"/>
      <c r="H14" s="22">
        <f>IF(COUNTA(E14,F14,G14)=0,"",E14+F14+G14)</f>
        <v/>
      </c>
      <c r="I14" s="23" t="n"/>
      <c r="J14" s="23" t="n"/>
      <c r="K14" s="23" t="n"/>
      <c r="L14" s="24">
        <f>IF(COUNTA(I14,J14,K14)=0,"",I14+J14+K14)</f>
        <v/>
      </c>
      <c r="M14" s="25" t="n"/>
      <c r="N14" s="25" t="n"/>
      <c r="O14" s="25" t="n"/>
      <c r="P14" s="26">
        <f>IF(COUNTA(M14,N14,O14)=0,"",M14+N14+O14)</f>
        <v/>
      </c>
      <c r="Q14" s="27" t="n"/>
      <c r="R14" s="27" t="n"/>
      <c r="S14" s="27" t="n"/>
      <c r="T14" s="28">
        <f>IF(COUNTA(Q14,R14,S14)=0,"",Q14+R14+S14)</f>
        <v/>
      </c>
      <c r="U14" s="29" t="n"/>
      <c r="V14" s="29" t="n"/>
      <c r="W14" s="29" t="n"/>
      <c r="X14" s="30">
        <f>IF(COUNTA(U14,V14,W14)=0,"",U14+V14+W14)</f>
        <v/>
      </c>
      <c r="Y14" s="31" t="n"/>
      <c r="Z14" s="31" t="n"/>
      <c r="AA14" s="31" t="n"/>
      <c r="AB14" s="32">
        <f>IF(COUNTA(Y14,Z14,AA14)=0,"",Y14+Z14+AA14)</f>
        <v/>
      </c>
      <c r="AC14" s="33">
        <f>IF(COUNTA(H14,L14,P14,T14,X14,AB14)=0,"",H14+L14+P14+T14+X14+AB14)</f>
        <v/>
      </c>
      <c r="AD14" s="33">
        <f>IF(AC14="","",IF(AC14&gt;=85,"A",IF(AC14&gt;=75,"AB",IF(AC14&gt;=65,"B",IF(AC14&gt;=55,"BC",IF(AC14&gt;=45,"C",IF(AC14&gt;=35,"CD",IF(AC14&gt;=25,"D","E"))))))))</f>
        <v/>
      </c>
      <c r="AE14" s="34" t="inlineStr"/>
    </row>
    <row r="15" ht="18" customHeight="1">
      <c r="A15" s="19" t="n">
        <v>12</v>
      </c>
      <c r="B15" s="19" t="inlineStr">
        <is>
          <t>24060124130075</t>
        </is>
      </c>
      <c r="C15" s="20" t="inlineStr">
        <is>
          <t>Naufal Dwi Yusmawan</t>
        </is>
      </c>
      <c r="D15" s="19" t="n">
        <v>3</v>
      </c>
      <c r="E15" s="21" t="n"/>
      <c r="F15" s="21" t="n"/>
      <c r="G15" s="21" t="n"/>
      <c r="H15" s="22">
        <f>IF(COUNTA(E15,F15,G15)=0,"",E15+F15+G15)</f>
        <v/>
      </c>
      <c r="I15" s="23" t="n"/>
      <c r="J15" s="23" t="n"/>
      <c r="K15" s="23" t="n"/>
      <c r="L15" s="24">
        <f>IF(COUNTA(I15,J15,K15)=0,"",I15+J15+K15)</f>
        <v/>
      </c>
      <c r="M15" s="25" t="n"/>
      <c r="N15" s="25" t="n"/>
      <c r="O15" s="25" t="n"/>
      <c r="P15" s="26">
        <f>IF(COUNTA(M15,N15,O15)=0,"",M15+N15+O15)</f>
        <v/>
      </c>
      <c r="Q15" s="27" t="n"/>
      <c r="R15" s="27" t="n"/>
      <c r="S15" s="27" t="n"/>
      <c r="T15" s="28">
        <f>IF(COUNTA(Q15,R15,S15)=0,"",Q15+R15+S15)</f>
        <v/>
      </c>
      <c r="U15" s="29" t="n"/>
      <c r="V15" s="29" t="n"/>
      <c r="W15" s="29" t="n"/>
      <c r="X15" s="30">
        <f>IF(COUNTA(U15,V15,W15)=0,"",U15+V15+W15)</f>
        <v/>
      </c>
      <c r="Y15" s="31" t="n"/>
      <c r="Z15" s="31" t="n"/>
      <c r="AA15" s="31" t="n"/>
      <c r="AB15" s="32">
        <f>IF(COUNTA(Y15,Z15,AA15)=0,"",Y15+Z15+AA15)</f>
        <v/>
      </c>
      <c r="AC15" s="33">
        <f>IF(COUNTA(H15,L15,P15,T15,X15,AB15)=0,"",H15+L15+P15+T15+X15+AB15)</f>
        <v/>
      </c>
      <c r="AD15" s="33">
        <f>IF(AC15="","",IF(AC15&gt;=85,"A",IF(AC15&gt;=75,"AB",IF(AC15&gt;=65,"B",IF(AC15&gt;=55,"BC",IF(AC15&gt;=45,"C",IF(AC15&gt;=35,"CD",IF(AC15&gt;=25,"D","E"))))))))</f>
        <v/>
      </c>
      <c r="AE15" s="34" t="inlineStr"/>
    </row>
    <row r="16" ht="18" customHeight="1">
      <c r="A16" s="35" t="n">
        <v>13</v>
      </c>
      <c r="B16" s="35" t="inlineStr">
        <is>
          <t>24060124120036</t>
        </is>
      </c>
      <c r="C16" s="36" t="inlineStr">
        <is>
          <t>Marchella Arkhina Ratunesia</t>
        </is>
      </c>
      <c r="D16" s="35" t="n">
        <v>4</v>
      </c>
      <c r="E16" s="21" t="n"/>
      <c r="F16" s="21" t="n"/>
      <c r="G16" s="21" t="n"/>
      <c r="H16" s="22">
        <f>IF(COUNTA(E16,F16,G16)=0,"",E16+F16+G16)</f>
        <v/>
      </c>
      <c r="I16" s="23" t="n"/>
      <c r="J16" s="23" t="n"/>
      <c r="K16" s="23" t="n"/>
      <c r="L16" s="24">
        <f>IF(COUNTA(I16,J16,K16)=0,"",I16+J16+K16)</f>
        <v/>
      </c>
      <c r="M16" s="25" t="n"/>
      <c r="N16" s="25" t="n"/>
      <c r="O16" s="25" t="n"/>
      <c r="P16" s="26">
        <f>IF(COUNTA(M16,N16,O16)=0,"",M16+N16+O16)</f>
        <v/>
      </c>
      <c r="Q16" s="27" t="n"/>
      <c r="R16" s="27" t="n"/>
      <c r="S16" s="27" t="n"/>
      <c r="T16" s="28">
        <f>IF(COUNTA(Q16,R16,S16)=0,"",Q16+R16+S16)</f>
        <v/>
      </c>
      <c r="U16" s="29" t="n"/>
      <c r="V16" s="29" t="n"/>
      <c r="W16" s="29" t="n"/>
      <c r="X16" s="30">
        <f>IF(COUNTA(U16,V16,W16)=0,"",U16+V16+W16)</f>
        <v/>
      </c>
      <c r="Y16" s="31" t="n"/>
      <c r="Z16" s="31" t="n"/>
      <c r="AA16" s="31" t="n"/>
      <c r="AB16" s="32">
        <f>IF(COUNTA(Y16,Z16,AA16)=0,"",Y16+Z16+AA16)</f>
        <v/>
      </c>
      <c r="AC16" s="33">
        <f>IF(COUNTA(H16,L16,P16,T16,X16,AB16)=0,"",H16+L16+P16+T16+X16+AB16)</f>
        <v/>
      </c>
      <c r="AD16" s="33">
        <f>IF(AC16="","",IF(AC16&gt;=85,"A",IF(AC16&gt;=75,"AB",IF(AC16&gt;=65,"B",IF(AC16&gt;=55,"BC",IF(AC16&gt;=45,"C",IF(AC16&gt;=35,"CD",IF(AC16&gt;=25,"D","E"))))))))</f>
        <v/>
      </c>
      <c r="AE16" s="37" t="inlineStr"/>
    </row>
    <row r="17" ht="18" customHeight="1">
      <c r="A17" s="35" t="n">
        <v>14</v>
      </c>
      <c r="B17" s="35" t="inlineStr">
        <is>
          <t>24060124120004</t>
        </is>
      </c>
      <c r="C17" s="36" t="inlineStr">
        <is>
          <t>Kayla Febrina Laura Ayu</t>
        </is>
      </c>
      <c r="D17" s="35" t="n">
        <v>4</v>
      </c>
      <c r="E17" s="21" t="n"/>
      <c r="F17" s="21" t="n"/>
      <c r="G17" s="21" t="n"/>
      <c r="H17" s="22">
        <f>IF(COUNTA(E17,F17,G17)=0,"",E17+F17+G17)</f>
        <v/>
      </c>
      <c r="I17" s="23" t="n"/>
      <c r="J17" s="23" t="n"/>
      <c r="K17" s="23" t="n"/>
      <c r="L17" s="24">
        <f>IF(COUNTA(I17,J17,K17)=0,"",I17+J17+K17)</f>
        <v/>
      </c>
      <c r="M17" s="25" t="n"/>
      <c r="N17" s="25" t="n"/>
      <c r="O17" s="25" t="n"/>
      <c r="P17" s="26">
        <f>IF(COUNTA(M17,N17,O17)=0,"",M17+N17+O17)</f>
        <v/>
      </c>
      <c r="Q17" s="27" t="n"/>
      <c r="R17" s="27" t="n"/>
      <c r="S17" s="27" t="n"/>
      <c r="T17" s="28">
        <f>IF(COUNTA(Q17,R17,S17)=0,"",Q17+R17+S17)</f>
        <v/>
      </c>
      <c r="U17" s="29" t="n"/>
      <c r="V17" s="29" t="n"/>
      <c r="W17" s="29" t="n"/>
      <c r="X17" s="30">
        <f>IF(COUNTA(U17,V17,W17)=0,"",U17+V17+W17)</f>
        <v/>
      </c>
      <c r="Y17" s="31" t="n"/>
      <c r="Z17" s="31" t="n"/>
      <c r="AA17" s="31" t="n"/>
      <c r="AB17" s="32">
        <f>IF(COUNTA(Y17,Z17,AA17)=0,"",Y17+Z17+AA17)</f>
        <v/>
      </c>
      <c r="AC17" s="33">
        <f>IF(COUNTA(H17,L17,P17,T17,X17,AB17)=0,"",H17+L17+P17+T17+X17+AB17)</f>
        <v/>
      </c>
      <c r="AD17" s="33">
        <f>IF(AC17="","",IF(AC17&gt;=85,"A",IF(AC17&gt;=75,"AB",IF(AC17&gt;=65,"B",IF(AC17&gt;=55,"BC",IF(AC17&gt;=45,"C",IF(AC17&gt;=35,"CD",IF(AC17&gt;=25,"D","E"))))))))</f>
        <v/>
      </c>
      <c r="AE17" s="37" t="inlineStr"/>
    </row>
    <row r="18" ht="18" customHeight="1">
      <c r="A18" s="35" t="n">
        <v>15</v>
      </c>
      <c r="B18" s="35" t="inlineStr">
        <is>
          <t>24060124140150</t>
        </is>
      </c>
      <c r="C18" s="36" t="inlineStr">
        <is>
          <t>Nashwa Aldebaran</t>
        </is>
      </c>
      <c r="D18" s="35" t="n">
        <v>4</v>
      </c>
      <c r="E18" s="21" t="n"/>
      <c r="F18" s="21" t="n"/>
      <c r="G18" s="21" t="n"/>
      <c r="H18" s="22">
        <f>IF(COUNTA(E18,F18,G18)=0,"",E18+F18+G18)</f>
        <v/>
      </c>
      <c r="I18" s="23" t="n"/>
      <c r="J18" s="23" t="n"/>
      <c r="K18" s="23" t="n"/>
      <c r="L18" s="24">
        <f>IF(COUNTA(I18,J18,K18)=0,"",I18+J18+K18)</f>
        <v/>
      </c>
      <c r="M18" s="25" t="n"/>
      <c r="N18" s="25" t="n"/>
      <c r="O18" s="25" t="n"/>
      <c r="P18" s="26">
        <f>IF(COUNTA(M18,N18,O18)=0,"",M18+N18+O18)</f>
        <v/>
      </c>
      <c r="Q18" s="27" t="n"/>
      <c r="R18" s="27" t="n"/>
      <c r="S18" s="27" t="n"/>
      <c r="T18" s="28">
        <f>IF(COUNTA(Q18,R18,S18)=0,"",Q18+R18+S18)</f>
        <v/>
      </c>
      <c r="U18" s="29" t="n"/>
      <c r="V18" s="29" t="n"/>
      <c r="W18" s="29" t="n"/>
      <c r="X18" s="30">
        <f>IF(COUNTA(U18,V18,W18)=0,"",U18+V18+W18)</f>
        <v/>
      </c>
      <c r="Y18" s="31" t="n"/>
      <c r="Z18" s="31" t="n"/>
      <c r="AA18" s="31" t="n"/>
      <c r="AB18" s="32">
        <f>IF(COUNTA(Y18,Z18,AA18)=0,"",Y18+Z18+AA18)</f>
        <v/>
      </c>
      <c r="AC18" s="33">
        <f>IF(COUNTA(H18,L18,P18,T18,X18,AB18)=0,"",H18+L18+P18+T18+X18+AB18)</f>
        <v/>
      </c>
      <c r="AD18" s="33">
        <f>IF(AC18="","",IF(AC18&gt;=85,"A",IF(AC18&gt;=75,"AB",IF(AC18&gt;=65,"B",IF(AC18&gt;=55,"BC",IF(AC18&gt;=45,"C",IF(AC18&gt;=35,"CD",IF(AC18&gt;=25,"D","E"))))))))</f>
        <v/>
      </c>
      <c r="AE18" s="37" t="inlineStr"/>
    </row>
    <row r="19" ht="18" customHeight="1">
      <c r="A19" s="19" t="n">
        <v>16</v>
      </c>
      <c r="B19" s="19" t="inlineStr">
        <is>
          <t>24060123140130</t>
        </is>
      </c>
      <c r="C19" s="20" t="inlineStr">
        <is>
          <t>Ratu Sekar Ayu Nisa</t>
        </is>
      </c>
      <c r="D19" s="19" t="n">
        <v>5</v>
      </c>
      <c r="E19" s="21" t="n"/>
      <c r="F19" s="21" t="n"/>
      <c r="G19" s="21" t="n"/>
      <c r="H19" s="22">
        <f>IF(COUNTA(E19,F19,G19)=0,"",E19+F19+G19)</f>
        <v/>
      </c>
      <c r="I19" s="23" t="n"/>
      <c r="J19" s="23" t="n"/>
      <c r="K19" s="23" t="n"/>
      <c r="L19" s="24">
        <f>IF(COUNTA(I19,J19,K19)=0,"",I19+J19+K19)</f>
        <v/>
      </c>
      <c r="M19" s="25" t="n"/>
      <c r="N19" s="25" t="n"/>
      <c r="O19" s="25" t="n"/>
      <c r="P19" s="26">
        <f>IF(COUNTA(M19,N19,O19)=0,"",M19+N19+O19)</f>
        <v/>
      </c>
      <c r="Q19" s="27" t="n"/>
      <c r="R19" s="27" t="n"/>
      <c r="S19" s="27" t="n"/>
      <c r="T19" s="28">
        <f>IF(COUNTA(Q19,R19,S19)=0,"",Q19+R19+S19)</f>
        <v/>
      </c>
      <c r="U19" s="29" t="n"/>
      <c r="V19" s="29" t="n"/>
      <c r="W19" s="29" t="n"/>
      <c r="X19" s="30">
        <f>IF(COUNTA(U19,V19,W19)=0,"",U19+V19+W19)</f>
        <v/>
      </c>
      <c r="Y19" s="31" t="n"/>
      <c r="Z19" s="31" t="n"/>
      <c r="AA19" s="31" t="n"/>
      <c r="AB19" s="32">
        <f>IF(COUNTA(Y19,Z19,AA19)=0,"",Y19+Z19+AA19)</f>
        <v/>
      </c>
      <c r="AC19" s="33">
        <f>IF(COUNTA(H19,L19,P19,T19,X19,AB19)=0,"",H19+L19+P19+T19+X19+AB19)</f>
        <v/>
      </c>
      <c r="AD19" s="33">
        <f>IF(AC19="","",IF(AC19&gt;=85,"A",IF(AC19&gt;=75,"AB",IF(AC19&gt;=65,"B",IF(AC19&gt;=55,"BC",IF(AC19&gt;=45,"C",IF(AC19&gt;=35,"CD",IF(AC19&gt;=25,"D","E"))))))))</f>
        <v/>
      </c>
      <c r="AE19" s="34" t="inlineStr"/>
    </row>
    <row r="20" ht="18" customHeight="1">
      <c r="A20" s="19" t="n">
        <v>17</v>
      </c>
      <c r="B20" s="19" t="inlineStr">
        <is>
          <t>24060123140131</t>
        </is>
      </c>
      <c r="C20" s="20" t="inlineStr">
        <is>
          <t>Mutiara Ayu Pramono</t>
        </is>
      </c>
      <c r="D20" s="19" t="n">
        <v>5</v>
      </c>
      <c r="E20" s="21" t="n"/>
      <c r="F20" s="21" t="n"/>
      <c r="G20" s="21" t="n"/>
      <c r="H20" s="22">
        <f>IF(COUNTA(E20,F20,G20)=0,"",E20+F20+G20)</f>
        <v/>
      </c>
      <c r="I20" s="23" t="n"/>
      <c r="J20" s="23" t="n"/>
      <c r="K20" s="23" t="n"/>
      <c r="L20" s="24">
        <f>IF(COUNTA(I20,J20,K20)=0,"",I20+J20+K20)</f>
        <v/>
      </c>
      <c r="M20" s="25" t="n"/>
      <c r="N20" s="25" t="n"/>
      <c r="O20" s="25" t="n"/>
      <c r="P20" s="26">
        <f>IF(COUNTA(M20,N20,O20)=0,"",M20+N20+O20)</f>
        <v/>
      </c>
      <c r="Q20" s="27" t="n"/>
      <c r="R20" s="27" t="n"/>
      <c r="S20" s="27" t="n"/>
      <c r="T20" s="28">
        <f>IF(COUNTA(Q20,R20,S20)=0,"",Q20+R20+S20)</f>
        <v/>
      </c>
      <c r="U20" s="29" t="n"/>
      <c r="V20" s="29" t="n"/>
      <c r="W20" s="29" t="n"/>
      <c r="X20" s="30">
        <f>IF(COUNTA(U20,V20,W20)=0,"",U20+V20+W20)</f>
        <v/>
      </c>
      <c r="Y20" s="31" t="n"/>
      <c r="Z20" s="31" t="n"/>
      <c r="AA20" s="31" t="n"/>
      <c r="AB20" s="32">
        <f>IF(COUNTA(Y20,Z20,AA20)=0,"",Y20+Z20+AA20)</f>
        <v/>
      </c>
      <c r="AC20" s="33">
        <f>IF(COUNTA(H20,L20,P20,T20,X20,AB20)=0,"",H20+L20+P20+T20+X20+AB20)</f>
        <v/>
      </c>
      <c r="AD20" s="33">
        <f>IF(AC20="","",IF(AC20&gt;=85,"A",IF(AC20&gt;=75,"AB",IF(AC20&gt;=65,"B",IF(AC20&gt;=55,"BC",IF(AC20&gt;=45,"C",IF(AC20&gt;=35,"CD",IF(AC20&gt;=25,"D","E"))))))))</f>
        <v/>
      </c>
      <c r="AE20" s="34" t="inlineStr"/>
    </row>
    <row r="21" ht="18" customHeight="1">
      <c r="A21" s="19" t="n">
        <v>18</v>
      </c>
      <c r="B21" s="19" t="inlineStr">
        <is>
          <t>24060123140174</t>
        </is>
      </c>
      <c r="C21" s="20" t="inlineStr">
        <is>
          <t>Duta Adi Pamungkas</t>
        </is>
      </c>
      <c r="D21" s="19" t="n">
        <v>5</v>
      </c>
      <c r="E21" s="21" t="n"/>
      <c r="F21" s="21" t="n"/>
      <c r="G21" s="21" t="n"/>
      <c r="H21" s="22">
        <f>IF(COUNTA(E21,F21,G21)=0,"",E21+F21+G21)</f>
        <v/>
      </c>
      <c r="I21" s="23" t="n"/>
      <c r="J21" s="23" t="n"/>
      <c r="K21" s="23" t="n"/>
      <c r="L21" s="24">
        <f>IF(COUNTA(I21,J21,K21)=0,"",I21+J21+K21)</f>
        <v/>
      </c>
      <c r="M21" s="25" t="n"/>
      <c r="N21" s="25" t="n"/>
      <c r="O21" s="25" t="n"/>
      <c r="P21" s="26">
        <f>IF(COUNTA(M21,N21,O21)=0,"",M21+N21+O21)</f>
        <v/>
      </c>
      <c r="Q21" s="27" t="n"/>
      <c r="R21" s="27" t="n"/>
      <c r="S21" s="27" t="n"/>
      <c r="T21" s="28">
        <f>IF(COUNTA(Q21,R21,S21)=0,"",Q21+R21+S21)</f>
        <v/>
      </c>
      <c r="U21" s="29" t="n"/>
      <c r="V21" s="29" t="n"/>
      <c r="W21" s="29" t="n"/>
      <c r="X21" s="30">
        <f>IF(COUNTA(U21,V21,W21)=0,"",U21+V21+W21)</f>
        <v/>
      </c>
      <c r="Y21" s="31" t="n"/>
      <c r="Z21" s="31" t="n"/>
      <c r="AA21" s="31" t="n"/>
      <c r="AB21" s="32">
        <f>IF(COUNTA(Y21,Z21,AA21)=0,"",Y21+Z21+AA21)</f>
        <v/>
      </c>
      <c r="AC21" s="33">
        <f>IF(COUNTA(H21,L21,P21,T21,X21,AB21)=0,"",H21+L21+P21+T21+X21+AB21)</f>
        <v/>
      </c>
      <c r="AD21" s="33">
        <f>IF(AC21="","",IF(AC21&gt;=85,"A",IF(AC21&gt;=75,"AB",IF(AC21&gt;=65,"B",IF(AC21&gt;=55,"BC",IF(AC21&gt;=45,"C",IF(AC21&gt;=35,"CD",IF(AC21&gt;=25,"D","E"))))))))</f>
        <v/>
      </c>
      <c r="AE21" s="34" t="inlineStr"/>
    </row>
    <row r="22" ht="18" customHeight="1">
      <c r="A22" s="35" t="n">
        <v>19</v>
      </c>
      <c r="B22" s="35" t="inlineStr">
        <is>
          <t>24060124140133</t>
        </is>
      </c>
      <c r="C22" s="36" t="inlineStr">
        <is>
          <t>Muhammad Hafidh Al-Ghifari</t>
        </is>
      </c>
      <c r="D22" s="35" t="n">
        <v>6</v>
      </c>
      <c r="E22" s="21" t="n"/>
      <c r="F22" s="21" t="n"/>
      <c r="G22" s="21" t="n"/>
      <c r="H22" s="22">
        <f>IF(COUNTA(E22,F22,G22)=0,"",E22+F22+G22)</f>
        <v/>
      </c>
      <c r="I22" s="23" t="n"/>
      <c r="J22" s="23" t="n"/>
      <c r="K22" s="23" t="n"/>
      <c r="L22" s="24">
        <f>IF(COUNTA(I22,J22,K22)=0,"",I22+J22+K22)</f>
        <v/>
      </c>
      <c r="M22" s="25" t="n"/>
      <c r="N22" s="25" t="n"/>
      <c r="O22" s="25" t="n"/>
      <c r="P22" s="26">
        <f>IF(COUNTA(M22,N22,O22)=0,"",M22+N22+O22)</f>
        <v/>
      </c>
      <c r="Q22" s="27" t="n"/>
      <c r="R22" s="27" t="n"/>
      <c r="S22" s="27" t="n"/>
      <c r="T22" s="28">
        <f>IF(COUNTA(Q22,R22,S22)=0,"",Q22+R22+S22)</f>
        <v/>
      </c>
      <c r="U22" s="29" t="n"/>
      <c r="V22" s="29" t="n"/>
      <c r="W22" s="29" t="n"/>
      <c r="X22" s="30">
        <f>IF(COUNTA(U22,V22,W22)=0,"",U22+V22+W22)</f>
        <v/>
      </c>
      <c r="Y22" s="31" t="n"/>
      <c r="Z22" s="31" t="n"/>
      <c r="AA22" s="31" t="n"/>
      <c r="AB22" s="32">
        <f>IF(COUNTA(Y22,Z22,AA22)=0,"",Y22+Z22+AA22)</f>
        <v/>
      </c>
      <c r="AC22" s="33">
        <f>IF(COUNTA(H22,L22,P22,T22,X22,AB22)=0,"",H22+L22+P22+T22+X22+AB22)</f>
        <v/>
      </c>
      <c r="AD22" s="33">
        <f>IF(AC22="","",IF(AC22&gt;=85,"A",IF(AC22&gt;=75,"AB",IF(AC22&gt;=65,"B",IF(AC22&gt;=55,"BC",IF(AC22&gt;=45,"C",IF(AC22&gt;=35,"CD",IF(AC22&gt;=25,"D","E"))))))))</f>
        <v/>
      </c>
      <c r="AE22" s="37" t="inlineStr"/>
    </row>
    <row r="23" ht="18" customHeight="1">
      <c r="A23" s="35" t="n">
        <v>20</v>
      </c>
      <c r="B23" s="35" t="inlineStr">
        <is>
          <t>24060124140164</t>
        </is>
      </c>
      <c r="C23" s="36" t="inlineStr">
        <is>
          <t>Muhammad Hafidh Zufar Dewantara</t>
        </is>
      </c>
      <c r="D23" s="35" t="n">
        <v>6</v>
      </c>
      <c r="E23" s="21" t="n"/>
      <c r="F23" s="21" t="n"/>
      <c r="G23" s="21" t="n"/>
      <c r="H23" s="22">
        <f>IF(COUNTA(E23,F23,G23)=0,"",E23+F23+G23)</f>
        <v/>
      </c>
      <c r="I23" s="23" t="n"/>
      <c r="J23" s="23" t="n"/>
      <c r="K23" s="23" t="n"/>
      <c r="L23" s="24">
        <f>IF(COUNTA(I23,J23,K23)=0,"",I23+J23+K23)</f>
        <v/>
      </c>
      <c r="M23" s="25" t="n"/>
      <c r="N23" s="25" t="n"/>
      <c r="O23" s="25" t="n"/>
      <c r="P23" s="26">
        <f>IF(COUNTA(M23,N23,O23)=0,"",M23+N23+O23)</f>
        <v/>
      </c>
      <c r="Q23" s="27" t="n"/>
      <c r="R23" s="27" t="n"/>
      <c r="S23" s="27" t="n"/>
      <c r="T23" s="28">
        <f>IF(COUNTA(Q23,R23,S23)=0,"",Q23+R23+S23)</f>
        <v/>
      </c>
      <c r="U23" s="29" t="n"/>
      <c r="V23" s="29" t="n"/>
      <c r="W23" s="29" t="n"/>
      <c r="X23" s="30">
        <f>IF(COUNTA(U23,V23,W23)=0,"",U23+V23+W23)</f>
        <v/>
      </c>
      <c r="Y23" s="31" t="n"/>
      <c r="Z23" s="31" t="n"/>
      <c r="AA23" s="31" t="n"/>
      <c r="AB23" s="32">
        <f>IF(COUNTA(Y23,Z23,AA23)=0,"",Y23+Z23+AA23)</f>
        <v/>
      </c>
      <c r="AC23" s="33">
        <f>IF(COUNTA(H23,L23,P23,T23,X23,AB23)=0,"",H23+L23+P23+T23+X23+AB23)</f>
        <v/>
      </c>
      <c r="AD23" s="33">
        <f>IF(AC23="","",IF(AC23&gt;=85,"A",IF(AC23&gt;=75,"AB",IF(AC23&gt;=65,"B",IF(AC23&gt;=55,"BC",IF(AC23&gt;=45,"C",IF(AC23&gt;=35,"CD",IF(AC23&gt;=25,"D","E"))))))))</f>
        <v/>
      </c>
      <c r="AE23" s="37" t="inlineStr"/>
    </row>
    <row r="24" ht="18" customHeight="1">
      <c r="A24" s="35" t="n">
        <v>21</v>
      </c>
      <c r="B24" s="35" t="inlineStr">
        <is>
          <t>-</t>
        </is>
      </c>
      <c r="C24" s="36" t="inlineStr">
        <is>
          <t>Muhammad Lutfi Febriansyah</t>
        </is>
      </c>
      <c r="D24" s="35" t="n">
        <v>6</v>
      </c>
      <c r="E24" s="21" t="n"/>
      <c r="F24" s="21" t="n"/>
      <c r="G24" s="21" t="n"/>
      <c r="H24" s="22">
        <f>IF(COUNTA(E24,F24,G24)=0,"",E24+F24+G24)</f>
        <v/>
      </c>
      <c r="I24" s="23" t="n"/>
      <c r="J24" s="23" t="n"/>
      <c r="K24" s="23" t="n"/>
      <c r="L24" s="24">
        <f>IF(COUNTA(I24,J24,K24)=0,"",I24+J24+K24)</f>
        <v/>
      </c>
      <c r="M24" s="25" t="n"/>
      <c r="N24" s="25" t="n"/>
      <c r="O24" s="25" t="n"/>
      <c r="P24" s="26">
        <f>IF(COUNTA(M24,N24,O24)=0,"",M24+N24+O24)</f>
        <v/>
      </c>
      <c r="Q24" s="27" t="n"/>
      <c r="R24" s="27" t="n"/>
      <c r="S24" s="27" t="n"/>
      <c r="T24" s="28">
        <f>IF(COUNTA(Q24,R24,S24)=0,"",Q24+R24+S24)</f>
        <v/>
      </c>
      <c r="U24" s="29" t="n"/>
      <c r="V24" s="29" t="n"/>
      <c r="W24" s="29" t="n"/>
      <c r="X24" s="30">
        <f>IF(COUNTA(U24,V24,W24)=0,"",U24+V24+W24)</f>
        <v/>
      </c>
      <c r="Y24" s="31" t="n"/>
      <c r="Z24" s="31" t="n"/>
      <c r="AA24" s="31" t="n"/>
      <c r="AB24" s="32">
        <f>IF(COUNTA(Y24,Z24,AA24)=0,"",Y24+Z24+AA24)</f>
        <v/>
      </c>
      <c r="AC24" s="33">
        <f>IF(COUNTA(H24,L24,P24,T24,X24,AB24)=0,"",H24+L24+P24+T24+X24+AB24)</f>
        <v/>
      </c>
      <c r="AD24" s="33">
        <f>IF(AC24="","",IF(AC24&gt;=85,"A",IF(AC24&gt;=75,"AB",IF(AC24&gt;=65,"B",IF(AC24&gt;=55,"BC",IF(AC24&gt;=45,"C",IF(AC24&gt;=35,"CD",IF(AC24&gt;=25,"D","E"))))))))</f>
        <v/>
      </c>
      <c r="AE24" s="38" t="inlineStr">
        <is>
          <t>[!] NIM tidak tercatat, wajib konfirmasi</t>
        </is>
      </c>
    </row>
    <row r="25" ht="18" customHeight="1">
      <c r="A25" s="35" t="n">
        <v>22</v>
      </c>
      <c r="B25" s="35" t="inlineStr">
        <is>
          <t>-</t>
        </is>
      </c>
      <c r="C25" s="36" t="inlineStr">
        <is>
          <t>Adefritz Einar Sinaga</t>
        </is>
      </c>
      <c r="D25" s="35" t="n">
        <v>6</v>
      </c>
      <c r="E25" s="21" t="n"/>
      <c r="F25" s="21" t="n"/>
      <c r="G25" s="21" t="n"/>
      <c r="H25" s="22">
        <f>IF(COUNTA(E25,F25,G25)=0,"",E25+F25+G25)</f>
        <v/>
      </c>
      <c r="I25" s="23" t="n"/>
      <c r="J25" s="23" t="n"/>
      <c r="K25" s="23" t="n"/>
      <c r="L25" s="24">
        <f>IF(COUNTA(I25,J25,K25)=0,"",I25+J25+K25)</f>
        <v/>
      </c>
      <c r="M25" s="25" t="n"/>
      <c r="N25" s="25" t="n"/>
      <c r="O25" s="25" t="n"/>
      <c r="P25" s="26">
        <f>IF(COUNTA(M25,N25,O25)=0,"",M25+N25+O25)</f>
        <v/>
      </c>
      <c r="Q25" s="27" t="n"/>
      <c r="R25" s="27" t="n"/>
      <c r="S25" s="27" t="n"/>
      <c r="T25" s="28">
        <f>IF(COUNTA(Q25,R25,S25)=0,"",Q25+R25+S25)</f>
        <v/>
      </c>
      <c r="U25" s="29" t="n"/>
      <c r="V25" s="29" t="n"/>
      <c r="W25" s="29" t="n"/>
      <c r="X25" s="30">
        <f>IF(COUNTA(U25,V25,W25)=0,"",U25+V25+W25)</f>
        <v/>
      </c>
      <c r="Y25" s="31" t="n"/>
      <c r="Z25" s="31" t="n"/>
      <c r="AA25" s="31" t="n"/>
      <c r="AB25" s="32">
        <f>IF(COUNTA(Y25,Z25,AA25)=0,"",Y25+Z25+AA25)</f>
        <v/>
      </c>
      <c r="AC25" s="33">
        <f>IF(COUNTA(H25,L25,P25,T25,X25,AB25)=0,"",H25+L25+P25+T25+X25+AB25)</f>
        <v/>
      </c>
      <c r="AD25" s="33">
        <f>IF(AC25="","",IF(AC25&gt;=85,"A",IF(AC25&gt;=75,"AB",IF(AC25&gt;=65,"B",IF(AC25&gt;=55,"BC",IF(AC25&gt;=45,"C",IF(AC25&gt;=35,"CD",IF(AC25&gt;=25,"D","E"))))))))</f>
        <v/>
      </c>
      <c r="AE25" s="38" t="inlineStr">
        <is>
          <t>[!] NIM tidak tercatat, wajib konfirmasi</t>
        </is>
      </c>
    </row>
    <row r="26" ht="18" customHeight="1">
      <c r="A26" s="19" t="n">
        <v>23</v>
      </c>
      <c r="B26" s="19" t="inlineStr">
        <is>
          <t>24060124130118</t>
        </is>
      </c>
      <c r="C26" s="20" t="inlineStr">
        <is>
          <t>Dewangga Ramadhan Halim</t>
        </is>
      </c>
      <c r="D26" s="19" t="n">
        <v>7</v>
      </c>
      <c r="E26" s="21" t="n"/>
      <c r="F26" s="21" t="n"/>
      <c r="G26" s="21" t="n"/>
      <c r="H26" s="22">
        <f>IF(COUNTA(E26,F26,G26)=0,"",E26+F26+G26)</f>
        <v/>
      </c>
      <c r="I26" s="23" t="n"/>
      <c r="J26" s="23" t="n"/>
      <c r="K26" s="23" t="n"/>
      <c r="L26" s="24">
        <f>IF(COUNTA(I26,J26,K26)=0,"",I26+J26+K26)</f>
        <v/>
      </c>
      <c r="M26" s="25" t="n"/>
      <c r="N26" s="25" t="n"/>
      <c r="O26" s="25" t="n"/>
      <c r="P26" s="26">
        <f>IF(COUNTA(M26,N26,O26)=0,"",M26+N26+O26)</f>
        <v/>
      </c>
      <c r="Q26" s="27" t="n"/>
      <c r="R26" s="27" t="n"/>
      <c r="S26" s="27" t="n"/>
      <c r="T26" s="28">
        <f>IF(COUNTA(Q26,R26,S26)=0,"",Q26+R26+S26)</f>
        <v/>
      </c>
      <c r="U26" s="29" t="n"/>
      <c r="V26" s="29" t="n"/>
      <c r="W26" s="29" t="n"/>
      <c r="X26" s="30">
        <f>IF(COUNTA(U26,V26,W26)=0,"",U26+V26+W26)</f>
        <v/>
      </c>
      <c r="Y26" s="31" t="n"/>
      <c r="Z26" s="31" t="n"/>
      <c r="AA26" s="31" t="n"/>
      <c r="AB26" s="32">
        <f>IF(COUNTA(Y26,Z26,AA26)=0,"",Y26+Z26+AA26)</f>
        <v/>
      </c>
      <c r="AC26" s="33">
        <f>IF(COUNTA(H26,L26,P26,T26,X26,AB26)=0,"",H26+L26+P26+T26+X26+AB26)</f>
        <v/>
      </c>
      <c r="AD26" s="33">
        <f>IF(AC26="","",IF(AC26&gt;=85,"A",IF(AC26&gt;=75,"AB",IF(AC26&gt;=65,"B",IF(AC26&gt;=55,"BC",IF(AC26&gt;=45,"C",IF(AC26&gt;=35,"CD",IF(AC26&gt;=25,"D","E"))))))))</f>
        <v/>
      </c>
      <c r="AE26" s="34" t="inlineStr"/>
    </row>
    <row r="27" ht="18" customHeight="1">
      <c r="A27" s="19" t="n">
        <v>24</v>
      </c>
      <c r="B27" s="19" t="inlineStr">
        <is>
          <t>24060124140145</t>
        </is>
      </c>
      <c r="C27" s="20" t="inlineStr">
        <is>
          <t>Ferdy Prasetya Putra</t>
        </is>
      </c>
      <c r="D27" s="19" t="n">
        <v>7</v>
      </c>
      <c r="E27" s="21" t="n"/>
      <c r="F27" s="21" t="n"/>
      <c r="G27" s="21" t="n"/>
      <c r="H27" s="22">
        <f>IF(COUNTA(E27,F27,G27)=0,"",E27+F27+G27)</f>
        <v/>
      </c>
      <c r="I27" s="23" t="n"/>
      <c r="J27" s="23" t="n"/>
      <c r="K27" s="23" t="n"/>
      <c r="L27" s="24">
        <f>IF(COUNTA(I27,J27,K27)=0,"",I27+J27+K27)</f>
        <v/>
      </c>
      <c r="M27" s="25" t="n"/>
      <c r="N27" s="25" t="n"/>
      <c r="O27" s="25" t="n"/>
      <c r="P27" s="26">
        <f>IF(COUNTA(M27,N27,O27)=0,"",M27+N27+O27)</f>
        <v/>
      </c>
      <c r="Q27" s="27" t="n"/>
      <c r="R27" s="27" t="n"/>
      <c r="S27" s="27" t="n"/>
      <c r="T27" s="28">
        <f>IF(COUNTA(Q27,R27,S27)=0,"",Q27+R27+S27)</f>
        <v/>
      </c>
      <c r="U27" s="29" t="n"/>
      <c r="V27" s="29" t="n"/>
      <c r="W27" s="29" t="n"/>
      <c r="X27" s="30">
        <f>IF(COUNTA(U27,V27,W27)=0,"",U27+V27+W27)</f>
        <v/>
      </c>
      <c r="Y27" s="31" t="n"/>
      <c r="Z27" s="31" t="n"/>
      <c r="AA27" s="31" t="n"/>
      <c r="AB27" s="32">
        <f>IF(COUNTA(Y27,Z27,AA27)=0,"",Y27+Z27+AA27)</f>
        <v/>
      </c>
      <c r="AC27" s="33">
        <f>IF(COUNTA(H27,L27,P27,T27,X27,AB27)=0,"",H27+L27+P27+T27+X27+AB27)</f>
        <v/>
      </c>
      <c r="AD27" s="33">
        <f>IF(AC27="","",IF(AC27&gt;=85,"A",IF(AC27&gt;=75,"AB",IF(AC27&gt;=65,"B",IF(AC27&gt;=55,"BC",IF(AC27&gt;=45,"C",IF(AC27&gt;=35,"CD",IF(AC27&gt;=25,"D","E"))))))))</f>
        <v/>
      </c>
      <c r="AE27" s="34" t="inlineStr"/>
    </row>
    <row r="28" ht="18" customHeight="1">
      <c r="A28" s="19" t="n">
        <v>25</v>
      </c>
      <c r="B28" s="19" t="inlineStr">
        <is>
          <t>24060124120051</t>
        </is>
      </c>
      <c r="C28" s="20" t="inlineStr">
        <is>
          <t>Caesar Ferdiana Suwandi</t>
        </is>
      </c>
      <c r="D28" s="19" t="n">
        <v>7</v>
      </c>
      <c r="E28" s="21" t="n"/>
      <c r="F28" s="21" t="n"/>
      <c r="G28" s="21" t="n"/>
      <c r="H28" s="22">
        <f>IF(COUNTA(E28,F28,G28)=0,"",E28+F28+G28)</f>
        <v/>
      </c>
      <c r="I28" s="23" t="n"/>
      <c r="J28" s="23" t="n"/>
      <c r="K28" s="23" t="n"/>
      <c r="L28" s="24">
        <f>IF(COUNTA(I28,J28,K28)=0,"",I28+J28+K28)</f>
        <v/>
      </c>
      <c r="M28" s="25" t="n"/>
      <c r="N28" s="25" t="n"/>
      <c r="O28" s="25" t="n"/>
      <c r="P28" s="26">
        <f>IF(COUNTA(M28,N28,O28)=0,"",M28+N28+O28)</f>
        <v/>
      </c>
      <c r="Q28" s="27" t="n"/>
      <c r="R28" s="27" t="n"/>
      <c r="S28" s="27" t="n"/>
      <c r="T28" s="28">
        <f>IF(COUNTA(Q28,R28,S28)=0,"",Q28+R28+S28)</f>
        <v/>
      </c>
      <c r="U28" s="29" t="n"/>
      <c r="V28" s="29" t="n"/>
      <c r="W28" s="29" t="n"/>
      <c r="X28" s="30">
        <f>IF(COUNTA(U28,V28,W28)=0,"",U28+V28+W28)</f>
        <v/>
      </c>
      <c r="Y28" s="31" t="n"/>
      <c r="Z28" s="31" t="n"/>
      <c r="AA28" s="31" t="n"/>
      <c r="AB28" s="32">
        <f>IF(COUNTA(Y28,Z28,AA28)=0,"",Y28+Z28+AA28)</f>
        <v/>
      </c>
      <c r="AC28" s="33">
        <f>IF(COUNTA(H28,L28,P28,T28,X28,AB28)=0,"",H28+L28+P28+T28+X28+AB28)</f>
        <v/>
      </c>
      <c r="AD28" s="33">
        <f>IF(AC28="","",IF(AC28&gt;=85,"A",IF(AC28&gt;=75,"AB",IF(AC28&gt;=65,"B",IF(AC28&gt;=55,"BC",IF(AC28&gt;=45,"C",IF(AC28&gt;=35,"CD",IF(AC28&gt;=25,"D","E"))))))))</f>
        <v/>
      </c>
      <c r="AE28" s="34" t="inlineStr"/>
    </row>
    <row r="29" ht="18" customHeight="1">
      <c r="A29" s="19" t="n">
        <v>26</v>
      </c>
      <c r="B29" s="19" t="inlineStr">
        <is>
          <t>24060124140171</t>
        </is>
      </c>
      <c r="C29" s="20" t="inlineStr">
        <is>
          <t>Ghatfan Muhammad Atiwiar</t>
        </is>
      </c>
      <c r="D29" s="19" t="n">
        <v>7</v>
      </c>
      <c r="E29" s="21" t="n"/>
      <c r="F29" s="21" t="n"/>
      <c r="G29" s="21" t="n"/>
      <c r="H29" s="22">
        <f>IF(COUNTA(E29,F29,G29)=0,"",E29+F29+G29)</f>
        <v/>
      </c>
      <c r="I29" s="23" t="n"/>
      <c r="J29" s="23" t="n"/>
      <c r="K29" s="23" t="n"/>
      <c r="L29" s="24">
        <f>IF(COUNTA(I29,J29,K29)=0,"",I29+J29+K29)</f>
        <v/>
      </c>
      <c r="M29" s="25" t="n"/>
      <c r="N29" s="25" t="n"/>
      <c r="O29" s="25" t="n"/>
      <c r="P29" s="26">
        <f>IF(COUNTA(M29,N29,O29)=0,"",M29+N29+O29)</f>
        <v/>
      </c>
      <c r="Q29" s="27" t="n"/>
      <c r="R29" s="27" t="n"/>
      <c r="S29" s="27" t="n"/>
      <c r="T29" s="28">
        <f>IF(COUNTA(Q29,R29,S29)=0,"",Q29+R29+S29)</f>
        <v/>
      </c>
      <c r="U29" s="29" t="n"/>
      <c r="V29" s="29" t="n"/>
      <c r="W29" s="29" t="n"/>
      <c r="X29" s="30">
        <f>IF(COUNTA(U29,V29,W29)=0,"",U29+V29+W29)</f>
        <v/>
      </c>
      <c r="Y29" s="31" t="n"/>
      <c r="Z29" s="31" t="n"/>
      <c r="AA29" s="31" t="n"/>
      <c r="AB29" s="32">
        <f>IF(COUNTA(Y29,Z29,AA29)=0,"",Y29+Z29+AA29)</f>
        <v/>
      </c>
      <c r="AC29" s="33">
        <f>IF(COUNTA(H29,L29,P29,T29,X29,AB29)=0,"",H29+L29+P29+T29+X29+AB29)</f>
        <v/>
      </c>
      <c r="AD29" s="33">
        <f>IF(AC29="","",IF(AC29&gt;=85,"A",IF(AC29&gt;=75,"AB",IF(AC29&gt;=65,"B",IF(AC29&gt;=55,"BC",IF(AC29&gt;=45,"C",IF(AC29&gt;=35,"CD",IF(AC29&gt;=25,"D","E"))))))))</f>
        <v/>
      </c>
      <c r="AE29" s="38" t="inlineStr">
        <is>
          <t>Ditandai P di spreadsheet, konfirmasi partisipasi</t>
        </is>
      </c>
    </row>
    <row r="30" ht="18" customHeight="1">
      <c r="A30" s="35" t="n">
        <v>27</v>
      </c>
      <c r="B30" s="35" t="inlineStr">
        <is>
          <t>24060123140184</t>
        </is>
      </c>
      <c r="C30" s="36" t="inlineStr">
        <is>
          <t>Muhammad Kievlan Hakim</t>
        </is>
      </c>
      <c r="D30" s="35" t="n">
        <v>8</v>
      </c>
      <c r="E30" s="21" t="n"/>
      <c r="F30" s="21" t="n"/>
      <c r="G30" s="21" t="n"/>
      <c r="H30" s="22">
        <f>IF(COUNTA(E30,F30,G30)=0,"",E30+F30+G30)</f>
        <v/>
      </c>
      <c r="I30" s="23" t="n"/>
      <c r="J30" s="23" t="n"/>
      <c r="K30" s="23" t="n"/>
      <c r="L30" s="24">
        <f>IF(COUNTA(I30,J30,K30)=0,"",I30+J30+K30)</f>
        <v/>
      </c>
      <c r="M30" s="25" t="n"/>
      <c r="N30" s="25" t="n"/>
      <c r="O30" s="25" t="n"/>
      <c r="P30" s="26">
        <f>IF(COUNTA(M30,N30,O30)=0,"",M30+N30+O30)</f>
        <v/>
      </c>
      <c r="Q30" s="27" t="n"/>
      <c r="R30" s="27" t="n"/>
      <c r="S30" s="27" t="n"/>
      <c r="T30" s="28">
        <f>IF(COUNTA(Q30,R30,S30)=0,"",Q30+R30+S30)</f>
        <v/>
      </c>
      <c r="U30" s="29" t="n"/>
      <c r="V30" s="29" t="n"/>
      <c r="W30" s="29" t="n"/>
      <c r="X30" s="30">
        <f>IF(COUNTA(U30,V30,W30)=0,"",U30+V30+W30)</f>
        <v/>
      </c>
      <c r="Y30" s="31" t="n"/>
      <c r="Z30" s="31" t="n"/>
      <c r="AA30" s="31" t="n"/>
      <c r="AB30" s="32">
        <f>IF(COUNTA(Y30,Z30,AA30)=0,"",Y30+Z30+AA30)</f>
        <v/>
      </c>
      <c r="AC30" s="33">
        <f>IF(COUNTA(H30,L30,P30,T30,X30,AB30)=0,"",H30+L30+P30+T30+X30+AB30)</f>
        <v/>
      </c>
      <c r="AD30" s="33">
        <f>IF(AC30="","",IF(AC30&gt;=85,"A",IF(AC30&gt;=75,"AB",IF(AC30&gt;=65,"B",IF(AC30&gt;=55,"BC",IF(AC30&gt;=45,"C",IF(AC30&gt;=35,"CD",IF(AC30&gt;=25,"D","E"))))))))</f>
        <v/>
      </c>
      <c r="AE30" s="37" t="inlineStr"/>
    </row>
    <row r="31" ht="18" customHeight="1">
      <c r="A31" s="35" t="n">
        <v>28</v>
      </c>
      <c r="B31" s="35" t="inlineStr">
        <is>
          <t>24060123140171</t>
        </is>
      </c>
      <c r="C31" s="36" t="inlineStr">
        <is>
          <t>Muhammad Iman Sasongko</t>
        </is>
      </c>
      <c r="D31" s="35" t="n">
        <v>8</v>
      </c>
      <c r="E31" s="21" t="n"/>
      <c r="F31" s="21" t="n"/>
      <c r="G31" s="21" t="n"/>
      <c r="H31" s="22">
        <f>IF(COUNTA(E31,F31,G31)=0,"",E31+F31+G31)</f>
        <v/>
      </c>
      <c r="I31" s="23" t="n"/>
      <c r="J31" s="23" t="n"/>
      <c r="K31" s="23" t="n"/>
      <c r="L31" s="24">
        <f>IF(COUNTA(I31,J31,K31)=0,"",I31+J31+K31)</f>
        <v/>
      </c>
      <c r="M31" s="25" t="n"/>
      <c r="N31" s="25" t="n"/>
      <c r="O31" s="25" t="n"/>
      <c r="P31" s="26">
        <f>IF(COUNTA(M31,N31,O31)=0,"",M31+N31+O31)</f>
        <v/>
      </c>
      <c r="Q31" s="27" t="n"/>
      <c r="R31" s="27" t="n"/>
      <c r="S31" s="27" t="n"/>
      <c r="T31" s="28">
        <f>IF(COUNTA(Q31,R31,S31)=0,"",Q31+R31+S31)</f>
        <v/>
      </c>
      <c r="U31" s="29" t="n"/>
      <c r="V31" s="29" t="n"/>
      <c r="W31" s="29" t="n"/>
      <c r="X31" s="30">
        <f>IF(COUNTA(U31,V31,W31)=0,"",U31+V31+W31)</f>
        <v/>
      </c>
      <c r="Y31" s="31" t="n"/>
      <c r="Z31" s="31" t="n"/>
      <c r="AA31" s="31" t="n"/>
      <c r="AB31" s="32">
        <f>IF(COUNTA(Y31,Z31,AA31)=0,"",Y31+Z31+AA31)</f>
        <v/>
      </c>
      <c r="AC31" s="33">
        <f>IF(COUNTA(H31,L31,P31,T31,X31,AB31)=0,"",H31+L31+P31+T31+X31+AB31)</f>
        <v/>
      </c>
      <c r="AD31" s="33">
        <f>IF(AC31="","",IF(AC31&gt;=85,"A",IF(AC31&gt;=75,"AB",IF(AC31&gt;=65,"B",IF(AC31&gt;=55,"BC",IF(AC31&gt;=45,"C",IF(AC31&gt;=35,"CD",IF(AC31&gt;=25,"D","E"))))))))</f>
        <v/>
      </c>
      <c r="AE31" s="37" t="inlineStr"/>
    </row>
    <row r="32" ht="18" customHeight="1">
      <c r="A32" s="35" t="n">
        <v>29</v>
      </c>
      <c r="B32" s="35" t="inlineStr">
        <is>
          <t>24060123130067</t>
        </is>
      </c>
      <c r="C32" s="36" t="inlineStr">
        <is>
          <t>Nindya Kirana</t>
        </is>
      </c>
      <c r="D32" s="35" t="n">
        <v>8</v>
      </c>
      <c r="E32" s="21" t="n"/>
      <c r="F32" s="21" t="n"/>
      <c r="G32" s="21" t="n"/>
      <c r="H32" s="22">
        <f>IF(COUNTA(E32,F32,G32)=0,"",E32+F32+G32)</f>
        <v/>
      </c>
      <c r="I32" s="23" t="n"/>
      <c r="J32" s="23" t="n"/>
      <c r="K32" s="23" t="n"/>
      <c r="L32" s="24">
        <f>IF(COUNTA(I32,J32,K32)=0,"",I32+J32+K32)</f>
        <v/>
      </c>
      <c r="M32" s="25" t="n"/>
      <c r="N32" s="25" t="n"/>
      <c r="O32" s="25" t="n"/>
      <c r="P32" s="26">
        <f>IF(COUNTA(M32,N32,O32)=0,"",M32+N32+O32)</f>
        <v/>
      </c>
      <c r="Q32" s="27" t="n"/>
      <c r="R32" s="27" t="n"/>
      <c r="S32" s="27" t="n"/>
      <c r="T32" s="28">
        <f>IF(COUNTA(Q32,R32,S32)=0,"",Q32+R32+S32)</f>
        <v/>
      </c>
      <c r="U32" s="29" t="n"/>
      <c r="V32" s="29" t="n"/>
      <c r="W32" s="29" t="n"/>
      <c r="X32" s="30">
        <f>IF(COUNTA(U32,V32,W32)=0,"",U32+V32+W32)</f>
        <v/>
      </c>
      <c r="Y32" s="31" t="n"/>
      <c r="Z32" s="31" t="n"/>
      <c r="AA32" s="31" t="n"/>
      <c r="AB32" s="32">
        <f>IF(COUNTA(Y32,Z32,AA32)=0,"",Y32+Z32+AA32)</f>
        <v/>
      </c>
      <c r="AC32" s="33">
        <f>IF(COUNTA(H32,L32,P32,T32,X32,AB32)=0,"",H32+L32+P32+T32+X32+AB32)</f>
        <v/>
      </c>
      <c r="AD32" s="33">
        <f>IF(AC32="","",IF(AC32&gt;=85,"A",IF(AC32&gt;=75,"AB",IF(AC32&gt;=65,"B",IF(AC32&gt;=55,"BC",IF(AC32&gt;=45,"C",IF(AC32&gt;=35,"CD",IF(AC32&gt;=25,"D","E"))))))))</f>
        <v/>
      </c>
      <c r="AE32" s="37" t="inlineStr"/>
    </row>
    <row r="33" ht="18" customHeight="1">
      <c r="A33" s="35" t="n">
        <v>30</v>
      </c>
      <c r="B33" s="35" t="inlineStr">
        <is>
          <t>24060123140045</t>
        </is>
      </c>
      <c r="C33" s="36" t="inlineStr">
        <is>
          <t>Dewi Larasati Mumpuni</t>
        </is>
      </c>
      <c r="D33" s="35" t="n">
        <v>8</v>
      </c>
      <c r="E33" s="21" t="n"/>
      <c r="F33" s="21" t="n"/>
      <c r="G33" s="21" t="n"/>
      <c r="H33" s="22">
        <f>IF(COUNTA(E33,F33,G33)=0,"",E33+F33+G33)</f>
        <v/>
      </c>
      <c r="I33" s="23" t="n"/>
      <c r="J33" s="23" t="n"/>
      <c r="K33" s="23" t="n"/>
      <c r="L33" s="24">
        <f>IF(COUNTA(I33,J33,K33)=0,"",I33+J33+K33)</f>
        <v/>
      </c>
      <c r="M33" s="25" t="n"/>
      <c r="N33" s="25" t="n"/>
      <c r="O33" s="25" t="n"/>
      <c r="P33" s="26">
        <f>IF(COUNTA(M33,N33,O33)=0,"",M33+N33+O33)</f>
        <v/>
      </c>
      <c r="Q33" s="27" t="n"/>
      <c r="R33" s="27" t="n"/>
      <c r="S33" s="27" t="n"/>
      <c r="T33" s="28">
        <f>IF(COUNTA(Q33,R33,S33)=0,"",Q33+R33+S33)</f>
        <v/>
      </c>
      <c r="U33" s="29" t="n"/>
      <c r="V33" s="29" t="n"/>
      <c r="W33" s="29" t="n"/>
      <c r="X33" s="30">
        <f>IF(COUNTA(U33,V33,W33)=0,"",U33+V33+W33)</f>
        <v/>
      </c>
      <c r="Y33" s="31" t="n"/>
      <c r="Z33" s="31" t="n"/>
      <c r="AA33" s="31" t="n"/>
      <c r="AB33" s="32">
        <f>IF(COUNTA(Y33,Z33,AA33)=0,"",Y33+Z33+AA33)</f>
        <v/>
      </c>
      <c r="AC33" s="33">
        <f>IF(COUNTA(H33,L33,P33,T33,X33,AB33)=0,"",H33+L33+P33+T33+X33+AB33)</f>
        <v/>
      </c>
      <c r="AD33" s="33">
        <f>IF(AC33="","",IF(AC33&gt;=85,"A",IF(AC33&gt;=75,"AB",IF(AC33&gt;=65,"B",IF(AC33&gt;=55,"BC",IF(AC33&gt;=45,"C",IF(AC33&gt;=35,"CD",IF(AC33&gt;=25,"D","E"))))))))</f>
        <v/>
      </c>
      <c r="AE33" s="37" t="inlineStr"/>
    </row>
    <row r="34" ht="18" customHeight="1">
      <c r="A34" s="19" t="n">
        <v>31</v>
      </c>
      <c r="B34" s="19" t="inlineStr">
        <is>
          <t>24060124130107</t>
        </is>
      </c>
      <c r="C34" s="20" t="inlineStr">
        <is>
          <t>Muhammad Firdaus Argifari</t>
        </is>
      </c>
      <c r="D34" s="19" t="n">
        <v>9</v>
      </c>
      <c r="E34" s="21" t="n"/>
      <c r="F34" s="21" t="n"/>
      <c r="G34" s="21" t="n"/>
      <c r="H34" s="22">
        <f>IF(COUNTA(E34,F34,G34)=0,"",E34+F34+G34)</f>
        <v/>
      </c>
      <c r="I34" s="23" t="n"/>
      <c r="J34" s="23" t="n"/>
      <c r="K34" s="23" t="n"/>
      <c r="L34" s="24">
        <f>IF(COUNTA(I34,J34,K34)=0,"",I34+J34+K34)</f>
        <v/>
      </c>
      <c r="M34" s="25" t="n"/>
      <c r="N34" s="25" t="n"/>
      <c r="O34" s="25" t="n"/>
      <c r="P34" s="26">
        <f>IF(COUNTA(M34,N34,O34)=0,"",M34+N34+O34)</f>
        <v/>
      </c>
      <c r="Q34" s="27" t="n"/>
      <c r="R34" s="27" t="n"/>
      <c r="S34" s="27" t="n"/>
      <c r="T34" s="28">
        <f>IF(COUNTA(Q34,R34,S34)=0,"",Q34+R34+S34)</f>
        <v/>
      </c>
      <c r="U34" s="29" t="n"/>
      <c r="V34" s="29" t="n"/>
      <c r="W34" s="29" t="n"/>
      <c r="X34" s="30">
        <f>IF(COUNTA(U34,V34,W34)=0,"",U34+V34+W34)</f>
        <v/>
      </c>
      <c r="Y34" s="31" t="n"/>
      <c r="Z34" s="31" t="n"/>
      <c r="AA34" s="31" t="n"/>
      <c r="AB34" s="32">
        <f>IF(COUNTA(Y34,Z34,AA34)=0,"",Y34+Z34+AA34)</f>
        <v/>
      </c>
      <c r="AC34" s="33">
        <f>IF(COUNTA(H34,L34,P34,T34,X34,AB34)=0,"",H34+L34+P34+T34+X34+AB34)</f>
        <v/>
      </c>
      <c r="AD34" s="33">
        <f>IF(AC34="","",IF(AC34&gt;=85,"A",IF(AC34&gt;=75,"AB",IF(AC34&gt;=65,"B",IF(AC34&gt;=55,"BC",IF(AC34&gt;=45,"C",IF(AC34&gt;=35,"CD",IF(AC34&gt;=25,"D","E"))))))))</f>
        <v/>
      </c>
      <c r="AE34" s="34" t="inlineStr"/>
    </row>
    <row r="35" ht="18" customHeight="1">
      <c r="A35" s="19" t="n">
        <v>32</v>
      </c>
      <c r="B35" s="19" t="inlineStr">
        <is>
          <t>24060124140160</t>
        </is>
      </c>
      <c r="C35" s="20" t="inlineStr">
        <is>
          <t>Basil Ayman Hariadi</t>
        </is>
      </c>
      <c r="D35" s="19" t="n">
        <v>9</v>
      </c>
      <c r="E35" s="21" t="n"/>
      <c r="F35" s="21" t="n"/>
      <c r="G35" s="21" t="n"/>
      <c r="H35" s="22">
        <f>IF(COUNTA(E35,F35,G35)=0,"",E35+F35+G35)</f>
        <v/>
      </c>
      <c r="I35" s="23" t="n"/>
      <c r="J35" s="23" t="n"/>
      <c r="K35" s="23" t="n"/>
      <c r="L35" s="24">
        <f>IF(COUNTA(I35,J35,K35)=0,"",I35+J35+K35)</f>
        <v/>
      </c>
      <c r="M35" s="25" t="n"/>
      <c r="N35" s="25" t="n"/>
      <c r="O35" s="25" t="n"/>
      <c r="P35" s="26">
        <f>IF(COUNTA(M35,N35,O35)=0,"",M35+N35+O35)</f>
        <v/>
      </c>
      <c r="Q35" s="27" t="n"/>
      <c r="R35" s="27" t="n"/>
      <c r="S35" s="27" t="n"/>
      <c r="T35" s="28">
        <f>IF(COUNTA(Q35,R35,S35)=0,"",Q35+R35+S35)</f>
        <v/>
      </c>
      <c r="U35" s="29" t="n"/>
      <c r="V35" s="29" t="n"/>
      <c r="W35" s="29" t="n"/>
      <c r="X35" s="30">
        <f>IF(COUNTA(U35,V35,W35)=0,"",U35+V35+W35)</f>
        <v/>
      </c>
      <c r="Y35" s="31" t="n"/>
      <c r="Z35" s="31" t="n"/>
      <c r="AA35" s="31" t="n"/>
      <c r="AB35" s="32">
        <f>IF(COUNTA(Y35,Z35,AA35)=0,"",Y35+Z35+AA35)</f>
        <v/>
      </c>
      <c r="AC35" s="33">
        <f>IF(COUNTA(H35,L35,P35,T35,X35,AB35)=0,"",H35+L35+P35+T35+X35+AB35)</f>
        <v/>
      </c>
      <c r="AD35" s="33">
        <f>IF(AC35="","",IF(AC35&gt;=85,"A",IF(AC35&gt;=75,"AB",IF(AC35&gt;=65,"B",IF(AC35&gt;=55,"BC",IF(AC35&gt;=45,"C",IF(AC35&gt;=35,"CD",IF(AC35&gt;=25,"D","E"))))))))</f>
        <v/>
      </c>
      <c r="AE35" s="34" t="inlineStr"/>
    </row>
    <row r="36" ht="18" customHeight="1">
      <c r="A36" s="19" t="n">
        <v>33</v>
      </c>
      <c r="B36" s="19" t="inlineStr">
        <is>
          <t>24060124140130</t>
        </is>
      </c>
      <c r="C36" s="20" t="inlineStr">
        <is>
          <t>Crystiano Bayu Satya Alves</t>
        </is>
      </c>
      <c r="D36" s="19" t="n">
        <v>9</v>
      </c>
      <c r="E36" s="21" t="n"/>
      <c r="F36" s="21" t="n"/>
      <c r="G36" s="21" t="n"/>
      <c r="H36" s="22">
        <f>IF(COUNTA(E36,F36,G36)=0,"",E36+F36+G36)</f>
        <v/>
      </c>
      <c r="I36" s="23" t="n"/>
      <c r="J36" s="23" t="n"/>
      <c r="K36" s="23" t="n"/>
      <c r="L36" s="24">
        <f>IF(COUNTA(I36,J36,K36)=0,"",I36+J36+K36)</f>
        <v/>
      </c>
      <c r="M36" s="25" t="n"/>
      <c r="N36" s="25" t="n"/>
      <c r="O36" s="25" t="n"/>
      <c r="P36" s="26">
        <f>IF(COUNTA(M36,N36,O36)=0,"",M36+N36+O36)</f>
        <v/>
      </c>
      <c r="Q36" s="27" t="n"/>
      <c r="R36" s="27" t="n"/>
      <c r="S36" s="27" t="n"/>
      <c r="T36" s="28">
        <f>IF(COUNTA(Q36,R36,S36)=0,"",Q36+R36+S36)</f>
        <v/>
      </c>
      <c r="U36" s="29" t="n"/>
      <c r="V36" s="29" t="n"/>
      <c r="W36" s="29" t="n"/>
      <c r="X36" s="30">
        <f>IF(COUNTA(U36,V36,W36)=0,"",U36+V36+W36)</f>
        <v/>
      </c>
      <c r="Y36" s="31" t="n"/>
      <c r="Z36" s="31" t="n"/>
      <c r="AA36" s="31" t="n"/>
      <c r="AB36" s="32">
        <f>IF(COUNTA(Y36,Z36,AA36)=0,"",Y36+Z36+AA36)</f>
        <v/>
      </c>
      <c r="AC36" s="33">
        <f>IF(COUNTA(H36,L36,P36,T36,X36,AB36)=0,"",H36+L36+P36+T36+X36+AB36)</f>
        <v/>
      </c>
      <c r="AD36" s="33">
        <f>IF(AC36="","",IF(AC36&gt;=85,"A",IF(AC36&gt;=75,"AB",IF(AC36&gt;=65,"B",IF(AC36&gt;=55,"BC",IF(AC36&gt;=45,"C",IF(AC36&gt;=35,"CD",IF(AC36&gt;=25,"D","E"))))))))</f>
        <v/>
      </c>
      <c r="AE36" s="34" t="inlineStr"/>
    </row>
    <row r="37" ht="18" customHeight="1">
      <c r="A37" s="35" t="n">
        <v>34</v>
      </c>
      <c r="B37" s="35" t="inlineStr">
        <is>
          <t>24060124140149</t>
        </is>
      </c>
      <c r="C37" s="36" t="inlineStr">
        <is>
          <t>Devano Trestanto</t>
        </is>
      </c>
      <c r="D37" s="35" t="n">
        <v>10</v>
      </c>
      <c r="E37" s="21" t="n"/>
      <c r="F37" s="21" t="n"/>
      <c r="G37" s="21" t="n"/>
      <c r="H37" s="22">
        <f>IF(COUNTA(E37,F37,G37)=0,"",E37+F37+G37)</f>
        <v/>
      </c>
      <c r="I37" s="23" t="n"/>
      <c r="J37" s="23" t="n"/>
      <c r="K37" s="23" t="n"/>
      <c r="L37" s="24">
        <f>IF(COUNTA(I37,J37,K37)=0,"",I37+J37+K37)</f>
        <v/>
      </c>
      <c r="M37" s="25" t="n"/>
      <c r="N37" s="25" t="n"/>
      <c r="O37" s="25" t="n"/>
      <c r="P37" s="26">
        <f>IF(COUNTA(M37,N37,O37)=0,"",M37+N37+O37)</f>
        <v/>
      </c>
      <c r="Q37" s="27" t="n"/>
      <c r="R37" s="27" t="n"/>
      <c r="S37" s="27" t="n"/>
      <c r="T37" s="28">
        <f>IF(COUNTA(Q37,R37,S37)=0,"",Q37+R37+S37)</f>
        <v/>
      </c>
      <c r="U37" s="29" t="n"/>
      <c r="V37" s="29" t="n"/>
      <c r="W37" s="29" t="n"/>
      <c r="X37" s="30">
        <f>IF(COUNTA(U37,V37,W37)=0,"",U37+V37+W37)</f>
        <v/>
      </c>
      <c r="Y37" s="31" t="n"/>
      <c r="Z37" s="31" t="n"/>
      <c r="AA37" s="31" t="n"/>
      <c r="AB37" s="32">
        <f>IF(COUNTA(Y37,Z37,AA37)=0,"",Y37+Z37+AA37)</f>
        <v/>
      </c>
      <c r="AC37" s="33">
        <f>IF(COUNTA(H37,L37,P37,T37,X37,AB37)=0,"",H37+L37+P37+T37+X37+AB37)</f>
        <v/>
      </c>
      <c r="AD37" s="33">
        <f>IF(AC37="","",IF(AC37&gt;=85,"A",IF(AC37&gt;=75,"AB",IF(AC37&gt;=65,"B",IF(AC37&gt;=55,"BC",IF(AC37&gt;=45,"C",IF(AC37&gt;=35,"CD",IF(AC37&gt;=25,"D","E"))))))))</f>
        <v/>
      </c>
      <c r="AE37" s="37" t="inlineStr"/>
    </row>
    <row r="38" ht="18" customHeight="1">
      <c r="A38" s="35" t="n">
        <v>35</v>
      </c>
      <c r="B38" s="35" t="inlineStr">
        <is>
          <t>24060124120008</t>
        </is>
      </c>
      <c r="C38" s="36" t="inlineStr">
        <is>
          <t>Amelia Aristianti</t>
        </is>
      </c>
      <c r="D38" s="35" t="n">
        <v>10</v>
      </c>
      <c r="E38" s="21" t="n"/>
      <c r="F38" s="21" t="n"/>
      <c r="G38" s="21" t="n"/>
      <c r="H38" s="22">
        <f>IF(COUNTA(E38,F38,G38)=0,"",E38+F38+G38)</f>
        <v/>
      </c>
      <c r="I38" s="23" t="n"/>
      <c r="J38" s="23" t="n"/>
      <c r="K38" s="23" t="n"/>
      <c r="L38" s="24">
        <f>IF(COUNTA(I38,J38,K38)=0,"",I38+J38+K38)</f>
        <v/>
      </c>
      <c r="M38" s="25" t="n"/>
      <c r="N38" s="25" t="n"/>
      <c r="O38" s="25" t="n"/>
      <c r="P38" s="26">
        <f>IF(COUNTA(M38,N38,O38)=0,"",M38+N38+O38)</f>
        <v/>
      </c>
      <c r="Q38" s="27" t="n"/>
      <c r="R38" s="27" t="n"/>
      <c r="S38" s="27" t="n"/>
      <c r="T38" s="28">
        <f>IF(COUNTA(Q38,R38,S38)=0,"",Q38+R38+S38)</f>
        <v/>
      </c>
      <c r="U38" s="29" t="n"/>
      <c r="V38" s="29" t="n"/>
      <c r="W38" s="29" t="n"/>
      <c r="X38" s="30">
        <f>IF(COUNTA(U38,V38,W38)=0,"",U38+V38+W38)</f>
        <v/>
      </c>
      <c r="Y38" s="31" t="n"/>
      <c r="Z38" s="31" t="n"/>
      <c r="AA38" s="31" t="n"/>
      <c r="AB38" s="32">
        <f>IF(COUNTA(Y38,Z38,AA38)=0,"",Y38+Z38+AA38)</f>
        <v/>
      </c>
      <c r="AC38" s="33">
        <f>IF(COUNTA(H38,L38,P38,T38,X38,AB38)=0,"",H38+L38+P38+T38+X38+AB38)</f>
        <v/>
      </c>
      <c r="AD38" s="33">
        <f>IF(AC38="","",IF(AC38&gt;=85,"A",IF(AC38&gt;=75,"AB",IF(AC38&gt;=65,"B",IF(AC38&gt;=55,"BC",IF(AC38&gt;=45,"C",IF(AC38&gt;=35,"CD",IF(AC38&gt;=25,"D","E"))))))))</f>
        <v/>
      </c>
      <c r="AE38" s="37" t="inlineStr"/>
    </row>
    <row r="39" ht="18" customHeight="1">
      <c r="A39" s="35" t="n">
        <v>36</v>
      </c>
      <c r="B39" s="35" t="inlineStr">
        <is>
          <t>24060124140190</t>
        </is>
      </c>
      <c r="C39" s="36" t="inlineStr">
        <is>
          <t>Mohammad Andhika Ramadhan</t>
        </is>
      </c>
      <c r="D39" s="35" t="n">
        <v>10</v>
      </c>
      <c r="E39" s="21" t="n"/>
      <c r="F39" s="21" t="n"/>
      <c r="G39" s="21" t="n"/>
      <c r="H39" s="22">
        <f>IF(COUNTA(E39,F39,G39)=0,"",E39+F39+G39)</f>
        <v/>
      </c>
      <c r="I39" s="23" t="n"/>
      <c r="J39" s="23" t="n"/>
      <c r="K39" s="23" t="n"/>
      <c r="L39" s="24">
        <f>IF(COUNTA(I39,J39,K39)=0,"",I39+J39+K39)</f>
        <v/>
      </c>
      <c r="M39" s="25" t="n"/>
      <c r="N39" s="25" t="n"/>
      <c r="O39" s="25" t="n"/>
      <c r="P39" s="26">
        <f>IF(COUNTA(M39,N39,O39)=0,"",M39+N39+O39)</f>
        <v/>
      </c>
      <c r="Q39" s="27" t="n"/>
      <c r="R39" s="27" t="n"/>
      <c r="S39" s="27" t="n"/>
      <c r="T39" s="28">
        <f>IF(COUNTA(Q39,R39,S39)=0,"",Q39+R39+S39)</f>
        <v/>
      </c>
      <c r="U39" s="29" t="n"/>
      <c r="V39" s="29" t="n"/>
      <c r="W39" s="29" t="n"/>
      <c r="X39" s="30">
        <f>IF(COUNTA(U39,V39,W39)=0,"",U39+V39+W39)</f>
        <v/>
      </c>
      <c r="Y39" s="31" t="n"/>
      <c r="Z39" s="31" t="n"/>
      <c r="AA39" s="31" t="n"/>
      <c r="AB39" s="32">
        <f>IF(COUNTA(Y39,Z39,AA39)=0,"",Y39+Z39+AA39)</f>
        <v/>
      </c>
      <c r="AC39" s="33">
        <f>IF(COUNTA(H39,L39,P39,T39,X39,AB39)=0,"",H39+L39+P39+T39+X39+AB39)</f>
        <v/>
      </c>
      <c r="AD39" s="33">
        <f>IF(AC39="","",IF(AC39&gt;=85,"A",IF(AC39&gt;=75,"AB",IF(AC39&gt;=65,"B",IF(AC39&gt;=55,"BC",IF(AC39&gt;=45,"C",IF(AC39&gt;=35,"CD",IF(AC39&gt;=25,"D","E"))))))))</f>
        <v/>
      </c>
      <c r="AE39" s="37" t="inlineStr"/>
    </row>
    <row r="40" ht="18" customHeight="1">
      <c r="A40" s="35" t="n">
        <v>37</v>
      </c>
      <c r="B40" s="35" t="inlineStr">
        <is>
          <t>24060124140174</t>
        </is>
      </c>
      <c r="C40" s="36" t="inlineStr">
        <is>
          <t>Novelya Cherina</t>
        </is>
      </c>
      <c r="D40" s="35" t="n">
        <v>10</v>
      </c>
      <c r="E40" s="21" t="n"/>
      <c r="F40" s="21" t="n"/>
      <c r="G40" s="21" t="n"/>
      <c r="H40" s="22">
        <f>IF(COUNTA(E40,F40,G40)=0,"",E40+F40+G40)</f>
        <v/>
      </c>
      <c r="I40" s="23" t="n"/>
      <c r="J40" s="23" t="n"/>
      <c r="K40" s="23" t="n"/>
      <c r="L40" s="24">
        <f>IF(COUNTA(I40,J40,K40)=0,"",I40+J40+K40)</f>
        <v/>
      </c>
      <c r="M40" s="25" t="n"/>
      <c r="N40" s="25" t="n"/>
      <c r="O40" s="25" t="n"/>
      <c r="P40" s="26">
        <f>IF(COUNTA(M40,N40,O40)=0,"",M40+N40+O40)</f>
        <v/>
      </c>
      <c r="Q40" s="27" t="n"/>
      <c r="R40" s="27" t="n"/>
      <c r="S40" s="27" t="n"/>
      <c r="T40" s="28">
        <f>IF(COUNTA(Q40,R40,S40)=0,"",Q40+R40+S40)</f>
        <v/>
      </c>
      <c r="U40" s="29" t="n"/>
      <c r="V40" s="29" t="n"/>
      <c r="W40" s="29" t="n"/>
      <c r="X40" s="30">
        <f>IF(COUNTA(U40,V40,W40)=0,"",U40+V40+W40)</f>
        <v/>
      </c>
      <c r="Y40" s="31" t="n"/>
      <c r="Z40" s="31" t="n"/>
      <c r="AA40" s="31" t="n"/>
      <c r="AB40" s="32">
        <f>IF(COUNTA(Y40,Z40,AA40)=0,"",Y40+Z40+AA40)</f>
        <v/>
      </c>
      <c r="AC40" s="33">
        <f>IF(COUNTA(H40,L40,P40,T40,X40,AB40)=0,"",H40+L40+P40+T40+X40+AB40)</f>
        <v/>
      </c>
      <c r="AD40" s="33">
        <f>IF(AC40="","",IF(AC40&gt;=85,"A",IF(AC40&gt;=75,"AB",IF(AC40&gt;=65,"B",IF(AC40&gt;=55,"BC",IF(AC40&gt;=45,"C",IF(AC40&gt;=35,"CD",IF(AC40&gt;=25,"D","E"))))))))</f>
        <v/>
      </c>
      <c r="AE40" s="37" t="inlineStr"/>
    </row>
    <row r="41" ht="18" customHeight="1">
      <c r="A41" s="19" t="n">
        <v>38</v>
      </c>
      <c r="B41" s="19" t="inlineStr">
        <is>
          <t>24060124130119</t>
        </is>
      </c>
      <c r="C41" s="20" t="inlineStr">
        <is>
          <t>Hasta Putra Wildantara</t>
        </is>
      </c>
      <c r="D41" s="19" t="n">
        <v>11</v>
      </c>
      <c r="E41" s="21" t="n"/>
      <c r="F41" s="21" t="n"/>
      <c r="G41" s="21" t="n"/>
      <c r="H41" s="22">
        <f>IF(COUNTA(E41,F41,G41)=0,"",E41+F41+G41)</f>
        <v/>
      </c>
      <c r="I41" s="23" t="n"/>
      <c r="J41" s="23" t="n"/>
      <c r="K41" s="23" t="n"/>
      <c r="L41" s="24">
        <f>IF(COUNTA(I41,J41,K41)=0,"",I41+J41+K41)</f>
        <v/>
      </c>
      <c r="M41" s="25" t="n"/>
      <c r="N41" s="25" t="n"/>
      <c r="O41" s="25" t="n"/>
      <c r="P41" s="26">
        <f>IF(COUNTA(M41,N41,O41)=0,"",M41+N41+O41)</f>
        <v/>
      </c>
      <c r="Q41" s="27" t="n"/>
      <c r="R41" s="27" t="n"/>
      <c r="S41" s="27" t="n"/>
      <c r="T41" s="28">
        <f>IF(COUNTA(Q41,R41,S41)=0,"",Q41+R41+S41)</f>
        <v/>
      </c>
      <c r="U41" s="29" t="n"/>
      <c r="V41" s="29" t="n"/>
      <c r="W41" s="29" t="n"/>
      <c r="X41" s="30">
        <f>IF(COUNTA(U41,V41,W41)=0,"",U41+V41+W41)</f>
        <v/>
      </c>
      <c r="Y41" s="31" t="n"/>
      <c r="Z41" s="31" t="n"/>
      <c r="AA41" s="31" t="n"/>
      <c r="AB41" s="32">
        <f>IF(COUNTA(Y41,Z41,AA41)=0,"",Y41+Z41+AA41)</f>
        <v/>
      </c>
      <c r="AC41" s="33">
        <f>IF(COUNTA(H41,L41,P41,T41,X41,AB41)=0,"",H41+L41+P41+T41+X41+AB41)</f>
        <v/>
      </c>
      <c r="AD41" s="33">
        <f>IF(AC41="","",IF(AC41&gt;=85,"A",IF(AC41&gt;=75,"AB",IF(AC41&gt;=65,"B",IF(AC41&gt;=55,"BC",IF(AC41&gt;=45,"C",IF(AC41&gt;=35,"CD",IF(AC41&gt;=25,"D","E"))))))))</f>
        <v/>
      </c>
      <c r="AE41" s="34" t="inlineStr"/>
    </row>
    <row r="42" ht="18" customHeight="1">
      <c r="A42" s="19" t="n">
        <v>39</v>
      </c>
      <c r="B42" s="19" t="inlineStr">
        <is>
          <t>24060124140183</t>
        </is>
      </c>
      <c r="C42" s="20" t="inlineStr">
        <is>
          <t>Hanif Ihsanul Huda</t>
        </is>
      </c>
      <c r="D42" s="19" t="n">
        <v>11</v>
      </c>
      <c r="E42" s="21" t="n"/>
      <c r="F42" s="21" t="n"/>
      <c r="G42" s="21" t="n"/>
      <c r="H42" s="22">
        <f>IF(COUNTA(E42,F42,G42)=0,"",E42+F42+G42)</f>
        <v/>
      </c>
      <c r="I42" s="23" t="n"/>
      <c r="J42" s="23" t="n"/>
      <c r="K42" s="23" t="n"/>
      <c r="L42" s="24">
        <f>IF(COUNTA(I42,J42,K42)=0,"",I42+J42+K42)</f>
        <v/>
      </c>
      <c r="M42" s="25" t="n"/>
      <c r="N42" s="25" t="n"/>
      <c r="O42" s="25" t="n"/>
      <c r="P42" s="26">
        <f>IF(COUNTA(M42,N42,O42)=0,"",M42+N42+O42)</f>
        <v/>
      </c>
      <c r="Q42" s="27" t="n"/>
      <c r="R42" s="27" t="n"/>
      <c r="S42" s="27" t="n"/>
      <c r="T42" s="28">
        <f>IF(COUNTA(Q42,R42,S42)=0,"",Q42+R42+S42)</f>
        <v/>
      </c>
      <c r="U42" s="29" t="n"/>
      <c r="V42" s="29" t="n"/>
      <c r="W42" s="29" t="n"/>
      <c r="X42" s="30">
        <f>IF(COUNTA(U42,V42,W42)=0,"",U42+V42+W42)</f>
        <v/>
      </c>
      <c r="Y42" s="31" t="n"/>
      <c r="Z42" s="31" t="n"/>
      <c r="AA42" s="31" t="n"/>
      <c r="AB42" s="32">
        <f>IF(COUNTA(Y42,Z42,AA42)=0,"",Y42+Z42+AA42)</f>
        <v/>
      </c>
      <c r="AC42" s="33">
        <f>IF(COUNTA(H42,L42,P42,T42,X42,AB42)=0,"",H42+L42+P42+T42+X42+AB42)</f>
        <v/>
      </c>
      <c r="AD42" s="33">
        <f>IF(AC42="","",IF(AC42&gt;=85,"A",IF(AC42&gt;=75,"AB",IF(AC42&gt;=65,"B",IF(AC42&gt;=55,"BC",IF(AC42&gt;=45,"C",IF(AC42&gt;=35,"CD",IF(AC42&gt;=25,"D","E"))))))))</f>
        <v/>
      </c>
      <c r="AE42" s="34" t="inlineStr"/>
    </row>
    <row r="43" ht="18" customHeight="1">
      <c r="A43" s="19" t="n">
        <v>40</v>
      </c>
      <c r="B43" s="19" t="inlineStr">
        <is>
          <t>24060124120039</t>
        </is>
      </c>
      <c r="C43" s="20" t="inlineStr">
        <is>
          <t>Izzatu Khoirul Fata</t>
        </is>
      </c>
      <c r="D43" s="19" t="n">
        <v>11</v>
      </c>
      <c r="E43" s="21" t="n"/>
      <c r="F43" s="21" t="n"/>
      <c r="G43" s="21" t="n"/>
      <c r="H43" s="22">
        <f>IF(COUNTA(E43,F43,G43)=0,"",E43+F43+G43)</f>
        <v/>
      </c>
      <c r="I43" s="23" t="n"/>
      <c r="J43" s="23" t="n"/>
      <c r="K43" s="23" t="n"/>
      <c r="L43" s="24">
        <f>IF(COUNTA(I43,J43,K43)=0,"",I43+J43+K43)</f>
        <v/>
      </c>
      <c r="M43" s="25" t="n"/>
      <c r="N43" s="25" t="n"/>
      <c r="O43" s="25" t="n"/>
      <c r="P43" s="26">
        <f>IF(COUNTA(M43,N43,O43)=0,"",M43+N43+O43)</f>
        <v/>
      </c>
      <c r="Q43" s="27" t="n"/>
      <c r="R43" s="27" t="n"/>
      <c r="S43" s="27" t="n"/>
      <c r="T43" s="28">
        <f>IF(COUNTA(Q43,R43,S43)=0,"",Q43+R43+S43)</f>
        <v/>
      </c>
      <c r="U43" s="29" t="n"/>
      <c r="V43" s="29" t="n"/>
      <c r="W43" s="29" t="n"/>
      <c r="X43" s="30">
        <f>IF(COUNTA(U43,V43,W43)=0,"",U43+V43+W43)</f>
        <v/>
      </c>
      <c r="Y43" s="31" t="n"/>
      <c r="Z43" s="31" t="n"/>
      <c r="AA43" s="31" t="n"/>
      <c r="AB43" s="32">
        <f>IF(COUNTA(Y43,Z43,AA43)=0,"",Y43+Z43+AA43)</f>
        <v/>
      </c>
      <c r="AC43" s="33">
        <f>IF(COUNTA(H43,L43,P43,T43,X43,AB43)=0,"",H43+L43+P43+T43+X43+AB43)</f>
        <v/>
      </c>
      <c r="AD43" s="33">
        <f>IF(AC43="","",IF(AC43&gt;=85,"A",IF(AC43&gt;=75,"AB",IF(AC43&gt;=65,"B",IF(AC43&gt;=55,"BC",IF(AC43&gt;=45,"C",IF(AC43&gt;=35,"CD",IF(AC43&gt;=25,"D","E"))))))))</f>
        <v/>
      </c>
      <c r="AE43" s="34" t="inlineStr"/>
    </row>
    <row r="44" ht="18" customHeight="1">
      <c r="A44" s="35" t="n">
        <v>41</v>
      </c>
      <c r="B44" s="35" t="inlineStr">
        <is>
          <t>24060124140202</t>
        </is>
      </c>
      <c r="C44" s="36" t="inlineStr">
        <is>
          <t>Ikrar Maheswara Rabbani Wibowo</t>
        </is>
      </c>
      <c r="D44" s="35" t="n">
        <v>12</v>
      </c>
      <c r="E44" s="21" t="n"/>
      <c r="F44" s="21" t="n"/>
      <c r="G44" s="21" t="n"/>
      <c r="H44" s="22">
        <f>IF(COUNTA(E44,F44,G44)=0,"",E44+F44+G44)</f>
        <v/>
      </c>
      <c r="I44" s="23" t="n"/>
      <c r="J44" s="23" t="n"/>
      <c r="K44" s="23" t="n"/>
      <c r="L44" s="24">
        <f>IF(COUNTA(I44,J44,K44)=0,"",I44+J44+K44)</f>
        <v/>
      </c>
      <c r="M44" s="25" t="n"/>
      <c r="N44" s="25" t="n"/>
      <c r="O44" s="25" t="n"/>
      <c r="P44" s="26">
        <f>IF(COUNTA(M44,N44,O44)=0,"",M44+N44+O44)</f>
        <v/>
      </c>
      <c r="Q44" s="27" t="n"/>
      <c r="R44" s="27" t="n"/>
      <c r="S44" s="27" t="n"/>
      <c r="T44" s="28">
        <f>IF(COUNTA(Q44,R44,S44)=0,"",Q44+R44+S44)</f>
        <v/>
      </c>
      <c r="U44" s="29" t="n"/>
      <c r="V44" s="29" t="n"/>
      <c r="W44" s="29" t="n"/>
      <c r="X44" s="30">
        <f>IF(COUNTA(U44,V44,W44)=0,"",U44+V44+W44)</f>
        <v/>
      </c>
      <c r="Y44" s="31" t="n"/>
      <c r="Z44" s="31" t="n"/>
      <c r="AA44" s="31" t="n"/>
      <c r="AB44" s="32">
        <f>IF(COUNTA(Y44,Z44,AA44)=0,"",Y44+Z44+AA44)</f>
        <v/>
      </c>
      <c r="AC44" s="33">
        <f>IF(COUNTA(H44,L44,P44,T44,X44,AB44)=0,"",H44+L44+P44+T44+X44+AB44)</f>
        <v/>
      </c>
      <c r="AD44" s="33">
        <f>IF(AC44="","",IF(AC44&gt;=85,"A",IF(AC44&gt;=75,"AB",IF(AC44&gt;=65,"B",IF(AC44&gt;=55,"BC",IF(AC44&gt;=45,"C",IF(AC44&gt;=35,"CD",IF(AC44&gt;=25,"D","E"))))))))</f>
        <v/>
      </c>
      <c r="AE44" s="37" t="inlineStr"/>
    </row>
    <row r="45" ht="18" customHeight="1">
      <c r="A45" s="35" t="n">
        <v>42</v>
      </c>
      <c r="B45" s="35" t="inlineStr">
        <is>
          <t>24060124140138</t>
        </is>
      </c>
      <c r="C45" s="36" t="inlineStr">
        <is>
          <t>Menza Isaiah Tampubolon</t>
        </is>
      </c>
      <c r="D45" s="35" t="n">
        <v>12</v>
      </c>
      <c r="E45" s="21" t="n"/>
      <c r="F45" s="21" t="n"/>
      <c r="G45" s="21" t="n"/>
      <c r="H45" s="22">
        <f>IF(COUNTA(E45,F45,G45)=0,"",E45+F45+G45)</f>
        <v/>
      </c>
      <c r="I45" s="23" t="n"/>
      <c r="J45" s="23" t="n"/>
      <c r="K45" s="23" t="n"/>
      <c r="L45" s="24">
        <f>IF(COUNTA(I45,J45,K45)=0,"",I45+J45+K45)</f>
        <v/>
      </c>
      <c r="M45" s="25" t="n"/>
      <c r="N45" s="25" t="n"/>
      <c r="O45" s="25" t="n"/>
      <c r="P45" s="26">
        <f>IF(COUNTA(M45,N45,O45)=0,"",M45+N45+O45)</f>
        <v/>
      </c>
      <c r="Q45" s="27" t="n"/>
      <c r="R45" s="27" t="n"/>
      <c r="S45" s="27" t="n"/>
      <c r="T45" s="28">
        <f>IF(COUNTA(Q45,R45,S45)=0,"",Q45+R45+S45)</f>
        <v/>
      </c>
      <c r="U45" s="29" t="n"/>
      <c r="V45" s="29" t="n"/>
      <c r="W45" s="29" t="n"/>
      <c r="X45" s="30">
        <f>IF(COUNTA(U45,V45,W45)=0,"",U45+V45+W45)</f>
        <v/>
      </c>
      <c r="Y45" s="31" t="n"/>
      <c r="Z45" s="31" t="n"/>
      <c r="AA45" s="31" t="n"/>
      <c r="AB45" s="32">
        <f>IF(COUNTA(Y45,Z45,AA45)=0,"",Y45+Z45+AA45)</f>
        <v/>
      </c>
      <c r="AC45" s="33">
        <f>IF(COUNTA(H45,L45,P45,T45,X45,AB45)=0,"",H45+L45+P45+T45+X45+AB45)</f>
        <v/>
      </c>
      <c r="AD45" s="33">
        <f>IF(AC45="","",IF(AC45&gt;=85,"A",IF(AC45&gt;=75,"AB",IF(AC45&gt;=65,"B",IF(AC45&gt;=55,"BC",IF(AC45&gt;=45,"C",IF(AC45&gt;=35,"CD",IF(AC45&gt;=25,"D","E"))))))))</f>
        <v/>
      </c>
      <c r="AE45" s="37" t="inlineStr"/>
    </row>
    <row r="46" ht="18" customHeight="1">
      <c r="A46" s="35" t="n">
        <v>43</v>
      </c>
      <c r="B46" s="35" t="inlineStr">
        <is>
          <t>24060124130072</t>
        </is>
      </c>
      <c r="C46" s="36" t="inlineStr">
        <is>
          <t>Ali Maskan Ferry Purwanto</t>
        </is>
      </c>
      <c r="D46" s="35" t="n">
        <v>12</v>
      </c>
      <c r="E46" s="21" t="n"/>
      <c r="F46" s="21" t="n"/>
      <c r="G46" s="21" t="n"/>
      <c r="H46" s="22">
        <f>IF(COUNTA(E46,F46,G46)=0,"",E46+F46+G46)</f>
        <v/>
      </c>
      <c r="I46" s="23" t="n"/>
      <c r="J46" s="23" t="n"/>
      <c r="K46" s="23" t="n"/>
      <c r="L46" s="24">
        <f>IF(COUNTA(I46,J46,K46)=0,"",I46+J46+K46)</f>
        <v/>
      </c>
      <c r="M46" s="25" t="n"/>
      <c r="N46" s="25" t="n"/>
      <c r="O46" s="25" t="n"/>
      <c r="P46" s="26">
        <f>IF(COUNTA(M46,N46,O46)=0,"",M46+N46+O46)</f>
        <v/>
      </c>
      <c r="Q46" s="27" t="n"/>
      <c r="R46" s="27" t="n"/>
      <c r="S46" s="27" t="n"/>
      <c r="T46" s="28">
        <f>IF(COUNTA(Q46,R46,S46)=0,"",Q46+R46+S46)</f>
        <v/>
      </c>
      <c r="U46" s="29" t="n"/>
      <c r="V46" s="29" t="n"/>
      <c r="W46" s="29" t="n"/>
      <c r="X46" s="30">
        <f>IF(COUNTA(U46,V46,W46)=0,"",U46+V46+W46)</f>
        <v/>
      </c>
      <c r="Y46" s="31" t="n"/>
      <c r="Z46" s="31" t="n"/>
      <c r="AA46" s="31" t="n"/>
      <c r="AB46" s="32">
        <f>IF(COUNTA(Y46,Z46,AA46)=0,"",Y46+Z46+AA46)</f>
        <v/>
      </c>
      <c r="AC46" s="33">
        <f>IF(COUNTA(H46,L46,P46,T46,X46,AB46)=0,"",H46+L46+P46+T46+X46+AB46)</f>
        <v/>
      </c>
      <c r="AD46" s="33">
        <f>IF(AC46="","",IF(AC46&gt;=85,"A",IF(AC46&gt;=75,"AB",IF(AC46&gt;=65,"B",IF(AC46&gt;=55,"BC",IF(AC46&gt;=45,"C",IF(AC46&gt;=35,"CD",IF(AC46&gt;=25,"D","E"))))))))</f>
        <v/>
      </c>
      <c r="AE46" s="37" t="inlineStr"/>
    </row>
    <row r="47" ht="18" customHeight="1">
      <c r="A47" s="35" t="n">
        <v>44</v>
      </c>
      <c r="B47" s="35" t="inlineStr">
        <is>
          <t>24060124140161</t>
        </is>
      </c>
      <c r="C47" s="36" t="inlineStr">
        <is>
          <t>Azka Wayasy Al Hafizh</t>
        </is>
      </c>
      <c r="D47" s="35" t="n">
        <v>12</v>
      </c>
      <c r="E47" s="21" t="n"/>
      <c r="F47" s="21" t="n"/>
      <c r="G47" s="21" t="n"/>
      <c r="H47" s="22">
        <f>IF(COUNTA(E47,F47,G47)=0,"",E47+F47+G47)</f>
        <v/>
      </c>
      <c r="I47" s="23" t="n"/>
      <c r="J47" s="23" t="n"/>
      <c r="K47" s="23" t="n"/>
      <c r="L47" s="24">
        <f>IF(COUNTA(I47,J47,K47)=0,"",I47+J47+K47)</f>
        <v/>
      </c>
      <c r="M47" s="25" t="n"/>
      <c r="N47" s="25" t="n"/>
      <c r="O47" s="25" t="n"/>
      <c r="P47" s="26">
        <f>IF(COUNTA(M47,N47,O47)=0,"",M47+N47+O47)</f>
        <v/>
      </c>
      <c r="Q47" s="27" t="n"/>
      <c r="R47" s="27" t="n"/>
      <c r="S47" s="27" t="n"/>
      <c r="T47" s="28">
        <f>IF(COUNTA(Q47,R47,S47)=0,"",Q47+R47+S47)</f>
        <v/>
      </c>
      <c r="U47" s="29" t="n"/>
      <c r="V47" s="29" t="n"/>
      <c r="W47" s="29" t="n"/>
      <c r="X47" s="30">
        <f>IF(COUNTA(U47,V47,W47)=0,"",U47+V47+W47)</f>
        <v/>
      </c>
      <c r="Y47" s="31" t="n"/>
      <c r="Z47" s="31" t="n"/>
      <c r="AA47" s="31" t="n"/>
      <c r="AB47" s="32">
        <f>IF(COUNTA(Y47,Z47,AA47)=0,"",Y47+Z47+AA47)</f>
        <v/>
      </c>
      <c r="AC47" s="33">
        <f>IF(COUNTA(H47,L47,P47,T47,X47,AB47)=0,"",H47+L47+P47+T47+X47+AB47)</f>
        <v/>
      </c>
      <c r="AD47" s="33">
        <f>IF(AC47="","",IF(AC47&gt;=85,"A",IF(AC47&gt;=75,"AB",IF(AC47&gt;=65,"B",IF(AC47&gt;=55,"BC",IF(AC47&gt;=45,"C",IF(AC47&gt;=35,"CD",IF(AC47&gt;=25,"D","E"))))))))</f>
        <v/>
      </c>
      <c r="AE47" s="37" t="inlineStr"/>
    </row>
  </sheetData>
  <mergeCells count="7">
    <mergeCell ref="Y2:AB2"/>
    <mergeCell ref="A1:AE1"/>
    <mergeCell ref="U2:X2"/>
    <mergeCell ref="M2:P2"/>
    <mergeCell ref="Q2:T2"/>
    <mergeCell ref="E2:H2"/>
    <mergeCell ref="I2:L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4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5" customWidth="1" min="4" max="4"/>
    <col width="6" customWidth="1" min="5" max="5"/>
    <col width="5" customWidth="1" min="6" max="6"/>
    <col width="5" customWidth="1" min="7" max="7"/>
    <col width="7" customWidth="1" min="8" max="8"/>
    <col width="5" customWidth="1" min="9" max="9"/>
    <col width="5" customWidth="1" min="10" max="10"/>
    <col width="5" customWidth="1" min="11" max="11"/>
    <col width="7" customWidth="1" min="12" max="12"/>
    <col width="5" customWidth="1" min="13" max="13"/>
    <col width="6" customWidth="1" min="14" max="14"/>
    <col width="6" customWidth="1" min="15" max="15"/>
    <col width="7" customWidth="1" min="16" max="16"/>
    <col width="5" customWidth="1" min="17" max="17"/>
    <col width="6" customWidth="1" min="18" max="18"/>
    <col width="6" customWidth="1" min="19" max="19"/>
    <col width="7" customWidth="1" min="20" max="20"/>
    <col width="5" customWidth="1" min="21" max="21"/>
    <col width="5" customWidth="1" min="22" max="22"/>
    <col width="5" customWidth="1" min="23" max="23"/>
    <col width="7" customWidth="1" min="24" max="24"/>
    <col width="5" customWidth="1" min="25" max="25"/>
    <col width="4" customWidth="1" min="26" max="26"/>
    <col width="4" customWidth="1" min="27" max="27"/>
    <col width="7" customWidth="1" min="28" max="28"/>
    <col width="9" customWidth="1" min="29" max="29"/>
    <col width="7" customWidth="1" min="30" max="30"/>
    <col width="32" customWidth="1" min="31" max="31"/>
  </cols>
  <sheetData>
    <row r="1" ht="28" customHeight="1">
      <c r="A1" s="1" t="inlineStr">
        <is>
          <t>LEMBAR PENILAIAN TUGAS KELOMPOK — ASA KELAS E 2026</t>
        </is>
      </c>
    </row>
    <row r="2" ht="22" customHeight="1">
      <c r="A2" s="2" t="inlineStr">
        <is>
          <t>No</t>
        </is>
      </c>
      <c r="B2" s="2" t="inlineStr">
        <is>
          <t>NIM</t>
        </is>
      </c>
      <c r="C2" s="2" t="inlineStr">
        <is>
          <t>Nama</t>
        </is>
      </c>
      <c r="D2" s="2" t="inlineStr">
        <is>
          <t>Kel</t>
        </is>
      </c>
      <c r="E2" s="3" t="inlineStr">
        <is>
          <t>A</t>
        </is>
      </c>
      <c r="I2" s="4" t="inlineStr">
        <is>
          <t>B</t>
        </is>
      </c>
      <c r="M2" s="5" t="inlineStr">
        <is>
          <t>C</t>
        </is>
      </c>
      <c r="Q2" s="6" t="inlineStr">
        <is>
          <t>D</t>
        </is>
      </c>
      <c r="U2" s="7" t="inlineStr">
        <is>
          <t>E</t>
        </is>
      </c>
      <c r="Y2" s="8" t="inlineStr">
        <is>
          <t>F</t>
        </is>
      </c>
      <c r="AC2" s="9" t="inlineStr">
        <is>
          <t>TOTAL</t>
        </is>
      </c>
      <c r="AD2" s="9" t="inlineStr">
        <is>
          <t>NILAI</t>
        </is>
      </c>
      <c r="AE2" s="2" t="inlineStr">
        <is>
          <t>Catatan</t>
        </is>
      </c>
    </row>
    <row r="3" ht="36" customHeight="1">
      <c r="A3" s="10" t="inlineStr">
        <is>
          <t>No</t>
        </is>
      </c>
      <c r="B3" s="10" t="inlineStr">
        <is>
          <t>NIM</t>
        </is>
      </c>
      <c r="C3" s="10" t="inlineStr">
        <is>
          <t>Nama</t>
        </is>
      </c>
      <c r="D3" s="10" t="inlineStr">
        <is>
          <t>Kel</t>
        </is>
      </c>
      <c r="E3" s="11" t="inlineStr">
        <is>
          <t>A.1
/10</t>
        </is>
      </c>
      <c r="F3" s="11" t="inlineStr">
        <is>
          <t>A.2
/5</t>
        </is>
      </c>
      <c r="G3" s="11" t="inlineStr">
        <is>
          <t>A.3
/5</t>
        </is>
      </c>
      <c r="H3" s="11" t="inlineStr">
        <is>
          <t>TOT
/20</t>
        </is>
      </c>
      <c r="I3" s="12" t="inlineStr">
        <is>
          <t>B.1
/5</t>
        </is>
      </c>
      <c r="J3" s="12" t="inlineStr">
        <is>
          <t>B.2
/5</t>
        </is>
      </c>
      <c r="K3" s="12" t="inlineStr">
        <is>
          <t>B.3
/5</t>
        </is>
      </c>
      <c r="L3" s="12" t="inlineStr">
        <is>
          <t>TOT
/15</t>
        </is>
      </c>
      <c r="M3" s="13" t="inlineStr">
        <is>
          <t>C.1
/6</t>
        </is>
      </c>
      <c r="N3" s="13" t="inlineStr">
        <is>
          <t>C.2
/7</t>
        </is>
      </c>
      <c r="O3" s="13" t="inlineStr">
        <is>
          <t>C.3
/7</t>
        </is>
      </c>
      <c r="P3" s="13" t="inlineStr">
        <is>
          <t>TOT
/20</t>
        </is>
      </c>
      <c r="Q3" s="14" t="inlineStr">
        <is>
          <t>D.1
/6</t>
        </is>
      </c>
      <c r="R3" s="14" t="inlineStr">
        <is>
          <t>D.2
/7</t>
        </is>
      </c>
      <c r="S3" s="14" t="inlineStr">
        <is>
          <t>D.3
/7</t>
        </is>
      </c>
      <c r="T3" s="14" t="inlineStr">
        <is>
          <t>TOT
/20</t>
        </is>
      </c>
      <c r="U3" s="15" t="inlineStr">
        <is>
          <t>E.1
/5</t>
        </is>
      </c>
      <c r="V3" s="15" t="inlineStr">
        <is>
          <t>E.2
/5</t>
        </is>
      </c>
      <c r="W3" s="15" t="inlineStr">
        <is>
          <t>E.3
/5</t>
        </is>
      </c>
      <c r="X3" s="15" t="inlineStr">
        <is>
          <t>TOT
/15</t>
        </is>
      </c>
      <c r="Y3" s="16" t="inlineStr">
        <is>
          <t>F.1
/4</t>
        </is>
      </c>
      <c r="Z3" s="16" t="inlineStr">
        <is>
          <t>F.2
/3</t>
        </is>
      </c>
      <c r="AA3" s="16" t="inlineStr">
        <is>
          <t>F.3
/3</t>
        </is>
      </c>
      <c r="AB3" s="16" t="inlineStr">
        <is>
          <t>TOT
/10</t>
        </is>
      </c>
      <c r="AC3" s="17" t="inlineStr">
        <is>
          <t>/100</t>
        </is>
      </c>
      <c r="AD3" s="17" t="inlineStr">
        <is>
          <t>Huruf</t>
        </is>
      </c>
      <c r="AE3" s="18" t="inlineStr">
        <is>
          <t>Catatan</t>
        </is>
      </c>
    </row>
    <row r="4" ht="18" customHeight="1">
      <c r="A4" s="19" t="n">
        <v>1</v>
      </c>
      <c r="B4" s="19" t="inlineStr">
        <is>
          <t>24060123140190</t>
        </is>
      </c>
      <c r="C4" s="20" t="inlineStr">
        <is>
          <t>Tegar Caesara</t>
        </is>
      </c>
      <c r="D4" s="19" t="n">
        <v>1</v>
      </c>
      <c r="E4" s="21" t="n"/>
      <c r="F4" s="21" t="n"/>
      <c r="G4" s="21" t="n"/>
      <c r="H4" s="22">
        <f>IF(COUNTA(E4,F4,G4)=0,"",E4+F4+G4)</f>
        <v/>
      </c>
      <c r="I4" s="23" t="n"/>
      <c r="J4" s="23" t="n"/>
      <c r="K4" s="23" t="n"/>
      <c r="L4" s="24">
        <f>IF(COUNTA(I4,J4,K4)=0,"",I4+J4+K4)</f>
        <v/>
      </c>
      <c r="M4" s="25" t="n"/>
      <c r="N4" s="25" t="n"/>
      <c r="O4" s="25" t="n"/>
      <c r="P4" s="26">
        <f>IF(COUNTA(M4,N4,O4)=0,"",M4+N4+O4)</f>
        <v/>
      </c>
      <c r="Q4" s="27" t="n"/>
      <c r="R4" s="27" t="n"/>
      <c r="S4" s="27" t="n"/>
      <c r="T4" s="28">
        <f>IF(COUNTA(Q4,R4,S4)=0,"",Q4+R4+S4)</f>
        <v/>
      </c>
      <c r="U4" s="29" t="n"/>
      <c r="V4" s="29" t="n"/>
      <c r="W4" s="29" t="n"/>
      <c r="X4" s="30">
        <f>IF(COUNTA(U4,V4,W4)=0,"",U4+V4+W4)</f>
        <v/>
      </c>
      <c r="Y4" s="31" t="n"/>
      <c r="Z4" s="31" t="n"/>
      <c r="AA4" s="31" t="n"/>
      <c r="AB4" s="32">
        <f>IF(COUNTA(Y4,Z4,AA4)=0,"",Y4+Z4+AA4)</f>
        <v/>
      </c>
      <c r="AC4" s="33">
        <f>IF(COUNTA(H4,L4,P4,T4,X4,AB4)=0,"",H4+L4+P4+T4+X4+AB4)</f>
        <v/>
      </c>
      <c r="AD4" s="33">
        <f>IF(AC4="","",IF(AC4&gt;=85,"A",IF(AC4&gt;=75,"AB",IF(AC4&gt;=65,"B",IF(AC4&gt;=55,"BC",IF(AC4&gt;=45,"C",IF(AC4&gt;=35,"CD",IF(AC4&gt;=25,"D","E"))))))))</f>
        <v/>
      </c>
      <c r="AE4" s="34" t="inlineStr"/>
    </row>
    <row r="5" ht="18" customHeight="1">
      <c r="A5" s="19" t="n">
        <v>2</v>
      </c>
      <c r="B5" s="19" t="inlineStr">
        <is>
          <t>24060123140132</t>
        </is>
      </c>
      <c r="C5" s="20" t="inlineStr">
        <is>
          <t>Zaky Musyaffa</t>
        </is>
      </c>
      <c r="D5" s="19" t="n">
        <v>1</v>
      </c>
      <c r="E5" s="21" t="n"/>
      <c r="F5" s="21" t="n"/>
      <c r="G5" s="21" t="n"/>
      <c r="H5" s="22">
        <f>IF(COUNTA(E5,F5,G5)=0,"",E5+F5+G5)</f>
        <v/>
      </c>
      <c r="I5" s="23" t="n"/>
      <c r="J5" s="23" t="n"/>
      <c r="K5" s="23" t="n"/>
      <c r="L5" s="24">
        <f>IF(COUNTA(I5,J5,K5)=0,"",I5+J5+K5)</f>
        <v/>
      </c>
      <c r="M5" s="25" t="n"/>
      <c r="N5" s="25" t="n"/>
      <c r="O5" s="25" t="n"/>
      <c r="P5" s="26">
        <f>IF(COUNTA(M5,N5,O5)=0,"",M5+N5+O5)</f>
        <v/>
      </c>
      <c r="Q5" s="27" t="n"/>
      <c r="R5" s="27" t="n"/>
      <c r="S5" s="27" t="n"/>
      <c r="T5" s="28">
        <f>IF(COUNTA(Q5,R5,S5)=0,"",Q5+R5+S5)</f>
        <v/>
      </c>
      <c r="U5" s="29" t="n"/>
      <c r="V5" s="29" t="n"/>
      <c r="W5" s="29" t="n"/>
      <c r="X5" s="30">
        <f>IF(COUNTA(U5,V5,W5)=0,"",U5+V5+W5)</f>
        <v/>
      </c>
      <c r="Y5" s="31" t="n"/>
      <c r="Z5" s="31" t="n"/>
      <c r="AA5" s="31" t="n"/>
      <c r="AB5" s="32">
        <f>IF(COUNTA(Y5,Z5,AA5)=0,"",Y5+Z5+AA5)</f>
        <v/>
      </c>
      <c r="AC5" s="33">
        <f>IF(COUNTA(H5,L5,P5,T5,X5,AB5)=0,"",H5+L5+P5+T5+X5+AB5)</f>
        <v/>
      </c>
      <c r="AD5" s="33">
        <f>IF(AC5="","",IF(AC5&gt;=85,"A",IF(AC5&gt;=75,"AB",IF(AC5&gt;=65,"B",IF(AC5&gt;=55,"BC",IF(AC5&gt;=45,"C",IF(AC5&gt;=35,"CD",IF(AC5&gt;=25,"D","E"))))))))</f>
        <v/>
      </c>
      <c r="AE5" s="34" t="inlineStr"/>
    </row>
    <row r="6" ht="18" customHeight="1">
      <c r="A6" s="19" t="n">
        <v>3</v>
      </c>
      <c r="B6" s="19" t="inlineStr">
        <is>
          <t>24060123120043</t>
        </is>
      </c>
      <c r="C6" s="20" t="inlineStr">
        <is>
          <t>Sophie Venecia M</t>
        </is>
      </c>
      <c r="D6" s="19" t="n">
        <v>1</v>
      </c>
      <c r="E6" s="21" t="n"/>
      <c r="F6" s="21" t="n"/>
      <c r="G6" s="21" t="n"/>
      <c r="H6" s="22">
        <f>IF(COUNTA(E6,F6,G6)=0,"",E6+F6+G6)</f>
        <v/>
      </c>
      <c r="I6" s="23" t="n"/>
      <c r="J6" s="23" t="n"/>
      <c r="K6" s="23" t="n"/>
      <c r="L6" s="24">
        <f>IF(COUNTA(I6,J6,K6)=0,"",I6+J6+K6)</f>
        <v/>
      </c>
      <c r="M6" s="25" t="n"/>
      <c r="N6" s="25" t="n"/>
      <c r="O6" s="25" t="n"/>
      <c r="P6" s="26">
        <f>IF(COUNTA(M6,N6,O6)=0,"",M6+N6+O6)</f>
        <v/>
      </c>
      <c r="Q6" s="27" t="n"/>
      <c r="R6" s="27" t="n"/>
      <c r="S6" s="27" t="n"/>
      <c r="T6" s="28">
        <f>IF(COUNTA(Q6,R6,S6)=0,"",Q6+R6+S6)</f>
        <v/>
      </c>
      <c r="U6" s="29" t="n"/>
      <c r="V6" s="29" t="n"/>
      <c r="W6" s="29" t="n"/>
      <c r="X6" s="30">
        <f>IF(COUNTA(U6,V6,W6)=0,"",U6+V6+W6)</f>
        <v/>
      </c>
      <c r="Y6" s="31" t="n"/>
      <c r="Z6" s="31" t="n"/>
      <c r="AA6" s="31" t="n"/>
      <c r="AB6" s="32">
        <f>IF(COUNTA(Y6,Z6,AA6)=0,"",Y6+Z6+AA6)</f>
        <v/>
      </c>
      <c r="AC6" s="33">
        <f>IF(COUNTA(H6,L6,P6,T6,X6,AB6)=0,"",H6+L6+P6+T6+X6+AB6)</f>
        <v/>
      </c>
      <c r="AD6" s="33">
        <f>IF(AC6="","",IF(AC6&gt;=85,"A",IF(AC6&gt;=75,"AB",IF(AC6&gt;=65,"B",IF(AC6&gt;=55,"BC",IF(AC6&gt;=45,"C",IF(AC6&gt;=35,"CD",IF(AC6&gt;=25,"D","E"))))))))</f>
        <v/>
      </c>
      <c r="AE6" s="34" t="inlineStr"/>
    </row>
    <row r="7" ht="18" customHeight="1">
      <c r="A7" s="19" t="n">
        <v>4</v>
      </c>
      <c r="B7" s="19" t="inlineStr">
        <is>
          <t>24060124120015</t>
        </is>
      </c>
      <c r="C7" s="20" t="inlineStr">
        <is>
          <t>Wahyu Eko Setyo P</t>
        </is>
      </c>
      <c r="D7" s="19" t="n">
        <v>1</v>
      </c>
      <c r="E7" s="21" t="n"/>
      <c r="F7" s="21" t="n"/>
      <c r="G7" s="21" t="n"/>
      <c r="H7" s="22">
        <f>IF(COUNTA(E7,F7,G7)=0,"",E7+F7+G7)</f>
        <v/>
      </c>
      <c r="I7" s="23" t="n"/>
      <c r="J7" s="23" t="n"/>
      <c r="K7" s="23" t="n"/>
      <c r="L7" s="24">
        <f>IF(COUNTA(I7,J7,K7)=0,"",I7+J7+K7)</f>
        <v/>
      </c>
      <c r="M7" s="25" t="n"/>
      <c r="N7" s="25" t="n"/>
      <c r="O7" s="25" t="n"/>
      <c r="P7" s="26">
        <f>IF(COUNTA(M7,N7,O7)=0,"",M7+N7+O7)</f>
        <v/>
      </c>
      <c r="Q7" s="27" t="n"/>
      <c r="R7" s="27" t="n"/>
      <c r="S7" s="27" t="n"/>
      <c r="T7" s="28">
        <f>IF(COUNTA(Q7,R7,S7)=0,"",Q7+R7+S7)</f>
        <v/>
      </c>
      <c r="U7" s="29" t="n"/>
      <c r="V7" s="29" t="n"/>
      <c r="W7" s="29" t="n"/>
      <c r="X7" s="30">
        <f>IF(COUNTA(U7,V7,W7)=0,"",U7+V7+W7)</f>
        <v/>
      </c>
      <c r="Y7" s="31" t="n"/>
      <c r="Z7" s="31" t="n"/>
      <c r="AA7" s="31" t="n"/>
      <c r="AB7" s="32">
        <f>IF(COUNTA(Y7,Z7,AA7)=0,"",Y7+Z7+AA7)</f>
        <v/>
      </c>
      <c r="AC7" s="33">
        <f>IF(COUNTA(H7,L7,P7,T7,X7,AB7)=0,"",H7+L7+P7+T7+X7+AB7)</f>
        <v/>
      </c>
      <c r="AD7" s="33">
        <f>IF(AC7="","",IF(AC7&gt;=85,"A",IF(AC7&gt;=75,"AB",IF(AC7&gt;=65,"B",IF(AC7&gt;=55,"BC",IF(AC7&gt;=45,"C",IF(AC7&gt;=35,"CD",IF(AC7&gt;=25,"D","E"))))))))</f>
        <v/>
      </c>
      <c r="AE7" s="34" t="inlineStr"/>
    </row>
    <row r="8" ht="18" customHeight="1">
      <c r="A8" s="35" t="n">
        <v>5</v>
      </c>
      <c r="B8" s="35" t="inlineStr">
        <is>
          <t>24060124130113</t>
        </is>
      </c>
      <c r="C8" s="36" t="inlineStr">
        <is>
          <t>Joshua Satria Kusuma</t>
        </is>
      </c>
      <c r="D8" s="35" t="n">
        <v>2</v>
      </c>
      <c r="E8" s="21" t="n"/>
      <c r="F8" s="21" t="n"/>
      <c r="G8" s="21" t="n"/>
      <c r="H8" s="22">
        <f>IF(COUNTA(E8,F8,G8)=0,"",E8+F8+G8)</f>
        <v/>
      </c>
      <c r="I8" s="23" t="n"/>
      <c r="J8" s="23" t="n"/>
      <c r="K8" s="23" t="n"/>
      <c r="L8" s="24">
        <f>IF(COUNTA(I8,J8,K8)=0,"",I8+J8+K8)</f>
        <v/>
      </c>
      <c r="M8" s="25" t="n"/>
      <c r="N8" s="25" t="n"/>
      <c r="O8" s="25" t="n"/>
      <c r="P8" s="26">
        <f>IF(COUNTA(M8,N8,O8)=0,"",M8+N8+O8)</f>
        <v/>
      </c>
      <c r="Q8" s="27" t="n"/>
      <c r="R8" s="27" t="n"/>
      <c r="S8" s="27" t="n"/>
      <c r="T8" s="28">
        <f>IF(COUNTA(Q8,R8,S8)=0,"",Q8+R8+S8)</f>
        <v/>
      </c>
      <c r="U8" s="29" t="n"/>
      <c r="V8" s="29" t="n"/>
      <c r="W8" s="29" t="n"/>
      <c r="X8" s="30">
        <f>IF(COUNTA(U8,V8,W8)=0,"",U8+V8+W8)</f>
        <v/>
      </c>
      <c r="Y8" s="31" t="n"/>
      <c r="Z8" s="31" t="n"/>
      <c r="AA8" s="31" t="n"/>
      <c r="AB8" s="32">
        <f>IF(COUNTA(Y8,Z8,AA8)=0,"",Y8+Z8+AA8)</f>
        <v/>
      </c>
      <c r="AC8" s="33">
        <f>IF(COUNTA(H8,L8,P8,T8,X8,AB8)=0,"",H8+L8+P8+T8+X8+AB8)</f>
        <v/>
      </c>
      <c r="AD8" s="33">
        <f>IF(AC8="","",IF(AC8&gt;=85,"A",IF(AC8&gt;=75,"AB",IF(AC8&gt;=65,"B",IF(AC8&gt;=55,"BC",IF(AC8&gt;=45,"C",IF(AC8&gt;=35,"CD",IF(AC8&gt;=25,"D","E"))))))))</f>
        <v/>
      </c>
      <c r="AE8" s="37" t="inlineStr"/>
    </row>
    <row r="9" ht="18" customHeight="1">
      <c r="A9" s="35" t="n">
        <v>6</v>
      </c>
      <c r="B9" s="35" t="inlineStr">
        <is>
          <t>24060124140131</t>
        </is>
      </c>
      <c r="C9" s="36" t="inlineStr">
        <is>
          <t>Harits Permana</t>
        </is>
      </c>
      <c r="D9" s="35" t="n">
        <v>2</v>
      </c>
      <c r="E9" s="21" t="n"/>
      <c r="F9" s="21" t="n"/>
      <c r="G9" s="21" t="n"/>
      <c r="H9" s="22">
        <f>IF(COUNTA(E9,F9,G9)=0,"",E9+F9+G9)</f>
        <v/>
      </c>
      <c r="I9" s="23" t="n"/>
      <c r="J9" s="23" t="n"/>
      <c r="K9" s="23" t="n"/>
      <c r="L9" s="24">
        <f>IF(COUNTA(I9,J9,K9)=0,"",I9+J9+K9)</f>
        <v/>
      </c>
      <c r="M9" s="25" t="n"/>
      <c r="N9" s="25" t="n"/>
      <c r="O9" s="25" t="n"/>
      <c r="P9" s="26">
        <f>IF(COUNTA(M9,N9,O9)=0,"",M9+N9+O9)</f>
        <v/>
      </c>
      <c r="Q9" s="27" t="n"/>
      <c r="R9" s="27" t="n"/>
      <c r="S9" s="27" t="n"/>
      <c r="T9" s="28">
        <f>IF(COUNTA(Q9,R9,S9)=0,"",Q9+R9+S9)</f>
        <v/>
      </c>
      <c r="U9" s="29" t="n"/>
      <c r="V9" s="29" t="n"/>
      <c r="W9" s="29" t="n"/>
      <c r="X9" s="30">
        <f>IF(COUNTA(U9,V9,W9)=0,"",U9+V9+W9)</f>
        <v/>
      </c>
      <c r="Y9" s="31" t="n"/>
      <c r="Z9" s="31" t="n"/>
      <c r="AA9" s="31" t="n"/>
      <c r="AB9" s="32">
        <f>IF(COUNTA(Y9,Z9,AA9)=0,"",Y9+Z9+AA9)</f>
        <v/>
      </c>
      <c r="AC9" s="33">
        <f>IF(COUNTA(H9,L9,P9,T9,X9,AB9)=0,"",H9+L9+P9+T9+X9+AB9)</f>
        <v/>
      </c>
      <c r="AD9" s="33">
        <f>IF(AC9="","",IF(AC9&gt;=85,"A",IF(AC9&gt;=75,"AB",IF(AC9&gt;=65,"B",IF(AC9&gt;=55,"BC",IF(AC9&gt;=45,"C",IF(AC9&gt;=35,"CD",IF(AC9&gt;=25,"D","E"))))))))</f>
        <v/>
      </c>
      <c r="AE9" s="37" t="inlineStr"/>
    </row>
    <row r="10" ht="18" customHeight="1">
      <c r="A10" s="35" t="n">
        <v>7</v>
      </c>
      <c r="B10" s="35" t="inlineStr">
        <is>
          <t>24060124130097</t>
        </is>
      </c>
      <c r="C10" s="36" t="inlineStr">
        <is>
          <t>Haikal Imam Ridha</t>
        </is>
      </c>
      <c r="D10" s="35" t="n">
        <v>2</v>
      </c>
      <c r="E10" s="21" t="n"/>
      <c r="F10" s="21" t="n"/>
      <c r="G10" s="21" t="n"/>
      <c r="H10" s="22">
        <f>IF(COUNTA(E10,F10,G10)=0,"",E10+F10+G10)</f>
        <v/>
      </c>
      <c r="I10" s="23" t="n"/>
      <c r="J10" s="23" t="n"/>
      <c r="K10" s="23" t="n"/>
      <c r="L10" s="24">
        <f>IF(COUNTA(I10,J10,K10)=0,"",I10+J10+K10)</f>
        <v/>
      </c>
      <c r="M10" s="25" t="n"/>
      <c r="N10" s="25" t="n"/>
      <c r="O10" s="25" t="n"/>
      <c r="P10" s="26">
        <f>IF(COUNTA(M10,N10,O10)=0,"",M10+N10+O10)</f>
        <v/>
      </c>
      <c r="Q10" s="27" t="n"/>
      <c r="R10" s="27" t="n"/>
      <c r="S10" s="27" t="n"/>
      <c r="T10" s="28">
        <f>IF(COUNTA(Q10,R10,S10)=0,"",Q10+R10+S10)</f>
        <v/>
      </c>
      <c r="U10" s="29" t="n"/>
      <c r="V10" s="29" t="n"/>
      <c r="W10" s="29" t="n"/>
      <c r="X10" s="30">
        <f>IF(COUNTA(U10,V10,W10)=0,"",U10+V10+W10)</f>
        <v/>
      </c>
      <c r="Y10" s="31" t="n"/>
      <c r="Z10" s="31" t="n"/>
      <c r="AA10" s="31" t="n"/>
      <c r="AB10" s="32">
        <f>IF(COUNTA(Y10,Z10,AA10)=0,"",Y10+Z10+AA10)</f>
        <v/>
      </c>
      <c r="AC10" s="33">
        <f>IF(COUNTA(H10,L10,P10,T10,X10,AB10)=0,"",H10+L10+P10+T10+X10+AB10)</f>
        <v/>
      </c>
      <c r="AD10" s="33">
        <f>IF(AC10="","",IF(AC10&gt;=85,"A",IF(AC10&gt;=75,"AB",IF(AC10&gt;=65,"B",IF(AC10&gt;=55,"BC",IF(AC10&gt;=45,"C",IF(AC10&gt;=35,"CD",IF(AC10&gt;=25,"D","E"))))))))</f>
        <v/>
      </c>
      <c r="AE10" s="37" t="inlineStr"/>
    </row>
    <row r="11" ht="18" customHeight="1">
      <c r="A11" s="35" t="n">
        <v>8</v>
      </c>
      <c r="B11" s="35" t="inlineStr">
        <is>
          <t>24060124120047</t>
        </is>
      </c>
      <c r="C11" s="36" t="inlineStr">
        <is>
          <t>Husein Avicenna</t>
        </is>
      </c>
      <c r="D11" s="35" t="n">
        <v>2</v>
      </c>
      <c r="E11" s="21" t="n"/>
      <c r="F11" s="21" t="n"/>
      <c r="G11" s="21" t="n"/>
      <c r="H11" s="22">
        <f>IF(COUNTA(E11,F11,G11)=0,"",E11+F11+G11)</f>
        <v/>
      </c>
      <c r="I11" s="23" t="n"/>
      <c r="J11" s="23" t="n"/>
      <c r="K11" s="23" t="n"/>
      <c r="L11" s="24">
        <f>IF(COUNTA(I11,J11,K11)=0,"",I11+J11+K11)</f>
        <v/>
      </c>
      <c r="M11" s="25" t="n"/>
      <c r="N11" s="25" t="n"/>
      <c r="O11" s="25" t="n"/>
      <c r="P11" s="26">
        <f>IF(COUNTA(M11,N11,O11)=0,"",M11+N11+O11)</f>
        <v/>
      </c>
      <c r="Q11" s="27" t="n"/>
      <c r="R11" s="27" t="n"/>
      <c r="S11" s="27" t="n"/>
      <c r="T11" s="28">
        <f>IF(COUNTA(Q11,R11,S11)=0,"",Q11+R11+S11)</f>
        <v/>
      </c>
      <c r="U11" s="29" t="n"/>
      <c r="V11" s="29" t="n"/>
      <c r="W11" s="29" t="n"/>
      <c r="X11" s="30">
        <f>IF(COUNTA(U11,V11,W11)=0,"",U11+V11+W11)</f>
        <v/>
      </c>
      <c r="Y11" s="31" t="n"/>
      <c r="Z11" s="31" t="n"/>
      <c r="AA11" s="31" t="n"/>
      <c r="AB11" s="32">
        <f>IF(COUNTA(Y11,Z11,AA11)=0,"",Y11+Z11+AA11)</f>
        <v/>
      </c>
      <c r="AC11" s="33">
        <f>IF(COUNTA(H11,L11,P11,T11,X11,AB11)=0,"",H11+L11+P11+T11+X11+AB11)</f>
        <v/>
      </c>
      <c r="AD11" s="33">
        <f>IF(AC11="","",IF(AC11&gt;=85,"A",IF(AC11&gt;=75,"AB",IF(AC11&gt;=65,"B",IF(AC11&gt;=55,"BC",IF(AC11&gt;=45,"C",IF(AC11&gt;=35,"CD",IF(AC11&gt;=25,"D","E"))))))))</f>
        <v/>
      </c>
      <c r="AE11" s="37" t="inlineStr"/>
    </row>
    <row r="12" ht="18" customHeight="1">
      <c r="A12" s="19" t="n">
        <v>9</v>
      </c>
      <c r="B12" s="19" t="inlineStr">
        <is>
          <t>24060124120012</t>
        </is>
      </c>
      <c r="C12" s="20" t="inlineStr">
        <is>
          <t>Felicia Evelina</t>
        </is>
      </c>
      <c r="D12" s="19" t="n">
        <v>3</v>
      </c>
      <c r="E12" s="21" t="n"/>
      <c r="F12" s="21" t="n"/>
      <c r="G12" s="21" t="n"/>
      <c r="H12" s="22">
        <f>IF(COUNTA(E12,F12,G12)=0,"",E12+F12+G12)</f>
        <v/>
      </c>
      <c r="I12" s="23" t="n"/>
      <c r="J12" s="23" t="n"/>
      <c r="K12" s="23" t="n"/>
      <c r="L12" s="24">
        <f>IF(COUNTA(I12,J12,K12)=0,"",I12+J12+K12)</f>
        <v/>
      </c>
      <c r="M12" s="25" t="n"/>
      <c r="N12" s="25" t="n"/>
      <c r="O12" s="25" t="n"/>
      <c r="P12" s="26">
        <f>IF(COUNTA(M12,N12,O12)=0,"",M12+N12+O12)</f>
        <v/>
      </c>
      <c r="Q12" s="27" t="n"/>
      <c r="R12" s="27" t="n"/>
      <c r="S12" s="27" t="n"/>
      <c r="T12" s="28">
        <f>IF(COUNTA(Q12,R12,S12)=0,"",Q12+R12+S12)</f>
        <v/>
      </c>
      <c r="U12" s="29" t="n"/>
      <c r="V12" s="29" t="n"/>
      <c r="W12" s="29" t="n"/>
      <c r="X12" s="30">
        <f>IF(COUNTA(U12,V12,W12)=0,"",U12+V12+W12)</f>
        <v/>
      </c>
      <c r="Y12" s="31" t="n"/>
      <c r="Z12" s="31" t="n"/>
      <c r="AA12" s="31" t="n"/>
      <c r="AB12" s="32">
        <f>IF(COUNTA(Y12,Z12,AA12)=0,"",Y12+Z12+AA12)</f>
        <v/>
      </c>
      <c r="AC12" s="33">
        <f>IF(COUNTA(H12,L12,P12,T12,X12,AB12)=0,"",H12+L12+P12+T12+X12+AB12)</f>
        <v/>
      </c>
      <c r="AD12" s="33">
        <f>IF(AC12="","",IF(AC12&gt;=85,"A",IF(AC12&gt;=75,"AB",IF(AC12&gt;=65,"B",IF(AC12&gt;=55,"BC",IF(AC12&gt;=45,"C",IF(AC12&gt;=35,"CD",IF(AC12&gt;=25,"D","E"))))))))</f>
        <v/>
      </c>
      <c r="AE12" s="34" t="inlineStr"/>
    </row>
    <row r="13" ht="18" customHeight="1">
      <c r="A13" s="19" t="n">
        <v>10</v>
      </c>
      <c r="B13" s="19" t="inlineStr">
        <is>
          <t>24060124140188</t>
        </is>
      </c>
      <c r="C13" s="20" t="inlineStr">
        <is>
          <t>Claudia Meitania Putri</t>
        </is>
      </c>
      <c r="D13" s="19" t="n">
        <v>3</v>
      </c>
      <c r="E13" s="21" t="n"/>
      <c r="F13" s="21" t="n"/>
      <c r="G13" s="21" t="n"/>
      <c r="H13" s="22">
        <f>IF(COUNTA(E13,F13,G13)=0,"",E13+F13+G13)</f>
        <v/>
      </c>
      <c r="I13" s="23" t="n"/>
      <c r="J13" s="23" t="n"/>
      <c r="K13" s="23" t="n"/>
      <c r="L13" s="24">
        <f>IF(COUNTA(I13,J13,K13)=0,"",I13+J13+K13)</f>
        <v/>
      </c>
      <c r="M13" s="25" t="n"/>
      <c r="N13" s="25" t="n"/>
      <c r="O13" s="25" t="n"/>
      <c r="P13" s="26">
        <f>IF(COUNTA(M13,N13,O13)=0,"",M13+N13+O13)</f>
        <v/>
      </c>
      <c r="Q13" s="27" t="n"/>
      <c r="R13" s="27" t="n"/>
      <c r="S13" s="27" t="n"/>
      <c r="T13" s="28">
        <f>IF(COUNTA(Q13,R13,S13)=0,"",Q13+R13+S13)</f>
        <v/>
      </c>
      <c r="U13" s="29" t="n"/>
      <c r="V13" s="29" t="n"/>
      <c r="W13" s="29" t="n"/>
      <c r="X13" s="30">
        <f>IF(COUNTA(U13,V13,W13)=0,"",U13+V13+W13)</f>
        <v/>
      </c>
      <c r="Y13" s="31" t="n"/>
      <c r="Z13" s="31" t="n"/>
      <c r="AA13" s="31" t="n"/>
      <c r="AB13" s="32">
        <f>IF(COUNTA(Y13,Z13,AA13)=0,"",Y13+Z13+AA13)</f>
        <v/>
      </c>
      <c r="AC13" s="33">
        <f>IF(COUNTA(H13,L13,P13,T13,X13,AB13)=0,"",H13+L13+P13+T13+X13+AB13)</f>
        <v/>
      </c>
      <c r="AD13" s="33">
        <f>IF(AC13="","",IF(AC13&gt;=85,"A",IF(AC13&gt;=75,"AB",IF(AC13&gt;=65,"B",IF(AC13&gt;=55,"BC",IF(AC13&gt;=45,"C",IF(AC13&gt;=35,"CD",IF(AC13&gt;=25,"D","E"))))))))</f>
        <v/>
      </c>
      <c r="AE13" s="34" t="inlineStr"/>
    </row>
    <row r="14" ht="18" customHeight="1">
      <c r="A14" s="19" t="n">
        <v>11</v>
      </c>
      <c r="B14" s="19" t="inlineStr">
        <is>
          <t>24060124130053</t>
        </is>
      </c>
      <c r="C14" s="20" t="inlineStr">
        <is>
          <t>Anintya Abhi Wiryateja</t>
        </is>
      </c>
      <c r="D14" s="19" t="n">
        <v>3</v>
      </c>
      <c r="E14" s="21" t="n"/>
      <c r="F14" s="21" t="n"/>
      <c r="G14" s="21" t="n"/>
      <c r="H14" s="22">
        <f>IF(COUNTA(E14,F14,G14)=0,"",E14+F14+G14)</f>
        <v/>
      </c>
      <c r="I14" s="23" t="n"/>
      <c r="J14" s="23" t="n"/>
      <c r="K14" s="23" t="n"/>
      <c r="L14" s="24">
        <f>IF(COUNTA(I14,J14,K14)=0,"",I14+J14+K14)</f>
        <v/>
      </c>
      <c r="M14" s="25" t="n"/>
      <c r="N14" s="25" t="n"/>
      <c r="O14" s="25" t="n"/>
      <c r="P14" s="26">
        <f>IF(COUNTA(M14,N14,O14)=0,"",M14+N14+O14)</f>
        <v/>
      </c>
      <c r="Q14" s="27" t="n"/>
      <c r="R14" s="27" t="n"/>
      <c r="S14" s="27" t="n"/>
      <c r="T14" s="28">
        <f>IF(COUNTA(Q14,R14,S14)=0,"",Q14+R14+S14)</f>
        <v/>
      </c>
      <c r="U14" s="29" t="n"/>
      <c r="V14" s="29" t="n"/>
      <c r="W14" s="29" t="n"/>
      <c r="X14" s="30">
        <f>IF(COUNTA(U14,V14,W14)=0,"",U14+V14+W14)</f>
        <v/>
      </c>
      <c r="Y14" s="31" t="n"/>
      <c r="Z14" s="31" t="n"/>
      <c r="AA14" s="31" t="n"/>
      <c r="AB14" s="32">
        <f>IF(COUNTA(Y14,Z14,AA14)=0,"",Y14+Z14+AA14)</f>
        <v/>
      </c>
      <c r="AC14" s="33">
        <f>IF(COUNTA(H14,L14,P14,T14,X14,AB14)=0,"",H14+L14+P14+T14+X14+AB14)</f>
        <v/>
      </c>
      <c r="AD14" s="33">
        <f>IF(AC14="","",IF(AC14&gt;=85,"A",IF(AC14&gt;=75,"AB",IF(AC14&gt;=65,"B",IF(AC14&gt;=55,"BC",IF(AC14&gt;=45,"C",IF(AC14&gt;=35,"CD",IF(AC14&gt;=25,"D","E"))))))))</f>
        <v/>
      </c>
      <c r="AE14" s="34" t="inlineStr"/>
    </row>
    <row r="15" ht="18" customHeight="1">
      <c r="A15" s="19" t="n">
        <v>12</v>
      </c>
      <c r="B15" s="19" t="inlineStr">
        <is>
          <t>24060124120006</t>
        </is>
      </c>
      <c r="C15" s="20" t="inlineStr">
        <is>
          <t>Aditya Sultonul Ulya</t>
        </is>
      </c>
      <c r="D15" s="19" t="n">
        <v>3</v>
      </c>
      <c r="E15" s="21" t="n"/>
      <c r="F15" s="21" t="n"/>
      <c r="G15" s="21" t="n"/>
      <c r="H15" s="22">
        <f>IF(COUNTA(E15,F15,G15)=0,"",E15+F15+G15)</f>
        <v/>
      </c>
      <c r="I15" s="23" t="n"/>
      <c r="J15" s="23" t="n"/>
      <c r="K15" s="23" t="n"/>
      <c r="L15" s="24">
        <f>IF(COUNTA(I15,J15,K15)=0,"",I15+J15+K15)</f>
        <v/>
      </c>
      <c r="M15" s="25" t="n"/>
      <c r="N15" s="25" t="n"/>
      <c r="O15" s="25" t="n"/>
      <c r="P15" s="26">
        <f>IF(COUNTA(M15,N15,O15)=0,"",M15+N15+O15)</f>
        <v/>
      </c>
      <c r="Q15" s="27" t="n"/>
      <c r="R15" s="27" t="n"/>
      <c r="S15" s="27" t="n"/>
      <c r="T15" s="28">
        <f>IF(COUNTA(Q15,R15,S15)=0,"",Q15+R15+S15)</f>
        <v/>
      </c>
      <c r="U15" s="29" t="n"/>
      <c r="V15" s="29" t="n"/>
      <c r="W15" s="29" t="n"/>
      <c r="X15" s="30">
        <f>IF(COUNTA(U15,V15,W15)=0,"",U15+V15+W15)</f>
        <v/>
      </c>
      <c r="Y15" s="31" t="n"/>
      <c r="Z15" s="31" t="n"/>
      <c r="AA15" s="31" t="n"/>
      <c r="AB15" s="32">
        <f>IF(COUNTA(Y15,Z15,AA15)=0,"",Y15+Z15+AA15)</f>
        <v/>
      </c>
      <c r="AC15" s="33">
        <f>IF(COUNTA(H15,L15,P15,T15,X15,AB15)=0,"",H15+L15+P15+T15+X15+AB15)</f>
        <v/>
      </c>
      <c r="AD15" s="33">
        <f>IF(AC15="","",IF(AC15&gt;=85,"A",IF(AC15&gt;=75,"AB",IF(AC15&gt;=65,"B",IF(AC15&gt;=55,"BC",IF(AC15&gt;=45,"C",IF(AC15&gt;=35,"CD",IF(AC15&gt;=25,"D","E"))))))))</f>
        <v/>
      </c>
      <c r="AE15" s="34" t="inlineStr"/>
    </row>
    <row r="16" ht="18" customHeight="1">
      <c r="A16" s="35" t="n">
        <v>13</v>
      </c>
      <c r="B16" s="35" t="inlineStr">
        <is>
          <t>24060124130115</t>
        </is>
      </c>
      <c r="C16" s="36" t="inlineStr">
        <is>
          <t>Rafif Setya Imaduddin</t>
        </is>
      </c>
      <c r="D16" s="35" t="n">
        <v>4</v>
      </c>
      <c r="E16" s="21" t="n"/>
      <c r="F16" s="21" t="n"/>
      <c r="G16" s="21" t="n"/>
      <c r="H16" s="22">
        <f>IF(COUNTA(E16,F16,G16)=0,"",E16+F16+G16)</f>
        <v/>
      </c>
      <c r="I16" s="23" t="n"/>
      <c r="J16" s="23" t="n"/>
      <c r="K16" s="23" t="n"/>
      <c r="L16" s="24">
        <f>IF(COUNTA(I16,J16,K16)=0,"",I16+J16+K16)</f>
        <v/>
      </c>
      <c r="M16" s="25" t="n"/>
      <c r="N16" s="25" t="n"/>
      <c r="O16" s="25" t="n"/>
      <c r="P16" s="26">
        <f>IF(COUNTA(M16,N16,O16)=0,"",M16+N16+O16)</f>
        <v/>
      </c>
      <c r="Q16" s="27" t="n"/>
      <c r="R16" s="27" t="n"/>
      <c r="S16" s="27" t="n"/>
      <c r="T16" s="28">
        <f>IF(COUNTA(Q16,R16,S16)=0,"",Q16+R16+S16)</f>
        <v/>
      </c>
      <c r="U16" s="29" t="n"/>
      <c r="V16" s="29" t="n"/>
      <c r="W16" s="29" t="n"/>
      <c r="X16" s="30">
        <f>IF(COUNTA(U16,V16,W16)=0,"",U16+V16+W16)</f>
        <v/>
      </c>
      <c r="Y16" s="31" t="n"/>
      <c r="Z16" s="31" t="n"/>
      <c r="AA16" s="31" t="n"/>
      <c r="AB16" s="32">
        <f>IF(COUNTA(Y16,Z16,AA16)=0,"",Y16+Z16+AA16)</f>
        <v/>
      </c>
      <c r="AC16" s="33">
        <f>IF(COUNTA(H16,L16,P16,T16,X16,AB16)=0,"",H16+L16+P16+T16+X16+AB16)</f>
        <v/>
      </c>
      <c r="AD16" s="33">
        <f>IF(AC16="","",IF(AC16&gt;=85,"A",IF(AC16&gt;=75,"AB",IF(AC16&gt;=65,"B",IF(AC16&gt;=55,"BC",IF(AC16&gt;=45,"C",IF(AC16&gt;=35,"CD",IF(AC16&gt;=25,"D","E"))))))))</f>
        <v/>
      </c>
      <c r="AE16" s="37" t="inlineStr"/>
    </row>
    <row r="17" ht="18" customHeight="1">
      <c r="A17" s="35" t="n">
        <v>14</v>
      </c>
      <c r="B17" s="35" t="inlineStr">
        <is>
          <t>24060124140124</t>
        </is>
      </c>
      <c r="C17" s="36" t="inlineStr">
        <is>
          <t>Aqiatillah Rezi Zhafran</t>
        </is>
      </c>
      <c r="D17" s="35" t="n">
        <v>4</v>
      </c>
      <c r="E17" s="21" t="n"/>
      <c r="F17" s="21" t="n"/>
      <c r="G17" s="21" t="n"/>
      <c r="H17" s="22">
        <f>IF(COUNTA(E17,F17,G17)=0,"",E17+F17+G17)</f>
        <v/>
      </c>
      <c r="I17" s="23" t="n"/>
      <c r="J17" s="23" t="n"/>
      <c r="K17" s="23" t="n"/>
      <c r="L17" s="24">
        <f>IF(COUNTA(I17,J17,K17)=0,"",I17+J17+K17)</f>
        <v/>
      </c>
      <c r="M17" s="25" t="n"/>
      <c r="N17" s="25" t="n"/>
      <c r="O17" s="25" t="n"/>
      <c r="P17" s="26">
        <f>IF(COUNTA(M17,N17,O17)=0,"",M17+N17+O17)</f>
        <v/>
      </c>
      <c r="Q17" s="27" t="n"/>
      <c r="R17" s="27" t="n"/>
      <c r="S17" s="27" t="n"/>
      <c r="T17" s="28">
        <f>IF(COUNTA(Q17,R17,S17)=0,"",Q17+R17+S17)</f>
        <v/>
      </c>
      <c r="U17" s="29" t="n"/>
      <c r="V17" s="29" t="n"/>
      <c r="W17" s="29" t="n"/>
      <c r="X17" s="30">
        <f>IF(COUNTA(U17,V17,W17)=0,"",U17+V17+W17)</f>
        <v/>
      </c>
      <c r="Y17" s="31" t="n"/>
      <c r="Z17" s="31" t="n"/>
      <c r="AA17" s="31" t="n"/>
      <c r="AB17" s="32">
        <f>IF(COUNTA(Y17,Z17,AA17)=0,"",Y17+Z17+AA17)</f>
        <v/>
      </c>
      <c r="AC17" s="33">
        <f>IF(COUNTA(H17,L17,P17,T17,X17,AB17)=0,"",H17+L17+P17+T17+X17+AB17)</f>
        <v/>
      </c>
      <c r="AD17" s="33">
        <f>IF(AC17="","",IF(AC17&gt;=85,"A",IF(AC17&gt;=75,"AB",IF(AC17&gt;=65,"B",IF(AC17&gt;=55,"BC",IF(AC17&gt;=45,"C",IF(AC17&gt;=35,"CD",IF(AC17&gt;=25,"D","E"))))))))</f>
        <v/>
      </c>
      <c r="AE17" s="37" t="inlineStr"/>
    </row>
    <row r="18" ht="18" customHeight="1">
      <c r="A18" s="35" t="n">
        <v>15</v>
      </c>
      <c r="B18" s="35" t="inlineStr">
        <is>
          <t>24060124120020</t>
        </is>
      </c>
      <c r="C18" s="36" t="inlineStr">
        <is>
          <t>Raffi Arditama</t>
        </is>
      </c>
      <c r="D18" s="35" t="n">
        <v>4</v>
      </c>
      <c r="E18" s="21" t="n"/>
      <c r="F18" s="21" t="n"/>
      <c r="G18" s="21" t="n"/>
      <c r="H18" s="22">
        <f>IF(COUNTA(E18,F18,G18)=0,"",E18+F18+G18)</f>
        <v/>
      </c>
      <c r="I18" s="23" t="n"/>
      <c r="J18" s="23" t="n"/>
      <c r="K18" s="23" t="n"/>
      <c r="L18" s="24">
        <f>IF(COUNTA(I18,J18,K18)=0,"",I18+J18+K18)</f>
        <v/>
      </c>
      <c r="M18" s="25" t="n"/>
      <c r="N18" s="25" t="n"/>
      <c r="O18" s="25" t="n"/>
      <c r="P18" s="26">
        <f>IF(COUNTA(M18,N18,O18)=0,"",M18+N18+O18)</f>
        <v/>
      </c>
      <c r="Q18" s="27" t="n"/>
      <c r="R18" s="27" t="n"/>
      <c r="S18" s="27" t="n"/>
      <c r="T18" s="28">
        <f>IF(COUNTA(Q18,R18,S18)=0,"",Q18+R18+S18)</f>
        <v/>
      </c>
      <c r="U18" s="29" t="n"/>
      <c r="V18" s="29" t="n"/>
      <c r="W18" s="29" t="n"/>
      <c r="X18" s="30">
        <f>IF(COUNTA(U18,V18,W18)=0,"",U18+V18+W18)</f>
        <v/>
      </c>
      <c r="Y18" s="31" t="n"/>
      <c r="Z18" s="31" t="n"/>
      <c r="AA18" s="31" t="n"/>
      <c r="AB18" s="32">
        <f>IF(COUNTA(Y18,Z18,AA18)=0,"",Y18+Z18+AA18)</f>
        <v/>
      </c>
      <c r="AC18" s="33">
        <f>IF(COUNTA(H18,L18,P18,T18,X18,AB18)=0,"",H18+L18+P18+T18+X18+AB18)</f>
        <v/>
      </c>
      <c r="AD18" s="33">
        <f>IF(AC18="","",IF(AC18&gt;=85,"A",IF(AC18&gt;=75,"AB",IF(AC18&gt;=65,"B",IF(AC18&gt;=55,"BC",IF(AC18&gt;=45,"C",IF(AC18&gt;=35,"CD",IF(AC18&gt;=25,"D","E"))))))))</f>
        <v/>
      </c>
      <c r="AE18" s="37" t="inlineStr"/>
    </row>
    <row r="19" ht="18" customHeight="1">
      <c r="A19" s="35" t="n">
        <v>16</v>
      </c>
      <c r="B19" s="35" t="inlineStr">
        <is>
          <t>24060124140166</t>
        </is>
      </c>
      <c r="C19" s="36" t="inlineStr">
        <is>
          <t>Muhammad Farhan Abdul Azis</t>
        </is>
      </c>
      <c r="D19" s="35" t="n">
        <v>4</v>
      </c>
      <c r="E19" s="21" t="n"/>
      <c r="F19" s="21" t="n"/>
      <c r="G19" s="21" t="n"/>
      <c r="H19" s="22">
        <f>IF(COUNTA(E19,F19,G19)=0,"",E19+F19+G19)</f>
        <v/>
      </c>
      <c r="I19" s="23" t="n"/>
      <c r="J19" s="23" t="n"/>
      <c r="K19" s="23" t="n"/>
      <c r="L19" s="24">
        <f>IF(COUNTA(I19,J19,K19)=0,"",I19+J19+K19)</f>
        <v/>
      </c>
      <c r="M19" s="25" t="n"/>
      <c r="N19" s="25" t="n"/>
      <c r="O19" s="25" t="n"/>
      <c r="P19" s="26">
        <f>IF(COUNTA(M19,N19,O19)=0,"",M19+N19+O19)</f>
        <v/>
      </c>
      <c r="Q19" s="27" t="n"/>
      <c r="R19" s="27" t="n"/>
      <c r="S19" s="27" t="n"/>
      <c r="T19" s="28">
        <f>IF(COUNTA(Q19,R19,S19)=0,"",Q19+R19+S19)</f>
        <v/>
      </c>
      <c r="U19" s="29" t="n"/>
      <c r="V19" s="29" t="n"/>
      <c r="W19" s="29" t="n"/>
      <c r="X19" s="30">
        <f>IF(COUNTA(U19,V19,W19)=0,"",U19+V19+W19)</f>
        <v/>
      </c>
      <c r="Y19" s="31" t="n"/>
      <c r="Z19" s="31" t="n"/>
      <c r="AA19" s="31" t="n"/>
      <c r="AB19" s="32">
        <f>IF(COUNTA(Y19,Z19,AA19)=0,"",Y19+Z19+AA19)</f>
        <v/>
      </c>
      <c r="AC19" s="33">
        <f>IF(COUNTA(H19,L19,P19,T19,X19,AB19)=0,"",H19+L19+P19+T19+X19+AB19)</f>
        <v/>
      </c>
      <c r="AD19" s="33">
        <f>IF(AC19="","",IF(AC19&gt;=85,"A",IF(AC19&gt;=75,"AB",IF(AC19&gt;=65,"B",IF(AC19&gt;=55,"BC",IF(AC19&gt;=45,"C",IF(AC19&gt;=35,"CD",IF(AC19&gt;=25,"D","E"))))))))</f>
        <v/>
      </c>
      <c r="AE19" s="37" t="inlineStr"/>
    </row>
    <row r="20" ht="18" customHeight="1">
      <c r="A20" s="19" t="n">
        <v>17</v>
      </c>
      <c r="B20" s="19" t="inlineStr">
        <is>
          <t>24060124120026</t>
        </is>
      </c>
      <c r="C20" s="20" t="inlineStr">
        <is>
          <t>Gregorius Septiano Ariadi</t>
        </is>
      </c>
      <c r="D20" s="19" t="n">
        <v>5</v>
      </c>
      <c r="E20" s="21" t="n"/>
      <c r="F20" s="21" t="n"/>
      <c r="G20" s="21" t="n"/>
      <c r="H20" s="22">
        <f>IF(COUNTA(E20,F20,G20)=0,"",E20+F20+G20)</f>
        <v/>
      </c>
      <c r="I20" s="23" t="n"/>
      <c r="J20" s="23" t="n"/>
      <c r="K20" s="23" t="n"/>
      <c r="L20" s="24">
        <f>IF(COUNTA(I20,J20,K20)=0,"",I20+J20+K20)</f>
        <v/>
      </c>
      <c r="M20" s="25" t="n"/>
      <c r="N20" s="25" t="n"/>
      <c r="O20" s="25" t="n"/>
      <c r="P20" s="26">
        <f>IF(COUNTA(M20,N20,O20)=0,"",M20+N20+O20)</f>
        <v/>
      </c>
      <c r="Q20" s="27" t="n"/>
      <c r="R20" s="27" t="n"/>
      <c r="S20" s="27" t="n"/>
      <c r="T20" s="28">
        <f>IF(COUNTA(Q20,R20,S20)=0,"",Q20+R20+S20)</f>
        <v/>
      </c>
      <c r="U20" s="29" t="n"/>
      <c r="V20" s="29" t="n"/>
      <c r="W20" s="29" t="n"/>
      <c r="X20" s="30">
        <f>IF(COUNTA(U20,V20,W20)=0,"",U20+V20+W20)</f>
        <v/>
      </c>
      <c r="Y20" s="31" t="n"/>
      <c r="Z20" s="31" t="n"/>
      <c r="AA20" s="31" t="n"/>
      <c r="AB20" s="32">
        <f>IF(COUNTA(Y20,Z20,AA20)=0,"",Y20+Z20+AA20)</f>
        <v/>
      </c>
      <c r="AC20" s="33">
        <f>IF(COUNTA(H20,L20,P20,T20,X20,AB20)=0,"",H20+L20+P20+T20+X20+AB20)</f>
        <v/>
      </c>
      <c r="AD20" s="33">
        <f>IF(AC20="","",IF(AC20&gt;=85,"A",IF(AC20&gt;=75,"AB",IF(AC20&gt;=65,"B",IF(AC20&gt;=55,"BC",IF(AC20&gt;=45,"C",IF(AC20&gt;=35,"CD",IF(AC20&gt;=25,"D","E"))))))))</f>
        <v/>
      </c>
      <c r="AE20" s="34" t="inlineStr"/>
    </row>
    <row r="21" ht="18" customHeight="1">
      <c r="A21" s="19" t="n">
        <v>18</v>
      </c>
      <c r="B21" s="19" t="inlineStr">
        <is>
          <t>24060124120010</t>
        </is>
      </c>
      <c r="C21" s="20" t="inlineStr">
        <is>
          <t>Dhimas Reza Nafi Wahyudi</t>
        </is>
      </c>
      <c r="D21" s="19" t="n">
        <v>5</v>
      </c>
      <c r="E21" s="21" t="n"/>
      <c r="F21" s="21" t="n"/>
      <c r="G21" s="21" t="n"/>
      <c r="H21" s="22">
        <f>IF(COUNTA(E21,F21,G21)=0,"",E21+F21+G21)</f>
        <v/>
      </c>
      <c r="I21" s="23" t="n"/>
      <c r="J21" s="23" t="n"/>
      <c r="K21" s="23" t="n"/>
      <c r="L21" s="24">
        <f>IF(COUNTA(I21,J21,K21)=0,"",I21+J21+K21)</f>
        <v/>
      </c>
      <c r="M21" s="25" t="n"/>
      <c r="N21" s="25" t="n"/>
      <c r="O21" s="25" t="n"/>
      <c r="P21" s="26">
        <f>IF(COUNTA(M21,N21,O21)=0,"",M21+N21+O21)</f>
        <v/>
      </c>
      <c r="Q21" s="27" t="n"/>
      <c r="R21" s="27" t="n"/>
      <c r="S21" s="27" t="n"/>
      <c r="T21" s="28">
        <f>IF(COUNTA(Q21,R21,S21)=0,"",Q21+R21+S21)</f>
        <v/>
      </c>
      <c r="U21" s="29" t="n"/>
      <c r="V21" s="29" t="n"/>
      <c r="W21" s="29" t="n"/>
      <c r="X21" s="30">
        <f>IF(COUNTA(U21,V21,W21)=0,"",U21+V21+W21)</f>
        <v/>
      </c>
      <c r="Y21" s="31" t="n"/>
      <c r="Z21" s="31" t="n"/>
      <c r="AA21" s="31" t="n"/>
      <c r="AB21" s="32">
        <f>IF(COUNTA(Y21,Z21,AA21)=0,"",Y21+Z21+AA21)</f>
        <v/>
      </c>
      <c r="AC21" s="33">
        <f>IF(COUNTA(H21,L21,P21,T21,X21,AB21)=0,"",H21+L21+P21+T21+X21+AB21)</f>
        <v/>
      </c>
      <c r="AD21" s="33">
        <f>IF(AC21="","",IF(AC21&gt;=85,"A",IF(AC21&gt;=75,"AB",IF(AC21&gt;=65,"B",IF(AC21&gt;=55,"BC",IF(AC21&gt;=45,"C",IF(AC21&gt;=35,"CD",IF(AC21&gt;=25,"D","E"))))))))</f>
        <v/>
      </c>
      <c r="AE21" s="34" t="inlineStr"/>
    </row>
    <row r="22" ht="18" customHeight="1">
      <c r="A22" s="19" t="n">
        <v>19</v>
      </c>
      <c r="B22" s="19" t="inlineStr">
        <is>
          <t>24060124140169</t>
        </is>
      </c>
      <c r="C22" s="20" t="inlineStr">
        <is>
          <t>Fadhil Yaafi Widodo</t>
        </is>
      </c>
      <c r="D22" s="19" t="n">
        <v>5</v>
      </c>
      <c r="E22" s="21" t="n"/>
      <c r="F22" s="21" t="n"/>
      <c r="G22" s="21" t="n"/>
      <c r="H22" s="22">
        <f>IF(COUNTA(E22,F22,G22)=0,"",E22+F22+G22)</f>
        <v/>
      </c>
      <c r="I22" s="23" t="n"/>
      <c r="J22" s="23" t="n"/>
      <c r="K22" s="23" t="n"/>
      <c r="L22" s="24">
        <f>IF(COUNTA(I22,J22,K22)=0,"",I22+J22+K22)</f>
        <v/>
      </c>
      <c r="M22" s="25" t="n"/>
      <c r="N22" s="25" t="n"/>
      <c r="O22" s="25" t="n"/>
      <c r="P22" s="26">
        <f>IF(COUNTA(M22,N22,O22)=0,"",M22+N22+O22)</f>
        <v/>
      </c>
      <c r="Q22" s="27" t="n"/>
      <c r="R22" s="27" t="n"/>
      <c r="S22" s="27" t="n"/>
      <c r="T22" s="28">
        <f>IF(COUNTA(Q22,R22,S22)=0,"",Q22+R22+S22)</f>
        <v/>
      </c>
      <c r="U22" s="29" t="n"/>
      <c r="V22" s="29" t="n"/>
      <c r="W22" s="29" t="n"/>
      <c r="X22" s="30">
        <f>IF(COUNTA(U22,V22,W22)=0,"",U22+V22+W22)</f>
        <v/>
      </c>
      <c r="Y22" s="31" t="n"/>
      <c r="Z22" s="31" t="n"/>
      <c r="AA22" s="31" t="n"/>
      <c r="AB22" s="32">
        <f>IF(COUNTA(Y22,Z22,AA22)=0,"",Y22+Z22+AA22)</f>
        <v/>
      </c>
      <c r="AC22" s="33">
        <f>IF(COUNTA(H22,L22,P22,T22,X22,AB22)=0,"",H22+L22+P22+T22+X22+AB22)</f>
        <v/>
      </c>
      <c r="AD22" s="33">
        <f>IF(AC22="","",IF(AC22&gt;=85,"A",IF(AC22&gt;=75,"AB",IF(AC22&gt;=65,"B",IF(AC22&gt;=55,"BC",IF(AC22&gt;=45,"C",IF(AC22&gt;=35,"CD",IF(AC22&gt;=25,"D","E"))))))))</f>
        <v/>
      </c>
      <c r="AE22" s="34" t="inlineStr"/>
    </row>
    <row r="23" ht="18" customHeight="1">
      <c r="A23" s="19" t="n">
        <v>20</v>
      </c>
      <c r="B23" s="19" t="inlineStr">
        <is>
          <t>24060124140137</t>
        </is>
      </c>
      <c r="C23" s="20" t="inlineStr">
        <is>
          <t>Farhan Dwiyan Akbar</t>
        </is>
      </c>
      <c r="D23" s="19" t="n">
        <v>5</v>
      </c>
      <c r="E23" s="21" t="n"/>
      <c r="F23" s="21" t="n"/>
      <c r="G23" s="21" t="n"/>
      <c r="H23" s="22">
        <f>IF(COUNTA(E23,F23,G23)=0,"",E23+F23+G23)</f>
        <v/>
      </c>
      <c r="I23" s="23" t="n"/>
      <c r="J23" s="23" t="n"/>
      <c r="K23" s="23" t="n"/>
      <c r="L23" s="24">
        <f>IF(COUNTA(I23,J23,K23)=0,"",I23+J23+K23)</f>
        <v/>
      </c>
      <c r="M23" s="25" t="n"/>
      <c r="N23" s="25" t="n"/>
      <c r="O23" s="25" t="n"/>
      <c r="P23" s="26">
        <f>IF(COUNTA(M23,N23,O23)=0,"",M23+N23+O23)</f>
        <v/>
      </c>
      <c r="Q23" s="27" t="n"/>
      <c r="R23" s="27" t="n"/>
      <c r="S23" s="27" t="n"/>
      <c r="T23" s="28">
        <f>IF(COUNTA(Q23,R23,S23)=0,"",Q23+R23+S23)</f>
        <v/>
      </c>
      <c r="U23" s="29" t="n"/>
      <c r="V23" s="29" t="n"/>
      <c r="W23" s="29" t="n"/>
      <c r="X23" s="30">
        <f>IF(COUNTA(U23,V23,W23)=0,"",U23+V23+W23)</f>
        <v/>
      </c>
      <c r="Y23" s="31" t="n"/>
      <c r="Z23" s="31" t="n"/>
      <c r="AA23" s="31" t="n"/>
      <c r="AB23" s="32">
        <f>IF(COUNTA(Y23,Z23,AA23)=0,"",Y23+Z23+AA23)</f>
        <v/>
      </c>
      <c r="AC23" s="33">
        <f>IF(COUNTA(H23,L23,P23,T23,X23,AB23)=0,"",H23+L23+P23+T23+X23+AB23)</f>
        <v/>
      </c>
      <c r="AD23" s="33">
        <f>IF(AC23="","",IF(AC23&gt;=85,"A",IF(AC23&gt;=75,"AB",IF(AC23&gt;=65,"B",IF(AC23&gt;=55,"BC",IF(AC23&gt;=45,"C",IF(AC23&gt;=35,"CD",IF(AC23&gt;=25,"D","E"))))))))</f>
        <v/>
      </c>
      <c r="AE23" s="34" t="inlineStr"/>
    </row>
    <row r="24" ht="18" customHeight="1">
      <c r="A24" s="35" t="n">
        <v>21</v>
      </c>
      <c r="B24" s="35" t="inlineStr">
        <is>
          <t>24060124130064</t>
        </is>
      </c>
      <c r="C24" s="36" t="inlineStr">
        <is>
          <t>Anggita Kirana P.</t>
        </is>
      </c>
      <c r="D24" s="35" t="n">
        <v>6</v>
      </c>
      <c r="E24" s="21" t="n"/>
      <c r="F24" s="21" t="n"/>
      <c r="G24" s="21" t="n"/>
      <c r="H24" s="22">
        <f>IF(COUNTA(E24,F24,G24)=0,"",E24+F24+G24)</f>
        <v/>
      </c>
      <c r="I24" s="23" t="n"/>
      <c r="J24" s="23" t="n"/>
      <c r="K24" s="23" t="n"/>
      <c r="L24" s="24">
        <f>IF(COUNTA(I24,J24,K24)=0,"",I24+J24+K24)</f>
        <v/>
      </c>
      <c r="M24" s="25" t="n"/>
      <c r="N24" s="25" t="n"/>
      <c r="O24" s="25" t="n"/>
      <c r="P24" s="26">
        <f>IF(COUNTA(M24,N24,O24)=0,"",M24+N24+O24)</f>
        <v/>
      </c>
      <c r="Q24" s="27" t="n"/>
      <c r="R24" s="27" t="n"/>
      <c r="S24" s="27" t="n"/>
      <c r="T24" s="28">
        <f>IF(COUNTA(Q24,R24,S24)=0,"",Q24+R24+S24)</f>
        <v/>
      </c>
      <c r="U24" s="29" t="n"/>
      <c r="V24" s="29" t="n"/>
      <c r="W24" s="29" t="n"/>
      <c r="X24" s="30">
        <f>IF(COUNTA(U24,V24,W24)=0,"",U24+V24+W24)</f>
        <v/>
      </c>
      <c r="Y24" s="31" t="n"/>
      <c r="Z24" s="31" t="n"/>
      <c r="AA24" s="31" t="n"/>
      <c r="AB24" s="32">
        <f>IF(COUNTA(Y24,Z24,AA24)=0,"",Y24+Z24+AA24)</f>
        <v/>
      </c>
      <c r="AC24" s="33">
        <f>IF(COUNTA(H24,L24,P24,T24,X24,AB24)=0,"",H24+L24+P24+T24+X24+AB24)</f>
        <v/>
      </c>
      <c r="AD24" s="33">
        <f>IF(AC24="","",IF(AC24&gt;=85,"A",IF(AC24&gt;=75,"AB",IF(AC24&gt;=65,"B",IF(AC24&gt;=55,"BC",IF(AC24&gt;=45,"C",IF(AC24&gt;=35,"CD",IF(AC24&gt;=25,"D","E"))))))))</f>
        <v/>
      </c>
      <c r="AE24" s="37" t="inlineStr"/>
    </row>
    <row r="25" ht="18" customHeight="1">
      <c r="A25" s="35" t="n">
        <v>22</v>
      </c>
      <c r="B25" s="35" t="inlineStr">
        <is>
          <t>24060124140125</t>
        </is>
      </c>
      <c r="C25" s="36" t="inlineStr">
        <is>
          <t>Varissa Nabila Kifli</t>
        </is>
      </c>
      <c r="D25" s="35" t="n">
        <v>6</v>
      </c>
      <c r="E25" s="21" t="n"/>
      <c r="F25" s="21" t="n"/>
      <c r="G25" s="21" t="n"/>
      <c r="H25" s="22">
        <f>IF(COUNTA(E25,F25,G25)=0,"",E25+F25+G25)</f>
        <v/>
      </c>
      <c r="I25" s="23" t="n"/>
      <c r="J25" s="23" t="n"/>
      <c r="K25" s="23" t="n"/>
      <c r="L25" s="24">
        <f>IF(COUNTA(I25,J25,K25)=0,"",I25+J25+K25)</f>
        <v/>
      </c>
      <c r="M25" s="25" t="n"/>
      <c r="N25" s="25" t="n"/>
      <c r="O25" s="25" t="n"/>
      <c r="P25" s="26">
        <f>IF(COUNTA(M25,N25,O25)=0,"",M25+N25+O25)</f>
        <v/>
      </c>
      <c r="Q25" s="27" t="n"/>
      <c r="R25" s="27" t="n"/>
      <c r="S25" s="27" t="n"/>
      <c r="T25" s="28">
        <f>IF(COUNTA(Q25,R25,S25)=0,"",Q25+R25+S25)</f>
        <v/>
      </c>
      <c r="U25" s="29" t="n"/>
      <c r="V25" s="29" t="n"/>
      <c r="W25" s="29" t="n"/>
      <c r="X25" s="30">
        <f>IF(COUNTA(U25,V25,W25)=0,"",U25+V25+W25)</f>
        <v/>
      </c>
      <c r="Y25" s="31" t="n"/>
      <c r="Z25" s="31" t="n"/>
      <c r="AA25" s="31" t="n"/>
      <c r="AB25" s="32">
        <f>IF(COUNTA(Y25,Z25,AA25)=0,"",Y25+Z25+AA25)</f>
        <v/>
      </c>
      <c r="AC25" s="33">
        <f>IF(COUNTA(H25,L25,P25,T25,X25,AB25)=0,"",H25+L25+P25+T25+X25+AB25)</f>
        <v/>
      </c>
      <c r="AD25" s="33">
        <f>IF(AC25="","",IF(AC25&gt;=85,"A",IF(AC25&gt;=75,"AB",IF(AC25&gt;=65,"B",IF(AC25&gt;=55,"BC",IF(AC25&gt;=45,"C",IF(AC25&gt;=35,"CD",IF(AC25&gt;=25,"D","E"))))))))</f>
        <v/>
      </c>
      <c r="AE25" s="37" t="inlineStr"/>
    </row>
    <row r="26" ht="18" customHeight="1">
      <c r="A26" s="35" t="n">
        <v>23</v>
      </c>
      <c r="B26" s="35" t="inlineStr">
        <is>
          <t>24060124140204</t>
        </is>
      </c>
      <c r="C26" s="36" t="inlineStr">
        <is>
          <t>Adelia Clearesta</t>
        </is>
      </c>
      <c r="D26" s="35" t="n">
        <v>6</v>
      </c>
      <c r="E26" s="21" t="n"/>
      <c r="F26" s="21" t="n"/>
      <c r="G26" s="21" t="n"/>
      <c r="H26" s="22">
        <f>IF(COUNTA(E26,F26,G26)=0,"",E26+F26+G26)</f>
        <v/>
      </c>
      <c r="I26" s="23" t="n"/>
      <c r="J26" s="23" t="n"/>
      <c r="K26" s="23" t="n"/>
      <c r="L26" s="24">
        <f>IF(COUNTA(I26,J26,K26)=0,"",I26+J26+K26)</f>
        <v/>
      </c>
      <c r="M26" s="25" t="n"/>
      <c r="N26" s="25" t="n"/>
      <c r="O26" s="25" t="n"/>
      <c r="P26" s="26">
        <f>IF(COUNTA(M26,N26,O26)=0,"",M26+N26+O26)</f>
        <v/>
      </c>
      <c r="Q26" s="27" t="n"/>
      <c r="R26" s="27" t="n"/>
      <c r="S26" s="27" t="n"/>
      <c r="T26" s="28">
        <f>IF(COUNTA(Q26,R26,S26)=0,"",Q26+R26+S26)</f>
        <v/>
      </c>
      <c r="U26" s="29" t="n"/>
      <c r="V26" s="29" t="n"/>
      <c r="W26" s="29" t="n"/>
      <c r="X26" s="30">
        <f>IF(COUNTA(U26,V26,W26)=0,"",U26+V26+W26)</f>
        <v/>
      </c>
      <c r="Y26" s="31" t="n"/>
      <c r="Z26" s="31" t="n"/>
      <c r="AA26" s="31" t="n"/>
      <c r="AB26" s="32">
        <f>IF(COUNTA(Y26,Z26,AA26)=0,"",Y26+Z26+AA26)</f>
        <v/>
      </c>
      <c r="AC26" s="33">
        <f>IF(COUNTA(H26,L26,P26,T26,X26,AB26)=0,"",H26+L26+P26+T26+X26+AB26)</f>
        <v/>
      </c>
      <c r="AD26" s="33">
        <f>IF(AC26="","",IF(AC26&gt;=85,"A",IF(AC26&gt;=75,"AB",IF(AC26&gt;=65,"B",IF(AC26&gt;=55,"BC",IF(AC26&gt;=45,"C",IF(AC26&gt;=35,"CD",IF(AC26&gt;=25,"D","E"))))))))</f>
        <v/>
      </c>
      <c r="AE26" s="37" t="inlineStr"/>
    </row>
    <row r="27" ht="18" customHeight="1">
      <c r="A27" s="35" t="n">
        <v>24</v>
      </c>
      <c r="B27" s="35" t="inlineStr">
        <is>
          <t>24060124140134</t>
        </is>
      </c>
      <c r="C27" s="36" t="inlineStr">
        <is>
          <t>Wahyu Aji Gumelar Tri Nugroho</t>
        </is>
      </c>
      <c r="D27" s="35" t="n">
        <v>6</v>
      </c>
      <c r="E27" s="21" t="n"/>
      <c r="F27" s="21" t="n"/>
      <c r="G27" s="21" t="n"/>
      <c r="H27" s="22">
        <f>IF(COUNTA(E27,F27,G27)=0,"",E27+F27+G27)</f>
        <v/>
      </c>
      <c r="I27" s="23" t="n"/>
      <c r="J27" s="23" t="n"/>
      <c r="K27" s="23" t="n"/>
      <c r="L27" s="24">
        <f>IF(COUNTA(I27,J27,K27)=0,"",I27+J27+K27)</f>
        <v/>
      </c>
      <c r="M27" s="25" t="n"/>
      <c r="N27" s="25" t="n"/>
      <c r="O27" s="25" t="n"/>
      <c r="P27" s="26">
        <f>IF(COUNTA(M27,N27,O27)=0,"",M27+N27+O27)</f>
        <v/>
      </c>
      <c r="Q27" s="27" t="n"/>
      <c r="R27" s="27" t="n"/>
      <c r="S27" s="27" t="n"/>
      <c r="T27" s="28">
        <f>IF(COUNTA(Q27,R27,S27)=0,"",Q27+R27+S27)</f>
        <v/>
      </c>
      <c r="U27" s="29" t="n"/>
      <c r="V27" s="29" t="n"/>
      <c r="W27" s="29" t="n"/>
      <c r="X27" s="30">
        <f>IF(COUNTA(U27,V27,W27)=0,"",U27+V27+W27)</f>
        <v/>
      </c>
      <c r="Y27" s="31" t="n"/>
      <c r="Z27" s="31" t="n"/>
      <c r="AA27" s="31" t="n"/>
      <c r="AB27" s="32">
        <f>IF(COUNTA(Y27,Z27,AA27)=0,"",Y27+Z27+AA27)</f>
        <v/>
      </c>
      <c r="AC27" s="33">
        <f>IF(COUNTA(H27,L27,P27,T27,X27,AB27)=0,"",H27+L27+P27+T27+X27+AB27)</f>
        <v/>
      </c>
      <c r="AD27" s="33">
        <f>IF(AC27="","",IF(AC27&gt;=85,"A",IF(AC27&gt;=75,"AB",IF(AC27&gt;=65,"B",IF(AC27&gt;=55,"BC",IF(AC27&gt;=45,"C",IF(AC27&gt;=35,"CD",IF(AC27&gt;=25,"D","E"))))))))</f>
        <v/>
      </c>
      <c r="AE27" s="37" t="inlineStr"/>
    </row>
    <row r="28" ht="18" customHeight="1">
      <c r="A28" s="19" t="n">
        <v>25</v>
      </c>
      <c r="B28" s="19" t="inlineStr">
        <is>
          <t>24060124120019</t>
        </is>
      </c>
      <c r="C28" s="20" t="inlineStr">
        <is>
          <t>Nadia Azura Nurhaniya</t>
        </is>
      </c>
      <c r="D28" s="19" t="n">
        <v>7</v>
      </c>
      <c r="E28" s="21" t="n"/>
      <c r="F28" s="21" t="n"/>
      <c r="G28" s="21" t="n"/>
      <c r="H28" s="22">
        <f>IF(COUNTA(E28,F28,G28)=0,"",E28+F28+G28)</f>
        <v/>
      </c>
      <c r="I28" s="23" t="n"/>
      <c r="J28" s="23" t="n"/>
      <c r="K28" s="23" t="n"/>
      <c r="L28" s="24">
        <f>IF(COUNTA(I28,J28,K28)=0,"",I28+J28+K28)</f>
        <v/>
      </c>
      <c r="M28" s="25" t="n"/>
      <c r="N28" s="25" t="n"/>
      <c r="O28" s="25" t="n"/>
      <c r="P28" s="26">
        <f>IF(COUNTA(M28,N28,O28)=0,"",M28+N28+O28)</f>
        <v/>
      </c>
      <c r="Q28" s="27" t="n"/>
      <c r="R28" s="27" t="n"/>
      <c r="S28" s="27" t="n"/>
      <c r="T28" s="28">
        <f>IF(COUNTA(Q28,R28,S28)=0,"",Q28+R28+S28)</f>
        <v/>
      </c>
      <c r="U28" s="29" t="n"/>
      <c r="V28" s="29" t="n"/>
      <c r="W28" s="29" t="n"/>
      <c r="X28" s="30">
        <f>IF(COUNTA(U28,V28,W28)=0,"",U28+V28+W28)</f>
        <v/>
      </c>
      <c r="Y28" s="31" t="n"/>
      <c r="Z28" s="31" t="n"/>
      <c r="AA28" s="31" t="n"/>
      <c r="AB28" s="32">
        <f>IF(COUNTA(Y28,Z28,AA28)=0,"",Y28+Z28+AA28)</f>
        <v/>
      </c>
      <c r="AC28" s="33">
        <f>IF(COUNTA(H28,L28,P28,T28,X28,AB28)=0,"",H28+L28+P28+T28+X28+AB28)</f>
        <v/>
      </c>
      <c r="AD28" s="33">
        <f>IF(AC28="","",IF(AC28&gt;=85,"A",IF(AC28&gt;=75,"AB",IF(AC28&gt;=65,"B",IF(AC28&gt;=55,"BC",IF(AC28&gt;=45,"C",IF(AC28&gt;=35,"CD",IF(AC28&gt;=25,"D","E"))))))))</f>
        <v/>
      </c>
      <c r="AE28" s="34" t="inlineStr"/>
    </row>
    <row r="29" ht="18" customHeight="1">
      <c r="A29" s="19" t="n">
        <v>26</v>
      </c>
      <c r="B29" s="19" t="inlineStr">
        <is>
          <t>24060124120013</t>
        </is>
      </c>
      <c r="C29" s="20" t="inlineStr">
        <is>
          <t>Muhamad Kemal Faza</t>
        </is>
      </c>
      <c r="D29" s="19" t="n">
        <v>7</v>
      </c>
      <c r="E29" s="21" t="n"/>
      <c r="F29" s="21" t="n"/>
      <c r="G29" s="21" t="n"/>
      <c r="H29" s="22">
        <f>IF(COUNTA(E29,F29,G29)=0,"",E29+F29+G29)</f>
        <v/>
      </c>
      <c r="I29" s="23" t="n"/>
      <c r="J29" s="23" t="n"/>
      <c r="K29" s="23" t="n"/>
      <c r="L29" s="24">
        <f>IF(COUNTA(I29,J29,K29)=0,"",I29+J29+K29)</f>
        <v/>
      </c>
      <c r="M29" s="25" t="n"/>
      <c r="N29" s="25" t="n"/>
      <c r="O29" s="25" t="n"/>
      <c r="P29" s="26">
        <f>IF(COUNTA(M29,N29,O29)=0,"",M29+N29+O29)</f>
        <v/>
      </c>
      <c r="Q29" s="27" t="n"/>
      <c r="R29" s="27" t="n"/>
      <c r="S29" s="27" t="n"/>
      <c r="T29" s="28">
        <f>IF(COUNTA(Q29,R29,S29)=0,"",Q29+R29+S29)</f>
        <v/>
      </c>
      <c r="U29" s="29" t="n"/>
      <c r="V29" s="29" t="n"/>
      <c r="W29" s="29" t="n"/>
      <c r="X29" s="30">
        <f>IF(COUNTA(U29,V29,W29)=0,"",U29+V29+W29)</f>
        <v/>
      </c>
      <c r="Y29" s="31" t="n"/>
      <c r="Z29" s="31" t="n"/>
      <c r="AA29" s="31" t="n"/>
      <c r="AB29" s="32">
        <f>IF(COUNTA(Y29,Z29,AA29)=0,"",Y29+Z29+AA29)</f>
        <v/>
      </c>
      <c r="AC29" s="33">
        <f>IF(COUNTA(H29,L29,P29,T29,X29,AB29)=0,"",H29+L29+P29+T29+X29+AB29)</f>
        <v/>
      </c>
      <c r="AD29" s="33">
        <f>IF(AC29="","",IF(AC29&gt;=85,"A",IF(AC29&gt;=75,"AB",IF(AC29&gt;=65,"B",IF(AC29&gt;=55,"BC",IF(AC29&gt;=45,"C",IF(AC29&gt;=35,"CD",IF(AC29&gt;=25,"D","E"))))))))</f>
        <v/>
      </c>
      <c r="AE29" s="34" t="inlineStr"/>
    </row>
    <row r="30" ht="18" customHeight="1">
      <c r="A30" s="19" t="n">
        <v>27</v>
      </c>
      <c r="B30" s="19" t="inlineStr">
        <is>
          <t>24060124110142</t>
        </is>
      </c>
      <c r="C30" s="20" t="inlineStr">
        <is>
          <t>Muchamad Yuda Tri Ananda</t>
        </is>
      </c>
      <c r="D30" s="19" t="n">
        <v>7</v>
      </c>
      <c r="E30" s="21" t="n"/>
      <c r="F30" s="21" t="n"/>
      <c r="G30" s="21" t="n"/>
      <c r="H30" s="22">
        <f>IF(COUNTA(E30,F30,G30)=0,"",E30+F30+G30)</f>
        <v/>
      </c>
      <c r="I30" s="23" t="n"/>
      <c r="J30" s="23" t="n"/>
      <c r="K30" s="23" t="n"/>
      <c r="L30" s="24">
        <f>IF(COUNTA(I30,J30,K30)=0,"",I30+J30+K30)</f>
        <v/>
      </c>
      <c r="M30" s="25" t="n"/>
      <c r="N30" s="25" t="n"/>
      <c r="O30" s="25" t="n"/>
      <c r="P30" s="26">
        <f>IF(COUNTA(M30,N30,O30)=0,"",M30+N30+O30)</f>
        <v/>
      </c>
      <c r="Q30" s="27" t="n"/>
      <c r="R30" s="27" t="n"/>
      <c r="S30" s="27" t="n"/>
      <c r="T30" s="28">
        <f>IF(COUNTA(Q30,R30,S30)=0,"",Q30+R30+S30)</f>
        <v/>
      </c>
      <c r="U30" s="29" t="n"/>
      <c r="V30" s="29" t="n"/>
      <c r="W30" s="29" t="n"/>
      <c r="X30" s="30">
        <f>IF(COUNTA(U30,V30,W30)=0,"",U30+V30+W30)</f>
        <v/>
      </c>
      <c r="Y30" s="31" t="n"/>
      <c r="Z30" s="31" t="n"/>
      <c r="AA30" s="31" t="n"/>
      <c r="AB30" s="32">
        <f>IF(COUNTA(Y30,Z30,AA30)=0,"",Y30+Z30+AA30)</f>
        <v/>
      </c>
      <c r="AC30" s="33">
        <f>IF(COUNTA(H30,L30,P30,T30,X30,AB30)=0,"",H30+L30+P30+T30+X30+AB30)</f>
        <v/>
      </c>
      <c r="AD30" s="33">
        <f>IF(AC30="","",IF(AC30&gt;=85,"A",IF(AC30&gt;=75,"AB",IF(AC30&gt;=65,"B",IF(AC30&gt;=55,"BC",IF(AC30&gt;=45,"C",IF(AC30&gt;=35,"CD",IF(AC30&gt;=25,"D","E"))))))))</f>
        <v/>
      </c>
      <c r="AE30" s="38" t="inlineStr">
        <is>
          <t>Kode 110, konfirmasi program studi</t>
        </is>
      </c>
    </row>
    <row r="31" ht="18" customHeight="1">
      <c r="A31" s="19" t="n">
        <v>28</v>
      </c>
      <c r="B31" s="19" t="inlineStr">
        <is>
          <t>24060124140200</t>
        </is>
      </c>
      <c r="C31" s="20" t="inlineStr">
        <is>
          <t>Muhammad Zaidaan Ardiyansyah</t>
        </is>
      </c>
      <c r="D31" s="19" t="n">
        <v>7</v>
      </c>
      <c r="E31" s="21" t="n"/>
      <c r="F31" s="21" t="n"/>
      <c r="G31" s="21" t="n"/>
      <c r="H31" s="22">
        <f>IF(COUNTA(E31,F31,G31)=0,"",E31+F31+G31)</f>
        <v/>
      </c>
      <c r="I31" s="23" t="n"/>
      <c r="J31" s="23" t="n"/>
      <c r="K31" s="23" t="n"/>
      <c r="L31" s="24">
        <f>IF(COUNTA(I31,J31,K31)=0,"",I31+J31+K31)</f>
        <v/>
      </c>
      <c r="M31" s="25" t="n"/>
      <c r="N31" s="25" t="n"/>
      <c r="O31" s="25" t="n"/>
      <c r="P31" s="26">
        <f>IF(COUNTA(M31,N31,O31)=0,"",M31+N31+O31)</f>
        <v/>
      </c>
      <c r="Q31" s="27" t="n"/>
      <c r="R31" s="27" t="n"/>
      <c r="S31" s="27" t="n"/>
      <c r="T31" s="28">
        <f>IF(COUNTA(Q31,R31,S31)=0,"",Q31+R31+S31)</f>
        <v/>
      </c>
      <c r="U31" s="29" t="n"/>
      <c r="V31" s="29" t="n"/>
      <c r="W31" s="29" t="n"/>
      <c r="X31" s="30">
        <f>IF(COUNTA(U31,V31,W31)=0,"",U31+V31+W31)</f>
        <v/>
      </c>
      <c r="Y31" s="31" t="n"/>
      <c r="Z31" s="31" t="n"/>
      <c r="AA31" s="31" t="n"/>
      <c r="AB31" s="32">
        <f>IF(COUNTA(Y31,Z31,AA31)=0,"",Y31+Z31+AA31)</f>
        <v/>
      </c>
      <c r="AC31" s="33">
        <f>IF(COUNTA(H31,L31,P31,T31,X31,AB31)=0,"",H31+L31+P31+T31+X31+AB31)</f>
        <v/>
      </c>
      <c r="AD31" s="33">
        <f>IF(AC31="","",IF(AC31&gt;=85,"A",IF(AC31&gt;=75,"AB",IF(AC31&gt;=65,"B",IF(AC31&gt;=55,"BC",IF(AC31&gt;=45,"C",IF(AC31&gt;=35,"CD",IF(AC31&gt;=25,"D","E"))))))))</f>
        <v/>
      </c>
      <c r="AE31" s="34" t="inlineStr"/>
    </row>
    <row r="32" ht="18" customHeight="1">
      <c r="A32" s="35" t="n">
        <v>29</v>
      </c>
      <c r="B32" s="35" t="inlineStr">
        <is>
          <t>24060124130086</t>
        </is>
      </c>
      <c r="C32" s="36" t="inlineStr">
        <is>
          <t>Aron Sorimuda Johanes Pasaribu</t>
        </is>
      </c>
      <c r="D32" s="35" t="n">
        <v>8</v>
      </c>
      <c r="E32" s="21" t="n"/>
      <c r="F32" s="21" t="n"/>
      <c r="G32" s="21" t="n"/>
      <c r="H32" s="22">
        <f>IF(COUNTA(E32,F32,G32)=0,"",E32+F32+G32)</f>
        <v/>
      </c>
      <c r="I32" s="23" t="n"/>
      <c r="J32" s="23" t="n"/>
      <c r="K32" s="23" t="n"/>
      <c r="L32" s="24">
        <f>IF(COUNTA(I32,J32,K32)=0,"",I32+J32+K32)</f>
        <v/>
      </c>
      <c r="M32" s="25" t="n"/>
      <c r="N32" s="25" t="n"/>
      <c r="O32" s="25" t="n"/>
      <c r="P32" s="26">
        <f>IF(COUNTA(M32,N32,O32)=0,"",M32+N32+O32)</f>
        <v/>
      </c>
      <c r="Q32" s="27" t="n"/>
      <c r="R32" s="27" t="n"/>
      <c r="S32" s="27" t="n"/>
      <c r="T32" s="28">
        <f>IF(COUNTA(Q32,R32,S32)=0,"",Q32+R32+S32)</f>
        <v/>
      </c>
      <c r="U32" s="29" t="n"/>
      <c r="V32" s="29" t="n"/>
      <c r="W32" s="29" t="n"/>
      <c r="X32" s="30">
        <f>IF(COUNTA(U32,V32,W32)=0,"",U32+V32+W32)</f>
        <v/>
      </c>
      <c r="Y32" s="31" t="n"/>
      <c r="Z32" s="31" t="n"/>
      <c r="AA32" s="31" t="n"/>
      <c r="AB32" s="32">
        <f>IF(COUNTA(Y32,Z32,AA32)=0,"",Y32+Z32+AA32)</f>
        <v/>
      </c>
      <c r="AC32" s="33">
        <f>IF(COUNTA(H32,L32,P32,T32,X32,AB32)=0,"",H32+L32+P32+T32+X32+AB32)</f>
        <v/>
      </c>
      <c r="AD32" s="33">
        <f>IF(AC32="","",IF(AC32&gt;=85,"A",IF(AC32&gt;=75,"AB",IF(AC32&gt;=65,"B",IF(AC32&gt;=55,"BC",IF(AC32&gt;=45,"C",IF(AC32&gt;=35,"CD",IF(AC32&gt;=25,"D","E"))))))))</f>
        <v/>
      </c>
      <c r="AE32" s="37" t="inlineStr"/>
    </row>
    <row r="33" ht="18" customHeight="1">
      <c r="A33" s="35" t="n">
        <v>30</v>
      </c>
      <c r="B33" s="35" t="inlineStr">
        <is>
          <t>24060124130055</t>
        </is>
      </c>
      <c r="C33" s="36" t="inlineStr">
        <is>
          <t>Daffa Maulana Alfianto</t>
        </is>
      </c>
      <c r="D33" s="35" t="n">
        <v>8</v>
      </c>
      <c r="E33" s="21" t="n"/>
      <c r="F33" s="21" t="n"/>
      <c r="G33" s="21" t="n"/>
      <c r="H33" s="22">
        <f>IF(COUNTA(E33,F33,G33)=0,"",E33+F33+G33)</f>
        <v/>
      </c>
      <c r="I33" s="23" t="n"/>
      <c r="J33" s="23" t="n"/>
      <c r="K33" s="23" t="n"/>
      <c r="L33" s="24">
        <f>IF(COUNTA(I33,J33,K33)=0,"",I33+J33+K33)</f>
        <v/>
      </c>
      <c r="M33" s="25" t="n"/>
      <c r="N33" s="25" t="n"/>
      <c r="O33" s="25" t="n"/>
      <c r="P33" s="26">
        <f>IF(COUNTA(M33,N33,O33)=0,"",M33+N33+O33)</f>
        <v/>
      </c>
      <c r="Q33" s="27" t="n"/>
      <c r="R33" s="27" t="n"/>
      <c r="S33" s="27" t="n"/>
      <c r="T33" s="28">
        <f>IF(COUNTA(Q33,R33,S33)=0,"",Q33+R33+S33)</f>
        <v/>
      </c>
      <c r="U33" s="29" t="n"/>
      <c r="V33" s="29" t="n"/>
      <c r="W33" s="29" t="n"/>
      <c r="X33" s="30">
        <f>IF(COUNTA(U33,V33,W33)=0,"",U33+V33+W33)</f>
        <v/>
      </c>
      <c r="Y33" s="31" t="n"/>
      <c r="Z33" s="31" t="n"/>
      <c r="AA33" s="31" t="n"/>
      <c r="AB33" s="32">
        <f>IF(COUNTA(Y33,Z33,AA33)=0,"",Y33+Z33+AA33)</f>
        <v/>
      </c>
      <c r="AC33" s="33">
        <f>IF(COUNTA(H33,L33,P33,T33,X33,AB33)=0,"",H33+L33+P33+T33+X33+AB33)</f>
        <v/>
      </c>
      <c r="AD33" s="33">
        <f>IF(AC33="","",IF(AC33&gt;=85,"A",IF(AC33&gt;=75,"AB",IF(AC33&gt;=65,"B",IF(AC33&gt;=55,"BC",IF(AC33&gt;=45,"C",IF(AC33&gt;=35,"CD",IF(AC33&gt;=25,"D","E"))))))))</f>
        <v/>
      </c>
      <c r="AE33" s="37" t="inlineStr"/>
    </row>
    <row r="34" ht="18" customHeight="1">
      <c r="A34" s="35" t="n">
        <v>31</v>
      </c>
      <c r="B34" s="35" t="inlineStr">
        <is>
          <t>24060124140163</t>
        </is>
      </c>
      <c r="C34" s="36" t="inlineStr">
        <is>
          <t>Djuan Setyo Jati</t>
        </is>
      </c>
      <c r="D34" s="35" t="n">
        <v>8</v>
      </c>
      <c r="E34" s="21" t="n"/>
      <c r="F34" s="21" t="n"/>
      <c r="G34" s="21" t="n"/>
      <c r="H34" s="22">
        <f>IF(COUNTA(E34,F34,G34)=0,"",E34+F34+G34)</f>
        <v/>
      </c>
      <c r="I34" s="23" t="n"/>
      <c r="J34" s="23" t="n"/>
      <c r="K34" s="23" t="n"/>
      <c r="L34" s="24">
        <f>IF(COUNTA(I34,J34,K34)=0,"",I34+J34+K34)</f>
        <v/>
      </c>
      <c r="M34" s="25" t="n"/>
      <c r="N34" s="25" t="n"/>
      <c r="O34" s="25" t="n"/>
      <c r="P34" s="26">
        <f>IF(COUNTA(M34,N34,O34)=0,"",M34+N34+O34)</f>
        <v/>
      </c>
      <c r="Q34" s="27" t="n"/>
      <c r="R34" s="27" t="n"/>
      <c r="S34" s="27" t="n"/>
      <c r="T34" s="28">
        <f>IF(COUNTA(Q34,R34,S34)=0,"",Q34+R34+S34)</f>
        <v/>
      </c>
      <c r="U34" s="29" t="n"/>
      <c r="V34" s="29" t="n"/>
      <c r="W34" s="29" t="n"/>
      <c r="X34" s="30">
        <f>IF(COUNTA(U34,V34,W34)=0,"",U34+V34+W34)</f>
        <v/>
      </c>
      <c r="Y34" s="31" t="n"/>
      <c r="Z34" s="31" t="n"/>
      <c r="AA34" s="31" t="n"/>
      <c r="AB34" s="32">
        <f>IF(COUNTA(Y34,Z34,AA34)=0,"",Y34+Z34+AA34)</f>
        <v/>
      </c>
      <c r="AC34" s="33">
        <f>IF(COUNTA(H34,L34,P34,T34,X34,AB34)=0,"",H34+L34+P34+T34+X34+AB34)</f>
        <v/>
      </c>
      <c r="AD34" s="33">
        <f>IF(AC34="","",IF(AC34&gt;=85,"A",IF(AC34&gt;=75,"AB",IF(AC34&gt;=65,"B",IF(AC34&gt;=55,"BC",IF(AC34&gt;=45,"C",IF(AC34&gt;=35,"CD",IF(AC34&gt;=25,"D","E"))))))))</f>
        <v/>
      </c>
      <c r="AE34" s="37" t="inlineStr"/>
    </row>
    <row r="35" ht="18" customHeight="1">
      <c r="A35" s="35" t="n">
        <v>32</v>
      </c>
      <c r="B35" s="35" t="inlineStr">
        <is>
          <t>24060124130067</t>
        </is>
      </c>
      <c r="C35" s="36" t="inlineStr">
        <is>
          <t>Levi Ramot Siahaan</t>
        </is>
      </c>
      <c r="D35" s="35" t="n">
        <v>8</v>
      </c>
      <c r="E35" s="21" t="n"/>
      <c r="F35" s="21" t="n"/>
      <c r="G35" s="21" t="n"/>
      <c r="H35" s="22">
        <f>IF(COUNTA(E35,F35,G35)=0,"",E35+F35+G35)</f>
        <v/>
      </c>
      <c r="I35" s="23" t="n"/>
      <c r="J35" s="23" t="n"/>
      <c r="K35" s="23" t="n"/>
      <c r="L35" s="24">
        <f>IF(COUNTA(I35,J35,K35)=0,"",I35+J35+K35)</f>
        <v/>
      </c>
      <c r="M35" s="25" t="n"/>
      <c r="N35" s="25" t="n"/>
      <c r="O35" s="25" t="n"/>
      <c r="P35" s="26">
        <f>IF(COUNTA(M35,N35,O35)=0,"",M35+N35+O35)</f>
        <v/>
      </c>
      <c r="Q35" s="27" t="n"/>
      <c r="R35" s="27" t="n"/>
      <c r="S35" s="27" t="n"/>
      <c r="T35" s="28">
        <f>IF(COUNTA(Q35,R35,S35)=0,"",Q35+R35+S35)</f>
        <v/>
      </c>
      <c r="U35" s="29" t="n"/>
      <c r="V35" s="29" t="n"/>
      <c r="W35" s="29" t="n"/>
      <c r="X35" s="30">
        <f>IF(COUNTA(U35,V35,W35)=0,"",U35+V35+W35)</f>
        <v/>
      </c>
      <c r="Y35" s="31" t="n"/>
      <c r="Z35" s="31" t="n"/>
      <c r="AA35" s="31" t="n"/>
      <c r="AB35" s="32">
        <f>IF(COUNTA(Y35,Z35,AA35)=0,"",Y35+Z35+AA35)</f>
        <v/>
      </c>
      <c r="AC35" s="33">
        <f>IF(COUNTA(H35,L35,P35,T35,X35,AB35)=0,"",H35+L35+P35+T35+X35+AB35)</f>
        <v/>
      </c>
      <c r="AD35" s="33">
        <f>IF(AC35="","",IF(AC35&gt;=85,"A",IF(AC35&gt;=75,"AB",IF(AC35&gt;=65,"B",IF(AC35&gt;=55,"BC",IF(AC35&gt;=45,"C",IF(AC35&gt;=35,"CD",IF(AC35&gt;=25,"D","E"))))))))</f>
        <v/>
      </c>
      <c r="AE35" s="37" t="inlineStr"/>
    </row>
    <row r="36" ht="18" customHeight="1">
      <c r="A36" s="19" t="n">
        <v>33</v>
      </c>
      <c r="B36" s="19" t="inlineStr">
        <is>
          <t>24060123130099</t>
        </is>
      </c>
      <c r="C36" s="20" t="inlineStr">
        <is>
          <t>Abyasa Saifaji</t>
        </is>
      </c>
      <c r="D36" s="19" t="n">
        <v>9</v>
      </c>
      <c r="E36" s="21" t="n"/>
      <c r="F36" s="21" t="n"/>
      <c r="G36" s="21" t="n"/>
      <c r="H36" s="22">
        <f>IF(COUNTA(E36,F36,G36)=0,"",E36+F36+G36)</f>
        <v/>
      </c>
      <c r="I36" s="23" t="n"/>
      <c r="J36" s="23" t="n"/>
      <c r="K36" s="23" t="n"/>
      <c r="L36" s="24">
        <f>IF(COUNTA(I36,J36,K36)=0,"",I36+J36+K36)</f>
        <v/>
      </c>
      <c r="M36" s="25" t="n"/>
      <c r="N36" s="25" t="n"/>
      <c r="O36" s="25" t="n"/>
      <c r="P36" s="26">
        <f>IF(COUNTA(M36,N36,O36)=0,"",M36+N36+O36)</f>
        <v/>
      </c>
      <c r="Q36" s="27" t="n"/>
      <c r="R36" s="27" t="n"/>
      <c r="S36" s="27" t="n"/>
      <c r="T36" s="28">
        <f>IF(COUNTA(Q36,R36,S36)=0,"",Q36+R36+S36)</f>
        <v/>
      </c>
      <c r="U36" s="29" t="n"/>
      <c r="V36" s="29" t="n"/>
      <c r="W36" s="29" t="n"/>
      <c r="X36" s="30">
        <f>IF(COUNTA(U36,V36,W36)=0,"",U36+V36+W36)</f>
        <v/>
      </c>
      <c r="Y36" s="31" t="n"/>
      <c r="Z36" s="31" t="n"/>
      <c r="AA36" s="31" t="n"/>
      <c r="AB36" s="32">
        <f>IF(COUNTA(Y36,Z36,AA36)=0,"",Y36+Z36+AA36)</f>
        <v/>
      </c>
      <c r="AC36" s="33">
        <f>IF(COUNTA(H36,L36,P36,T36,X36,AB36)=0,"",H36+L36+P36+T36+X36+AB36)</f>
        <v/>
      </c>
      <c r="AD36" s="33">
        <f>IF(AC36="","",IF(AC36&gt;=85,"A",IF(AC36&gt;=75,"AB",IF(AC36&gt;=65,"B",IF(AC36&gt;=55,"BC",IF(AC36&gt;=45,"C",IF(AC36&gt;=35,"CD",IF(AC36&gt;=25,"D","E"))))))))</f>
        <v/>
      </c>
      <c r="AE36" s="34" t="inlineStr"/>
    </row>
    <row r="37" ht="18" customHeight="1">
      <c r="A37" s="19" t="n">
        <v>34</v>
      </c>
      <c r="B37" s="19" t="inlineStr">
        <is>
          <t>24060123140156</t>
        </is>
      </c>
      <c r="C37" s="20" t="inlineStr">
        <is>
          <t>Alfonso Michael N. H</t>
        </is>
      </c>
      <c r="D37" s="19" t="n">
        <v>9</v>
      </c>
      <c r="E37" s="21" t="n"/>
      <c r="F37" s="21" t="n"/>
      <c r="G37" s="21" t="n"/>
      <c r="H37" s="22">
        <f>IF(COUNTA(E37,F37,G37)=0,"",E37+F37+G37)</f>
        <v/>
      </c>
      <c r="I37" s="23" t="n"/>
      <c r="J37" s="23" t="n"/>
      <c r="K37" s="23" t="n"/>
      <c r="L37" s="24">
        <f>IF(COUNTA(I37,J37,K37)=0,"",I37+J37+K37)</f>
        <v/>
      </c>
      <c r="M37" s="25" t="n"/>
      <c r="N37" s="25" t="n"/>
      <c r="O37" s="25" t="n"/>
      <c r="P37" s="26">
        <f>IF(COUNTA(M37,N37,O37)=0,"",M37+N37+O37)</f>
        <v/>
      </c>
      <c r="Q37" s="27" t="n"/>
      <c r="R37" s="27" t="n"/>
      <c r="S37" s="27" t="n"/>
      <c r="T37" s="28">
        <f>IF(COUNTA(Q37,R37,S37)=0,"",Q37+R37+S37)</f>
        <v/>
      </c>
      <c r="U37" s="29" t="n"/>
      <c r="V37" s="29" t="n"/>
      <c r="W37" s="29" t="n"/>
      <c r="X37" s="30">
        <f>IF(COUNTA(U37,V37,W37)=0,"",U37+V37+W37)</f>
        <v/>
      </c>
      <c r="Y37" s="31" t="n"/>
      <c r="Z37" s="31" t="n"/>
      <c r="AA37" s="31" t="n"/>
      <c r="AB37" s="32">
        <f>IF(COUNTA(Y37,Z37,AA37)=0,"",Y37+Z37+AA37)</f>
        <v/>
      </c>
      <c r="AC37" s="33">
        <f>IF(COUNTA(H37,L37,P37,T37,X37,AB37)=0,"",H37+L37+P37+T37+X37+AB37)</f>
        <v/>
      </c>
      <c r="AD37" s="33">
        <f>IF(AC37="","",IF(AC37&gt;=85,"A",IF(AC37&gt;=75,"AB",IF(AC37&gt;=65,"B",IF(AC37&gt;=55,"BC",IF(AC37&gt;=45,"C",IF(AC37&gt;=35,"CD",IF(AC37&gt;=25,"D","E"))))))))</f>
        <v/>
      </c>
      <c r="AE37" s="34" t="inlineStr"/>
    </row>
    <row r="38" ht="18" customHeight="1">
      <c r="A38" s="19" t="n">
        <v>35</v>
      </c>
      <c r="B38" s="19" t="inlineStr">
        <is>
          <t>24060122140178</t>
        </is>
      </c>
      <c r="C38" s="20" t="inlineStr">
        <is>
          <t>Khairindra Eka Putra</t>
        </is>
      </c>
      <c r="D38" s="19" t="n">
        <v>9</v>
      </c>
      <c r="E38" s="21" t="n"/>
      <c r="F38" s="21" t="n"/>
      <c r="G38" s="21" t="n"/>
      <c r="H38" s="22">
        <f>IF(COUNTA(E38,F38,G38)=0,"",E38+F38+G38)</f>
        <v/>
      </c>
      <c r="I38" s="23" t="n"/>
      <c r="J38" s="23" t="n"/>
      <c r="K38" s="23" t="n"/>
      <c r="L38" s="24">
        <f>IF(COUNTA(I38,J38,K38)=0,"",I38+J38+K38)</f>
        <v/>
      </c>
      <c r="M38" s="25" t="n"/>
      <c r="N38" s="25" t="n"/>
      <c r="O38" s="25" t="n"/>
      <c r="P38" s="26">
        <f>IF(COUNTA(M38,N38,O38)=0,"",M38+N38+O38)</f>
        <v/>
      </c>
      <c r="Q38" s="27" t="n"/>
      <c r="R38" s="27" t="n"/>
      <c r="S38" s="27" t="n"/>
      <c r="T38" s="28">
        <f>IF(COUNTA(Q38,R38,S38)=0,"",Q38+R38+S38)</f>
        <v/>
      </c>
      <c r="U38" s="29" t="n"/>
      <c r="V38" s="29" t="n"/>
      <c r="W38" s="29" t="n"/>
      <c r="X38" s="30">
        <f>IF(COUNTA(U38,V38,W38)=0,"",U38+V38+W38)</f>
        <v/>
      </c>
      <c r="Y38" s="31" t="n"/>
      <c r="Z38" s="31" t="n"/>
      <c r="AA38" s="31" t="n"/>
      <c r="AB38" s="32">
        <f>IF(COUNTA(Y38,Z38,AA38)=0,"",Y38+Z38+AA38)</f>
        <v/>
      </c>
      <c r="AC38" s="33">
        <f>IF(COUNTA(H38,L38,P38,T38,X38,AB38)=0,"",H38+L38+P38+T38+X38+AB38)</f>
        <v/>
      </c>
      <c r="AD38" s="33">
        <f>IF(AC38="","",IF(AC38&gt;=85,"A",IF(AC38&gt;=75,"AB",IF(AC38&gt;=65,"B",IF(AC38&gt;=55,"BC",IF(AC38&gt;=45,"C",IF(AC38&gt;=35,"CD",IF(AC38&gt;=25,"D","E"))))))))</f>
        <v/>
      </c>
      <c r="AE38" s="38" t="inlineStr">
        <is>
          <t>Angkatan 2022, konfirmasi status aktif</t>
        </is>
      </c>
    </row>
    <row r="39" ht="18" customHeight="1">
      <c r="A39" s="19" t="n">
        <v>36</v>
      </c>
      <c r="B39" s="19" t="inlineStr">
        <is>
          <t>24060122120026</t>
        </is>
      </c>
      <c r="C39" s="20" t="inlineStr">
        <is>
          <t>Tiara Putri W.</t>
        </is>
      </c>
      <c r="D39" s="19" t="n">
        <v>9</v>
      </c>
      <c r="E39" s="21" t="n"/>
      <c r="F39" s="21" t="n"/>
      <c r="G39" s="21" t="n"/>
      <c r="H39" s="22">
        <f>IF(COUNTA(E39,F39,G39)=0,"",E39+F39+G39)</f>
        <v/>
      </c>
      <c r="I39" s="23" t="n"/>
      <c r="J39" s="23" t="n"/>
      <c r="K39" s="23" t="n"/>
      <c r="L39" s="24">
        <f>IF(COUNTA(I39,J39,K39)=0,"",I39+J39+K39)</f>
        <v/>
      </c>
      <c r="M39" s="25" t="n"/>
      <c r="N39" s="25" t="n"/>
      <c r="O39" s="25" t="n"/>
      <c r="P39" s="26">
        <f>IF(COUNTA(M39,N39,O39)=0,"",M39+N39+O39)</f>
        <v/>
      </c>
      <c r="Q39" s="27" t="n"/>
      <c r="R39" s="27" t="n"/>
      <c r="S39" s="27" t="n"/>
      <c r="T39" s="28">
        <f>IF(COUNTA(Q39,R39,S39)=0,"",Q39+R39+S39)</f>
        <v/>
      </c>
      <c r="U39" s="29" t="n"/>
      <c r="V39" s="29" t="n"/>
      <c r="W39" s="29" t="n"/>
      <c r="X39" s="30">
        <f>IF(COUNTA(U39,V39,W39)=0,"",U39+V39+W39)</f>
        <v/>
      </c>
      <c r="Y39" s="31" t="n"/>
      <c r="Z39" s="31" t="n"/>
      <c r="AA39" s="31" t="n"/>
      <c r="AB39" s="32">
        <f>IF(COUNTA(Y39,Z39,AA39)=0,"",Y39+Z39+AA39)</f>
        <v/>
      </c>
      <c r="AC39" s="33">
        <f>IF(COUNTA(H39,L39,P39,T39,X39,AB39)=0,"",H39+L39+P39+T39+X39+AB39)</f>
        <v/>
      </c>
      <c r="AD39" s="33">
        <f>IF(AC39="","",IF(AC39&gt;=85,"A",IF(AC39&gt;=75,"AB",IF(AC39&gt;=65,"B",IF(AC39&gt;=55,"BC",IF(AC39&gt;=45,"C",IF(AC39&gt;=35,"CD",IF(AC39&gt;=25,"D","E"))))))))</f>
        <v/>
      </c>
      <c r="AE39" s="38" t="inlineStr">
        <is>
          <t>Angkatan 2022, konfirmasi status aktif</t>
        </is>
      </c>
    </row>
    <row r="40" ht="18" customHeight="1">
      <c r="A40" s="35" t="n">
        <v>37</v>
      </c>
      <c r="B40" s="35" t="inlineStr">
        <is>
          <t>24060124120016</t>
        </is>
      </c>
      <c r="C40" s="36" t="inlineStr">
        <is>
          <t>Quinta Aurabiansyah</t>
        </is>
      </c>
      <c r="D40" s="35" t="n">
        <v>10</v>
      </c>
      <c r="E40" s="21" t="n"/>
      <c r="F40" s="21" t="n"/>
      <c r="G40" s="21" t="n"/>
      <c r="H40" s="22">
        <f>IF(COUNTA(E40,F40,G40)=0,"",E40+F40+G40)</f>
        <v/>
      </c>
      <c r="I40" s="23" t="n"/>
      <c r="J40" s="23" t="n"/>
      <c r="K40" s="23" t="n"/>
      <c r="L40" s="24">
        <f>IF(COUNTA(I40,J40,K40)=0,"",I40+J40+K40)</f>
        <v/>
      </c>
      <c r="M40" s="25" t="n"/>
      <c r="N40" s="25" t="n"/>
      <c r="O40" s="25" t="n"/>
      <c r="P40" s="26">
        <f>IF(COUNTA(M40,N40,O40)=0,"",M40+N40+O40)</f>
        <v/>
      </c>
      <c r="Q40" s="27" t="n"/>
      <c r="R40" s="27" t="n"/>
      <c r="S40" s="27" t="n"/>
      <c r="T40" s="28">
        <f>IF(COUNTA(Q40,R40,S40)=0,"",Q40+R40+S40)</f>
        <v/>
      </c>
      <c r="U40" s="29" t="n"/>
      <c r="V40" s="29" t="n"/>
      <c r="W40" s="29" t="n"/>
      <c r="X40" s="30">
        <f>IF(COUNTA(U40,V40,W40)=0,"",U40+V40+W40)</f>
        <v/>
      </c>
      <c r="Y40" s="31" t="n"/>
      <c r="Z40" s="31" t="n"/>
      <c r="AA40" s="31" t="n"/>
      <c r="AB40" s="32">
        <f>IF(COUNTA(Y40,Z40,AA40)=0,"",Y40+Z40+AA40)</f>
        <v/>
      </c>
      <c r="AC40" s="33">
        <f>IF(COUNTA(H40,L40,P40,T40,X40,AB40)=0,"",H40+L40+P40+T40+X40+AB40)</f>
        <v/>
      </c>
      <c r="AD40" s="33">
        <f>IF(AC40="","",IF(AC40&gt;=85,"A",IF(AC40&gt;=75,"AB",IF(AC40&gt;=65,"B",IF(AC40&gt;=55,"BC",IF(AC40&gt;=45,"C",IF(AC40&gt;=35,"CD",IF(AC40&gt;=25,"D","E"))))))))</f>
        <v/>
      </c>
      <c r="AE40" s="37" t="inlineStr"/>
    </row>
    <row r="41" ht="18" customHeight="1">
      <c r="A41" s="35" t="n">
        <v>38</v>
      </c>
      <c r="B41" s="35" t="inlineStr">
        <is>
          <t>24060124140139</t>
        </is>
      </c>
      <c r="C41" s="36" t="inlineStr">
        <is>
          <t>Muhammad Fauzan Akbar</t>
        </is>
      </c>
      <c r="D41" s="35" t="n">
        <v>10</v>
      </c>
      <c r="E41" s="21" t="n"/>
      <c r="F41" s="21" t="n"/>
      <c r="G41" s="21" t="n"/>
      <c r="H41" s="22">
        <f>IF(COUNTA(E41,F41,G41)=0,"",E41+F41+G41)</f>
        <v/>
      </c>
      <c r="I41" s="23" t="n"/>
      <c r="J41" s="23" t="n"/>
      <c r="K41" s="23" t="n"/>
      <c r="L41" s="24">
        <f>IF(COUNTA(I41,J41,K41)=0,"",I41+J41+K41)</f>
        <v/>
      </c>
      <c r="M41" s="25" t="n"/>
      <c r="N41" s="25" t="n"/>
      <c r="O41" s="25" t="n"/>
      <c r="P41" s="26">
        <f>IF(COUNTA(M41,N41,O41)=0,"",M41+N41+O41)</f>
        <v/>
      </c>
      <c r="Q41" s="27" t="n"/>
      <c r="R41" s="27" t="n"/>
      <c r="S41" s="27" t="n"/>
      <c r="T41" s="28">
        <f>IF(COUNTA(Q41,R41,S41)=0,"",Q41+R41+S41)</f>
        <v/>
      </c>
      <c r="U41" s="29" t="n"/>
      <c r="V41" s="29" t="n"/>
      <c r="W41" s="29" t="n"/>
      <c r="X41" s="30">
        <f>IF(COUNTA(U41,V41,W41)=0,"",U41+V41+W41)</f>
        <v/>
      </c>
      <c r="Y41" s="31" t="n"/>
      <c r="Z41" s="31" t="n"/>
      <c r="AA41" s="31" t="n"/>
      <c r="AB41" s="32">
        <f>IF(COUNTA(Y41,Z41,AA41)=0,"",Y41+Z41+AA41)</f>
        <v/>
      </c>
      <c r="AC41" s="33">
        <f>IF(COUNTA(H41,L41,P41,T41,X41,AB41)=0,"",H41+L41+P41+T41+X41+AB41)</f>
        <v/>
      </c>
      <c r="AD41" s="33">
        <f>IF(AC41="","",IF(AC41&gt;=85,"A",IF(AC41&gt;=75,"AB",IF(AC41&gt;=65,"B",IF(AC41&gt;=55,"BC",IF(AC41&gt;=45,"C",IF(AC41&gt;=35,"CD",IF(AC41&gt;=25,"D","E"))))))))</f>
        <v/>
      </c>
      <c r="AE41" s="37" t="inlineStr"/>
    </row>
    <row r="42" ht="18" customHeight="1">
      <c r="A42" s="35" t="n">
        <v>39</v>
      </c>
      <c r="B42" s="35" t="inlineStr">
        <is>
          <t>24060124130061</t>
        </is>
      </c>
      <c r="C42" s="36" t="inlineStr">
        <is>
          <t>Rahmat Argyandha Aminuddin</t>
        </is>
      </c>
      <c r="D42" s="35" t="n">
        <v>10</v>
      </c>
      <c r="E42" s="21" t="n"/>
      <c r="F42" s="21" t="n"/>
      <c r="G42" s="21" t="n"/>
      <c r="H42" s="22">
        <f>IF(COUNTA(E42,F42,G42)=0,"",E42+F42+G42)</f>
        <v/>
      </c>
      <c r="I42" s="23" t="n"/>
      <c r="J42" s="23" t="n"/>
      <c r="K42" s="23" t="n"/>
      <c r="L42" s="24">
        <f>IF(COUNTA(I42,J42,K42)=0,"",I42+J42+K42)</f>
        <v/>
      </c>
      <c r="M42" s="25" t="n"/>
      <c r="N42" s="25" t="n"/>
      <c r="O42" s="25" t="n"/>
      <c r="P42" s="26">
        <f>IF(COUNTA(M42,N42,O42)=0,"",M42+N42+O42)</f>
        <v/>
      </c>
      <c r="Q42" s="27" t="n"/>
      <c r="R42" s="27" t="n"/>
      <c r="S42" s="27" t="n"/>
      <c r="T42" s="28">
        <f>IF(COUNTA(Q42,R42,S42)=0,"",Q42+R42+S42)</f>
        <v/>
      </c>
      <c r="U42" s="29" t="n"/>
      <c r="V42" s="29" t="n"/>
      <c r="W42" s="29" t="n"/>
      <c r="X42" s="30">
        <f>IF(COUNTA(U42,V42,W42)=0,"",U42+V42+W42)</f>
        <v/>
      </c>
      <c r="Y42" s="31" t="n"/>
      <c r="Z42" s="31" t="n"/>
      <c r="AA42" s="31" t="n"/>
      <c r="AB42" s="32">
        <f>IF(COUNTA(Y42,Z42,AA42)=0,"",Y42+Z42+AA42)</f>
        <v/>
      </c>
      <c r="AC42" s="33">
        <f>IF(COUNTA(H42,L42,P42,T42,X42,AB42)=0,"",H42+L42+P42+T42+X42+AB42)</f>
        <v/>
      </c>
      <c r="AD42" s="33">
        <f>IF(AC42="","",IF(AC42&gt;=85,"A",IF(AC42&gt;=75,"AB",IF(AC42&gt;=65,"B",IF(AC42&gt;=55,"BC",IF(AC42&gt;=45,"C",IF(AC42&gt;=35,"CD",IF(AC42&gt;=25,"D","E"))))))))</f>
        <v/>
      </c>
      <c r="AE42" s="37" t="inlineStr"/>
    </row>
    <row r="43" ht="18" customHeight="1">
      <c r="A43" s="35" t="n">
        <v>40</v>
      </c>
      <c r="B43" s="35" t="inlineStr">
        <is>
          <t>24060124140177</t>
        </is>
      </c>
      <c r="C43" s="36" t="inlineStr">
        <is>
          <t>Rayhan Gerard Darmawan</t>
        </is>
      </c>
      <c r="D43" s="35" t="n">
        <v>10</v>
      </c>
      <c r="E43" s="21" t="n"/>
      <c r="F43" s="21" t="n"/>
      <c r="G43" s="21" t="n"/>
      <c r="H43" s="22">
        <f>IF(COUNTA(E43,F43,G43)=0,"",E43+F43+G43)</f>
        <v/>
      </c>
      <c r="I43" s="23" t="n"/>
      <c r="J43" s="23" t="n"/>
      <c r="K43" s="23" t="n"/>
      <c r="L43" s="24">
        <f>IF(COUNTA(I43,J43,K43)=0,"",I43+J43+K43)</f>
        <v/>
      </c>
      <c r="M43" s="25" t="n"/>
      <c r="N43" s="25" t="n"/>
      <c r="O43" s="25" t="n"/>
      <c r="P43" s="26">
        <f>IF(COUNTA(M43,N43,O43)=0,"",M43+N43+O43)</f>
        <v/>
      </c>
      <c r="Q43" s="27" t="n"/>
      <c r="R43" s="27" t="n"/>
      <c r="S43" s="27" t="n"/>
      <c r="T43" s="28">
        <f>IF(COUNTA(Q43,R43,S43)=0,"",Q43+R43+S43)</f>
        <v/>
      </c>
      <c r="U43" s="29" t="n"/>
      <c r="V43" s="29" t="n"/>
      <c r="W43" s="29" t="n"/>
      <c r="X43" s="30">
        <f>IF(COUNTA(U43,V43,W43)=0,"",U43+V43+W43)</f>
        <v/>
      </c>
      <c r="Y43" s="31" t="n"/>
      <c r="Z43" s="31" t="n"/>
      <c r="AA43" s="31" t="n"/>
      <c r="AB43" s="32">
        <f>IF(COUNTA(Y43,Z43,AA43)=0,"",Y43+Z43+AA43)</f>
        <v/>
      </c>
      <c r="AC43" s="33">
        <f>IF(COUNTA(H43,L43,P43,T43,X43,AB43)=0,"",H43+L43+P43+T43+X43+AB43)</f>
        <v/>
      </c>
      <c r="AD43" s="33">
        <f>IF(AC43="","",IF(AC43&gt;=85,"A",IF(AC43&gt;=75,"AB",IF(AC43&gt;=65,"B",IF(AC43&gt;=55,"BC",IF(AC43&gt;=45,"C",IF(AC43&gt;=35,"CD",IF(AC43&gt;=25,"D","E"))))))))</f>
        <v/>
      </c>
      <c r="AE43" s="37" t="inlineStr"/>
    </row>
    <row r="44" ht="18" customHeight="1">
      <c r="A44" s="19" t="n">
        <v>41</v>
      </c>
      <c r="B44" s="19" t="inlineStr">
        <is>
          <t>24060123140191</t>
        </is>
      </c>
      <c r="C44" s="20" t="inlineStr">
        <is>
          <t>Muhammad Iqbal Haqiqi</t>
        </is>
      </c>
      <c r="D44" s="19" t="n">
        <v>11</v>
      </c>
      <c r="E44" s="21" t="n"/>
      <c r="F44" s="21" t="n"/>
      <c r="G44" s="21" t="n"/>
      <c r="H44" s="22">
        <f>IF(COUNTA(E44,F44,G44)=0,"",E44+F44+G44)</f>
        <v/>
      </c>
      <c r="I44" s="23" t="n"/>
      <c r="J44" s="23" t="n"/>
      <c r="K44" s="23" t="n"/>
      <c r="L44" s="24">
        <f>IF(COUNTA(I44,J44,K44)=0,"",I44+J44+K44)</f>
        <v/>
      </c>
      <c r="M44" s="25" t="n"/>
      <c r="N44" s="25" t="n"/>
      <c r="O44" s="25" t="n"/>
      <c r="P44" s="26">
        <f>IF(COUNTA(M44,N44,O44)=0,"",M44+N44+O44)</f>
        <v/>
      </c>
      <c r="Q44" s="27" t="n"/>
      <c r="R44" s="27" t="n"/>
      <c r="S44" s="27" t="n"/>
      <c r="T44" s="28">
        <f>IF(COUNTA(Q44,R44,S44)=0,"",Q44+R44+S44)</f>
        <v/>
      </c>
      <c r="U44" s="29" t="n"/>
      <c r="V44" s="29" t="n"/>
      <c r="W44" s="29" t="n"/>
      <c r="X44" s="30">
        <f>IF(COUNTA(U44,V44,W44)=0,"",U44+V44+W44)</f>
        <v/>
      </c>
      <c r="Y44" s="31" t="n"/>
      <c r="Z44" s="31" t="n"/>
      <c r="AA44" s="31" t="n"/>
      <c r="AB44" s="32">
        <f>IF(COUNTA(Y44,Z44,AA44)=0,"",Y44+Z44+AA44)</f>
        <v/>
      </c>
      <c r="AC44" s="33">
        <f>IF(COUNTA(H44,L44,P44,T44,X44,AB44)=0,"",H44+L44+P44+T44+X44+AB44)</f>
        <v/>
      </c>
      <c r="AD44" s="33">
        <f>IF(AC44="","",IF(AC44&gt;=85,"A",IF(AC44&gt;=75,"AB",IF(AC44&gt;=65,"B",IF(AC44&gt;=55,"BC",IF(AC44&gt;=45,"C",IF(AC44&gt;=35,"CD",IF(AC44&gt;=25,"D","E"))))))))</f>
        <v/>
      </c>
      <c r="AE44" s="34" t="inlineStr"/>
    </row>
    <row r="45" ht="18" customHeight="1">
      <c r="A45" s="19" t="n">
        <v>42</v>
      </c>
      <c r="B45" s="19" t="inlineStr">
        <is>
          <t>24060123130055</t>
        </is>
      </c>
      <c r="C45" s="20" t="inlineStr">
        <is>
          <t>Novanza Edgar Wibowo</t>
        </is>
      </c>
      <c r="D45" s="19" t="n">
        <v>11</v>
      </c>
      <c r="E45" s="21" t="n"/>
      <c r="F45" s="21" t="n"/>
      <c r="G45" s="21" t="n"/>
      <c r="H45" s="22">
        <f>IF(COUNTA(E45,F45,G45)=0,"",E45+F45+G45)</f>
        <v/>
      </c>
      <c r="I45" s="23" t="n"/>
      <c r="J45" s="23" t="n"/>
      <c r="K45" s="23" t="n"/>
      <c r="L45" s="24">
        <f>IF(COUNTA(I45,J45,K45)=0,"",I45+J45+K45)</f>
        <v/>
      </c>
      <c r="M45" s="25" t="n"/>
      <c r="N45" s="25" t="n"/>
      <c r="O45" s="25" t="n"/>
      <c r="P45" s="26">
        <f>IF(COUNTA(M45,N45,O45)=0,"",M45+N45+O45)</f>
        <v/>
      </c>
      <c r="Q45" s="27" t="n"/>
      <c r="R45" s="27" t="n"/>
      <c r="S45" s="27" t="n"/>
      <c r="T45" s="28">
        <f>IF(COUNTA(Q45,R45,S45)=0,"",Q45+R45+S45)</f>
        <v/>
      </c>
      <c r="U45" s="29" t="n"/>
      <c r="V45" s="29" t="n"/>
      <c r="W45" s="29" t="n"/>
      <c r="X45" s="30">
        <f>IF(COUNTA(U45,V45,W45)=0,"",U45+V45+W45)</f>
        <v/>
      </c>
      <c r="Y45" s="31" t="n"/>
      <c r="Z45" s="31" t="n"/>
      <c r="AA45" s="31" t="n"/>
      <c r="AB45" s="32">
        <f>IF(COUNTA(Y45,Z45,AA45)=0,"",Y45+Z45+AA45)</f>
        <v/>
      </c>
      <c r="AC45" s="33">
        <f>IF(COUNTA(H45,L45,P45,T45,X45,AB45)=0,"",H45+L45+P45+T45+X45+AB45)</f>
        <v/>
      </c>
      <c r="AD45" s="33">
        <f>IF(AC45="","",IF(AC45&gt;=85,"A",IF(AC45&gt;=75,"AB",IF(AC45&gt;=65,"B",IF(AC45&gt;=55,"BC",IF(AC45&gt;=45,"C",IF(AC45&gt;=35,"CD",IF(AC45&gt;=25,"D","E"))))))))</f>
        <v/>
      </c>
      <c r="AE45" s="34" t="inlineStr"/>
    </row>
    <row r="46" ht="18" customHeight="1">
      <c r="A46" s="19" t="n">
        <v>43</v>
      </c>
      <c r="B46" s="19" t="inlineStr">
        <is>
          <t>24060123140063</t>
        </is>
      </c>
      <c r="C46" s="20" t="inlineStr">
        <is>
          <t>Bagas Nur Ardianto</t>
        </is>
      </c>
      <c r="D46" s="19" t="n">
        <v>11</v>
      </c>
      <c r="E46" s="21" t="n"/>
      <c r="F46" s="21" t="n"/>
      <c r="G46" s="21" t="n"/>
      <c r="H46" s="22">
        <f>IF(COUNTA(E46,F46,G46)=0,"",E46+F46+G46)</f>
        <v/>
      </c>
      <c r="I46" s="23" t="n"/>
      <c r="J46" s="23" t="n"/>
      <c r="K46" s="23" t="n"/>
      <c r="L46" s="24">
        <f>IF(COUNTA(I46,J46,K46)=0,"",I46+J46+K46)</f>
        <v/>
      </c>
      <c r="M46" s="25" t="n"/>
      <c r="N46" s="25" t="n"/>
      <c r="O46" s="25" t="n"/>
      <c r="P46" s="26">
        <f>IF(COUNTA(M46,N46,O46)=0,"",M46+N46+O46)</f>
        <v/>
      </c>
      <c r="Q46" s="27" t="n"/>
      <c r="R46" s="27" t="n"/>
      <c r="S46" s="27" t="n"/>
      <c r="T46" s="28">
        <f>IF(COUNTA(Q46,R46,S46)=0,"",Q46+R46+S46)</f>
        <v/>
      </c>
      <c r="U46" s="29" t="n"/>
      <c r="V46" s="29" t="n"/>
      <c r="W46" s="29" t="n"/>
      <c r="X46" s="30">
        <f>IF(COUNTA(U46,V46,W46)=0,"",U46+V46+W46)</f>
        <v/>
      </c>
      <c r="Y46" s="31" t="n"/>
      <c r="Z46" s="31" t="n"/>
      <c r="AA46" s="31" t="n"/>
      <c r="AB46" s="32">
        <f>IF(COUNTA(Y46,Z46,AA46)=0,"",Y46+Z46+AA46)</f>
        <v/>
      </c>
      <c r="AC46" s="33">
        <f>IF(COUNTA(H46,L46,P46,T46,X46,AB46)=0,"",H46+L46+P46+T46+X46+AB46)</f>
        <v/>
      </c>
      <c r="AD46" s="33">
        <f>IF(AC46="","",IF(AC46&gt;=85,"A",IF(AC46&gt;=75,"AB",IF(AC46&gt;=65,"B",IF(AC46&gt;=55,"BC",IF(AC46&gt;=45,"C",IF(AC46&gt;=35,"CD",IF(AC46&gt;=25,"D","E"))))))))</f>
        <v/>
      </c>
      <c r="AE46" s="34" t="inlineStr"/>
    </row>
  </sheetData>
  <mergeCells count="7">
    <mergeCell ref="Y2:AB2"/>
    <mergeCell ref="A1:AE1"/>
    <mergeCell ref="U2:X2"/>
    <mergeCell ref="M2:P2"/>
    <mergeCell ref="Q2:T2"/>
    <mergeCell ref="E2:H2"/>
    <mergeCell ref="I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2026-06-29T19:19:41Z</dcterms:created>
  <dcterms:modified xsi:type="dcterms:W3CDTF">2026-06-29T19:19:42Z</dcterms:modified>
</cp:coreProperties>
</file>