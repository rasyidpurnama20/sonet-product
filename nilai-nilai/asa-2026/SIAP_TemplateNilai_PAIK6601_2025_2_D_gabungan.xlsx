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 VICTUS\Documents\Dropbox\file-penting\ASA\2026\"/>
    </mc:Choice>
  </mc:AlternateContent>
  <xr:revisionPtr revIDLastSave="0" documentId="8_{9EA7D279-13EF-48B8-9344-26666A9AA0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  <sheet name="Sheet1" sheetId="4" r:id="rId2"/>
    <sheet name="Data_Gabungan" sheetId="2" r:id="rId3"/>
    <sheet name="Ringkasan_Match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K9" i="1" s="1"/>
  <c r="M9" i="1" s="1"/>
  <c r="G10" i="1"/>
  <c r="K10" i="1" s="1"/>
  <c r="M10" i="1" s="1"/>
  <c r="G11" i="1"/>
  <c r="K11" i="1" s="1"/>
  <c r="M11" i="1" s="1"/>
  <c r="G12" i="1"/>
  <c r="K12" i="1" s="1"/>
  <c r="M12" i="1" s="1"/>
  <c r="G13" i="1"/>
  <c r="K13" i="1" s="1"/>
  <c r="M13" i="1" s="1"/>
  <c r="G14" i="1"/>
  <c r="G15" i="1"/>
  <c r="K15" i="1" s="1"/>
  <c r="M15" i="1" s="1"/>
  <c r="G16" i="1"/>
  <c r="G17" i="1"/>
  <c r="G18" i="1"/>
  <c r="K18" i="1" s="1"/>
  <c r="M18" i="1" s="1"/>
  <c r="G8" i="1"/>
  <c r="K8" i="1" s="1"/>
  <c r="M8" i="1" s="1"/>
  <c r="K9" i="4"/>
  <c r="K10" i="4"/>
  <c r="K11" i="4"/>
  <c r="K12" i="4"/>
  <c r="K13" i="4"/>
  <c r="K14" i="4"/>
  <c r="K15" i="4"/>
  <c r="K16" i="4"/>
  <c r="K17" i="4"/>
  <c r="K18" i="4"/>
  <c r="K8" i="4"/>
  <c r="K17" i="1"/>
  <c r="M17" i="1" s="1"/>
  <c r="K16" i="1"/>
  <c r="M16" i="1" s="1"/>
  <c r="K14" i="1"/>
  <c r="M14" i="1" s="1"/>
  <c r="L12" i="1" l="1"/>
  <c r="L13" i="1"/>
  <c r="L14" i="1"/>
  <c r="L8" i="1"/>
  <c r="L15" i="1"/>
  <c r="L9" i="1"/>
  <c r="L16" i="1"/>
  <c r="L10" i="1"/>
  <c r="L17" i="1"/>
  <c r="L11" i="1"/>
  <c r="L18" i="1"/>
</calcChain>
</file>

<file path=xl/sharedStrings.xml><?xml version="1.0" encoding="utf-8"?>
<sst xmlns="http://schemas.openxmlformats.org/spreadsheetml/2006/main" count="447" uniqueCount="216">
  <si>
    <t>Mata Kuliah</t>
  </si>
  <si>
    <t>: PAIK6601 - Analisis dan Strategi Algoritma</t>
  </si>
  <si>
    <t>Tahun Ajaran</t>
  </si>
  <si>
    <t>: 2025</t>
  </si>
  <si>
    <t>NDk5NDkx</t>
  </si>
  <si>
    <t>Semester</t>
  </si>
  <si>
    <t>: Genap</t>
  </si>
  <si>
    <t>Kelas</t>
  </si>
  <si>
    <t>: D</t>
  </si>
  <si>
    <t>Prodi</t>
  </si>
  <si>
    <t>: S1-TEKNIK INFORMATIKA</t>
  </si>
  <si>
    <t>NIM</t>
  </si>
  <si>
    <t>Nama Mahasiswa</t>
  </si>
  <si>
    <t>Status</t>
  </si>
  <si>
    <t>Nilai Aktivitas Partisipatif (0,00-100,00) (10%)</t>
  </si>
  <si>
    <t>Nilai Hasil Proyek (0,00-100,00) (40%)</t>
  </si>
  <si>
    <t>Nilai Tugas (0,00-100,00) (5%)</t>
  </si>
  <si>
    <t>Nilai Quiz (0,00-100,00) (5%)</t>
  </si>
  <si>
    <t>Nilai UTS (0,00-100,00) (20%)</t>
  </si>
  <si>
    <t>Nilai UAS (0,00-100) (20%)</t>
  </si>
  <si>
    <t>Nilai Akhir Angka (0,00-100,00)</t>
  </si>
  <si>
    <t>Nilai Akhir Huruf (A/B/C/D/E)</t>
  </si>
  <si>
    <t>Nilai Bobot (0-4)</t>
  </si>
  <si>
    <t>First name</t>
  </si>
  <si>
    <t>Last name</t>
  </si>
  <si>
    <t>ID number</t>
  </si>
  <si>
    <t>Institution</t>
  </si>
  <si>
    <t>Department</t>
  </si>
  <si>
    <t>Email address</t>
  </si>
  <si>
    <t>Quiz: Quis 1 (Real)</t>
  </si>
  <si>
    <t>Quiz: Quis 2 (Real)</t>
  </si>
  <si>
    <t>Quiz: Quis 3 (Real)</t>
  </si>
  <si>
    <t>Quiz: Quis 4 (Real)</t>
  </si>
  <si>
    <t>Quiz: quis 5 (Real)</t>
  </si>
  <si>
    <t>Quiz: quis 6 (Real)</t>
  </si>
  <si>
    <t>Quiz: Latihan UTS (Real)</t>
  </si>
  <si>
    <t>Quiz: UTS (Real)</t>
  </si>
  <si>
    <t>Last downloaded from this course</t>
  </si>
  <si>
    <t>24060123140045</t>
  </si>
  <si>
    <t>DEWI LARASATI MUMPUNI</t>
  </si>
  <si>
    <t>BARU</t>
  </si>
  <si>
    <t>Dewi Larasati Mumpuni</t>
  </si>
  <si>
    <t>453a66d0-2c28-4166-8fe5-d18b70c9f129</t>
  </si>
  <si>
    <t>dewilarasatimumpuni@students.undip.ac.id</t>
  </si>
  <si>
    <t>-</t>
  </si>
  <si>
    <t>24060123140174</t>
  </si>
  <si>
    <t>DUTA ADI PAMUNGKAS</t>
  </si>
  <si>
    <t>Duta Adi Pamungkas</t>
  </si>
  <si>
    <t>d7c894e1-7ec8-4fa5-9d4a-05b5dc5d00f5</t>
  </si>
  <si>
    <t>dutaadip@students.undip.ac.id</t>
  </si>
  <si>
    <t>24060123130067</t>
  </si>
  <si>
    <t>NINDYA KIRANA</t>
  </si>
  <si>
    <t>Nindya Kirana</t>
  </si>
  <si>
    <t>25c5a7ec-04d0-425b-a3ff-d219c86eb43d</t>
  </si>
  <si>
    <t>nindyakirana@students.undip.ac.id</t>
  </si>
  <si>
    <t>24060123140137</t>
  </si>
  <si>
    <t>NOVAL PUTRA BARLIYANDA</t>
  </si>
  <si>
    <t>Noval Putra Barliyanda</t>
  </si>
  <si>
    <t>056eea64-c03a-4361-933c-54bee0b611fc</t>
  </si>
  <si>
    <t>novalbarli@students.undip.ac.id</t>
  </si>
  <si>
    <t>24060123140140</t>
  </si>
  <si>
    <t>RADITYA SAPUTRA</t>
  </si>
  <si>
    <t>Raditya Saputra</t>
  </si>
  <si>
    <t>743829d4-35cb-4935-adf6-a7ae3253ca13</t>
  </si>
  <si>
    <t>radityasaputr@students.undip.ac.id</t>
  </si>
  <si>
    <t>24060123140131</t>
  </si>
  <si>
    <t>MUTIARA AYU PRAMONO</t>
  </si>
  <si>
    <t>ULANG</t>
  </si>
  <si>
    <t>Mutiara Ayu Pramono</t>
  </si>
  <si>
    <t>c081338a-3923-401f-b56d-601e77c18f32</t>
  </si>
  <si>
    <t>mutiaraayupramono@students.undip.ac.id</t>
  </si>
  <si>
    <t>24060123140171</t>
  </si>
  <si>
    <t>MUHAMMAD IMAN SASONGKO</t>
  </si>
  <si>
    <t>Muhammad Iman Sasongko</t>
  </si>
  <si>
    <t>571d55f8-a0e6-4b2f-ac50-785ab2df22b2</t>
  </si>
  <si>
    <t>muhammadimansasongko@students.undip.ac.id</t>
  </si>
  <si>
    <t>24060123140184</t>
  </si>
  <si>
    <t>MUHAMMAD KIEVLAN HAKIM</t>
  </si>
  <si>
    <t>Muhammad Kievlan Hakim</t>
  </si>
  <si>
    <t>0103299d-a236-4797-8bc7-2f464029cf80</t>
  </si>
  <si>
    <t>muhammadkievlanhakim@students.undip.ac.id</t>
  </si>
  <si>
    <t>24060123140130</t>
  </si>
  <si>
    <t>RATU SEKAR AYU NISA</t>
  </si>
  <si>
    <t>Ratu Sekar Ayu Nisa</t>
  </si>
  <si>
    <t>e6e740e8-e36f-4394-8d43-e28d3355539c</t>
  </si>
  <si>
    <t>ratusekarayunisa@students.undip.ac.id</t>
  </si>
  <si>
    <t>24060121120026</t>
  </si>
  <si>
    <t>M. GHANI ARYASUTA</t>
  </si>
  <si>
    <t>M. Ghani Aryasuta</t>
  </si>
  <si>
    <t>a3efe021-6767-4861-9db6-385903a5121b</t>
  </si>
  <si>
    <t>muslikbertopeng@students.undip.ac.id</t>
  </si>
  <si>
    <t>24060121130059</t>
  </si>
  <si>
    <t>AHMAD DANUN HANANI</t>
  </si>
  <si>
    <t>Ahmad Danun Hanani</t>
  </si>
  <si>
    <t>59fd032c-08ac-4463-890a-cd91130d9286</t>
  </si>
  <si>
    <t>ahmaddanunhanani@students.undip.ac.id</t>
  </si>
  <si>
    <t>Kayla Febrina Laura Ayu</t>
  </si>
  <si>
    <t>01bcf907-b093-4145-a921-f1c23ef1af29</t>
  </si>
  <si>
    <t>kaylafebrinalauraayu@students.undip.ac.id</t>
  </si>
  <si>
    <t>Amelia Aristianti</t>
  </si>
  <si>
    <t>675b47ff-e0ac-4015-80e5-4923eef281e3</t>
  </si>
  <si>
    <t>amelilie@students.undip.ac.id</t>
  </si>
  <si>
    <t>An Al Rivaldi</t>
  </si>
  <si>
    <t>66c3f55e-11cb-4861-87ea-602774550e18</t>
  </si>
  <si>
    <t>analrivaldi@students.undip.ac.id</t>
  </si>
  <si>
    <t>Marchella Arkhina Ratunesia</t>
  </si>
  <si>
    <t>8af6d3d5-6602-4daf-af10-b4025ef4ac1e</t>
  </si>
  <si>
    <t>marchellakhina@students.undip.ac.id</t>
  </si>
  <si>
    <t>Izzatu Khoirul Fata</t>
  </si>
  <si>
    <t>966ae3f4-c38c-4287-bb5a-e4d892ce4894</t>
  </si>
  <si>
    <t>izzatukhoirulfata@students.undip.ac.id</t>
  </si>
  <si>
    <t>Caesar Ferdiana Suwandi</t>
  </si>
  <si>
    <t>e0e50038-dd5d-41e6-8737-b599c9471a78</t>
  </si>
  <si>
    <t>caesarferdiana@students.undip.ac.id</t>
  </si>
  <si>
    <t>Raffie Aditya Akbar</t>
  </si>
  <si>
    <t>e9c1fd54-37f0-49ff-9c68-2cfb38f1f140</t>
  </si>
  <si>
    <t>raffieadityaakbar@students.undip.ac.id</t>
  </si>
  <si>
    <t>Muhammad Kamal Hamzah</t>
  </si>
  <si>
    <t>333800a5-176b-4d7c-8e05-fa50d0464abc</t>
  </si>
  <si>
    <t>kamal@students.undip.ac.id</t>
  </si>
  <si>
    <t>Elza Khoirisma Carrynda</t>
  </si>
  <si>
    <t>6a8316c9-b945-4e83-9fa3-dcc848edd692</t>
  </si>
  <si>
    <t>elzakcarrynda@students.undip.ac.id</t>
  </si>
  <si>
    <t>Ali Maskan Ferry Purwanto</t>
  </si>
  <si>
    <t>32c3209e-6a2d-42a3-a855-a98d40a917f0</t>
  </si>
  <si>
    <t>ferry845@students.undip.ac.id</t>
  </si>
  <si>
    <t>Naufal Dwi Yusmawan</t>
  </si>
  <si>
    <t>5b38e6e7-f634-4beb-a304-87a9be5d1bee</t>
  </si>
  <si>
    <t>naufaldwi@students.undip.ac.id</t>
  </si>
  <si>
    <t>Syuraih Umar Khotthob</t>
  </si>
  <si>
    <t>9f72db65-607a-4f09-bd5e-b989b218ff7e</t>
  </si>
  <si>
    <t>syuraihumar@students.undip.ac.id</t>
  </si>
  <si>
    <t>Zulfa Nabilah</t>
  </si>
  <si>
    <t>21c0cc7a-c842-4d12-a243-aeebea27708a</t>
  </si>
  <si>
    <t>bila150@students.undip.ac.id</t>
  </si>
  <si>
    <t>Muhammad Firdaus Argifari</t>
  </si>
  <si>
    <t>d9caee04-3e98-4c85-86ee-3c7dc194dc73</t>
  </si>
  <si>
    <t>muhammadfirdausargif@students.undip.ac.id</t>
  </si>
  <si>
    <t>Dewangga Ramadhan Halim</t>
  </si>
  <si>
    <t>8d8c0859-3958-49d2-8cd3-b73d5d891616</t>
  </si>
  <si>
    <t>dewanggarh@students.undip.ac.id</t>
  </si>
  <si>
    <t>Hasta Putra Wildantara</t>
  </si>
  <si>
    <t>40a9ab64-108c-4fa5-8e2a-46322c797db6</t>
  </si>
  <si>
    <t>hastaputrawildantara@students.undip.ac.id</t>
  </si>
  <si>
    <t>Rafa Azlan</t>
  </si>
  <si>
    <t>c2fa2584-d4ed-45c5-b04f-cd4cabbc865b</t>
  </si>
  <si>
    <t>rafaazlan@students.undip.ac.id</t>
  </si>
  <si>
    <t>Crystiano Bayu Satya Alves</t>
  </si>
  <si>
    <t>aa258e9a-175d-4bbd-8742-8fe3dc6e2203</t>
  </si>
  <si>
    <t>bayualves28@students.undip.ac.id</t>
  </si>
  <si>
    <t>Muhammad Hafidh Al-ghifari</t>
  </si>
  <si>
    <t>8907df08-b1ec-4d27-bfd3-4c4feab64520</t>
  </si>
  <si>
    <t>hafidhalghifari@students.undip.ac.id</t>
  </si>
  <si>
    <t>Menza Isaiah Tampubolon</t>
  </si>
  <si>
    <t>de34b32c-c652-44a0-a0cb-5bbaa8a5f5c0</t>
  </si>
  <si>
    <t>menzatampubolon@students.undip.ac.id</t>
  </si>
  <si>
    <t>Ferdy Prasetya Putra</t>
  </si>
  <si>
    <t>b6bee28b-5cf4-4906-9186-ce21a3fcf69d</t>
  </si>
  <si>
    <t>ferdyprasetyaputra@students.undip.ac.id</t>
  </si>
  <si>
    <t>Devano Trestanto</t>
  </si>
  <si>
    <t>59e539b9-ac09-4590-b97d-6863958d4c3f</t>
  </si>
  <si>
    <t>devanotrestanto@students.undip.ac.id</t>
  </si>
  <si>
    <t>Nashwa Aldebaran</t>
  </si>
  <si>
    <t>5f23b718-af86-4d68-8ebd-59d02541b192</t>
  </si>
  <si>
    <t>nashwaaldebaran@students.undip.ac.id</t>
  </si>
  <si>
    <t>Basil Ayman Hariadi</t>
  </si>
  <si>
    <t>4309fca1-fed8-4433-ba75-91900de5a888</t>
  </si>
  <si>
    <t>basilaymanhariadi@students.undip.ac.id</t>
  </si>
  <si>
    <t>Azka Wayasy Al Hafizh</t>
  </si>
  <si>
    <t>f0278eb3-7df4-42ee-be5a-220755de89c7</t>
  </si>
  <si>
    <t>azkawayasy@students.undip.ac.id</t>
  </si>
  <si>
    <t>Muhammad Hafidh Zufar Dewantara</t>
  </si>
  <si>
    <t>ec02c72b-9698-436f-a5d1-ba552dac4826</t>
  </si>
  <si>
    <t>hafidhzufar@students.undip.ac.id</t>
  </si>
  <si>
    <t>Dinda Isyariani</t>
  </si>
  <si>
    <t>b886a4d2-e882-4700-9adf-38f6e0be0083</t>
  </si>
  <si>
    <t>dindaisyrn@students.undip.ac.id</t>
  </si>
  <si>
    <t>Naufal Rayan Attallah</t>
  </si>
  <si>
    <t>25ae0b10-cdf0-42d6-994a-ee44e30da7b5</t>
  </si>
  <si>
    <t>nray@students.undip.ac.id</t>
  </si>
  <si>
    <t>Ghatfan Muhammad Atiwiar</t>
  </si>
  <si>
    <t>dc1d53a3-d395-4a9c-a99f-69bc6cf75626</t>
  </si>
  <si>
    <t>ghatfanmuhammad@students.undip.ac.id</t>
  </si>
  <si>
    <t>Syair Adharian</t>
  </si>
  <si>
    <t>e6cfbd90-c182-488e-9bdb-f0d3ae8f17e4</t>
  </si>
  <si>
    <t>adharian@students.undip.ac.id</t>
  </si>
  <si>
    <t>Novelya Cherina</t>
  </si>
  <si>
    <t>7c579b19-6754-4810-b17b-9ff05c118050</t>
  </si>
  <si>
    <t>novelyacherina@students.undip.ac.id</t>
  </si>
  <si>
    <t>Hanif Ihsanul Huda</t>
  </si>
  <si>
    <t>70148679-8919-40e5-99e6-834e8712fb2d</t>
  </si>
  <si>
    <t>hanifihsan@students.undip.ac.id</t>
  </si>
  <si>
    <t>Adefritz Einar Sinaga</t>
  </si>
  <si>
    <t>8ff66111-127f-4ddb-be59-291f0665251a</t>
  </si>
  <si>
    <t>fritzeinar18@students.undip.ac.id</t>
  </si>
  <si>
    <t>Mohammad Andhika Ramadhan</t>
  </si>
  <si>
    <t>977687db-5101-4f56-8c79-6e3fe32e76a1</t>
  </si>
  <si>
    <t>mohammadandhika@students.undip.ac.id</t>
  </si>
  <si>
    <t>Aryo Pasya Ramadhan</t>
  </si>
  <si>
    <t>a1855cd2-3cee-44f7-8717-710a0c6a2961</t>
  </si>
  <si>
    <t>aryopasyaramadhan@students.undip.ac.id</t>
  </si>
  <si>
    <t>Saburo Rafqi Hidayat</t>
  </si>
  <si>
    <t>589d74b7-3934-4e27-a0bd-404c2cf21100</t>
  </si>
  <si>
    <t>saburorafqh@students.undip.ac.id</t>
  </si>
  <si>
    <t>Muhammad Lutfi Febriansyah</t>
  </si>
  <si>
    <t>68178da4-a73f-4ee7-9b8e-aee61d62a652</t>
  </si>
  <si>
    <t>lutfifebriansyah@students.undip.ac.id</t>
  </si>
  <si>
    <t>Ikrar Maheswara Rabbani Wibowo</t>
  </si>
  <si>
    <t>59fae672-0391-4355-b2a2-9866d7ba0644</t>
  </si>
  <si>
    <t>ikrarmahes@students.undip.ac.id</t>
  </si>
  <si>
    <t>Metric</t>
  </si>
  <si>
    <t>Value</t>
  </si>
  <si>
    <t>Template</t>
  </si>
  <si>
    <t>Berhasil cocok</t>
  </si>
  <si>
    <t>Tidak cocok</t>
  </si>
  <si>
    <t>Data awal tidak ada di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</si>
</sst>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FF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"/>
  <sheetViews>
    <sheetView tabSelected="1" workbookViewId="0">
      <selection activeCell="E19" sqref="E19"/>
    </sheetView>
  </sheetViews>
  <sheetFormatPr defaultRowHeight="15" x14ac:dyDescent="0.25"/>
  <cols>
    <col min="1" max="1" width="17.5703125" bestFit="1" customWidth="1"/>
    <col min="2" max="2" width="53" bestFit="1" customWidth="1"/>
    <col min="3" max="3" width="10.5703125" bestFit="1" customWidth="1"/>
    <col min="4" max="4" width="8.140625" bestFit="1" customWidth="1"/>
    <col min="5" max="5" width="57.7109375" bestFit="1" customWidth="1"/>
    <col min="6" max="6" width="45.85546875" bestFit="1" customWidth="1"/>
    <col min="7" max="7" width="36.42578125" bestFit="1" customWidth="1"/>
    <col min="8" max="9" width="35.28515625" bestFit="1" customWidth="1"/>
    <col min="10" max="10" width="31.7109375" bestFit="1" customWidth="1"/>
    <col min="11" max="11" width="37.7109375" bestFit="1" customWidth="1"/>
    <col min="12" max="12" width="35.28515625" bestFit="1" customWidth="1"/>
    <col min="13" max="13" width="21.140625" bestFit="1" customWidth="1"/>
  </cols>
  <sheetData>
    <row r="1" spans="1:28" x14ac:dyDescent="0.25">
      <c r="A1" t="s">
        <v>0</v>
      </c>
      <c r="B1" t="s">
        <v>1</v>
      </c>
    </row>
    <row r="2" spans="1:28" x14ac:dyDescent="0.25">
      <c r="A2" t="s">
        <v>2</v>
      </c>
      <c r="B2" t="s">
        <v>3</v>
      </c>
      <c r="I2" s="1" t="s">
        <v>4</v>
      </c>
    </row>
    <row r="3" spans="1:28" x14ac:dyDescent="0.25">
      <c r="A3" t="s">
        <v>5</v>
      </c>
      <c r="B3" t="s">
        <v>6</v>
      </c>
    </row>
    <row r="4" spans="1:28" x14ac:dyDescent="0.25">
      <c r="A4" t="s">
        <v>7</v>
      </c>
      <c r="B4" t="s">
        <v>8</v>
      </c>
    </row>
    <row r="5" spans="1:28" x14ac:dyDescent="0.25">
      <c r="A5" t="s">
        <v>9</v>
      </c>
      <c r="B5" t="s">
        <v>10</v>
      </c>
    </row>
    <row r="7" spans="1:28" x14ac:dyDescent="0.25">
      <c r="A7" t="s">
        <v>11</v>
      </c>
      <c r="B7" t="s">
        <v>12</v>
      </c>
      <c r="C7" t="s">
        <v>5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  <c r="O7" t="s">
        <v>24</v>
      </c>
      <c r="P7" t="s">
        <v>25</v>
      </c>
      <c r="Q7" t="s">
        <v>26</v>
      </c>
      <c r="R7" t="s">
        <v>27</v>
      </c>
      <c r="S7" t="s">
        <v>28</v>
      </c>
      <c r="T7" t="s">
        <v>29</v>
      </c>
      <c r="U7" t="s">
        <v>30</v>
      </c>
      <c r="V7" t="s">
        <v>31</v>
      </c>
      <c r="W7" t="s">
        <v>32</v>
      </c>
      <c r="X7" t="s">
        <v>33</v>
      </c>
      <c r="Y7" t="s">
        <v>34</v>
      </c>
      <c r="Z7" t="s">
        <v>35</v>
      </c>
      <c r="AA7" t="s">
        <v>36</v>
      </c>
      <c r="AB7" t="s">
        <v>37</v>
      </c>
    </row>
    <row r="8" spans="1:28" x14ac:dyDescent="0.25">
      <c r="A8" t="s">
        <v>38</v>
      </c>
      <c r="B8" t="s">
        <v>39</v>
      </c>
      <c r="C8">
        <v>6</v>
      </c>
      <c r="D8" t="s">
        <v>40</v>
      </c>
      <c r="E8" s="3">
        <v>95</v>
      </c>
      <c r="F8" s="3"/>
      <c r="G8" s="3">
        <f>(E8*0.8)+(H8*0.2)</f>
        <v>89.454499999999996</v>
      </c>
      <c r="H8" s="3">
        <v>67.272500000000008</v>
      </c>
      <c r="I8" s="3"/>
      <c r="J8" s="3"/>
      <c r="K8" s="2">
        <f t="shared" ref="K8:K18" si="0">ROUND( ((E8*10+F8*40+G8*5+H8*5+I8*20+J8*20) / 100), 2)</f>
        <v>17.34</v>
      </c>
      <c r="L8" s="2" t="str">
        <f t="shared" ref="L8:L18" si="1">IF(AND(K8&gt;=80, K8&lt;=100), "A", IF(AND(K8&gt;=70, K8&lt;=79.99999999999), "B", IF(AND(K8&gt;=60, K8&lt;=69.9999999999), "C", IF(AND(K8&gt;=51, K8&lt;=59.999999999), "D", IF(AND(K8&gt;=0, K8&lt;=50.999999999), "E",  "E"  )  )  )  )  )</f>
        <v>E</v>
      </c>
      <c r="M8" t="str">
        <f t="shared" ref="M8:M18" si="2">IF(AND(K8&gt;=80, K8&lt;=100), "4", IF(AND(K8&gt;=70, K8&lt;=79.99999999999), "3", IF(AND(K8&gt;=60, K8&lt;=69.9999999999), "2", IF(AND(K8&gt;=51, K8&lt;=59.999999999), "1", IF(AND(K8&gt;=0, K8&lt;=50.999999999), "0",  "0"  )  )  )  )  )</f>
        <v>0</v>
      </c>
      <c r="N8" t="s">
        <v>41</v>
      </c>
      <c r="O8">
        <v>24060123140045</v>
      </c>
      <c r="P8" t="s">
        <v>42</v>
      </c>
      <c r="S8" t="s">
        <v>43</v>
      </c>
      <c r="T8">
        <v>75</v>
      </c>
      <c r="U8">
        <v>86.23</v>
      </c>
      <c r="V8">
        <v>42.86</v>
      </c>
      <c r="W8" t="s">
        <v>44</v>
      </c>
      <c r="X8">
        <v>8</v>
      </c>
      <c r="Y8">
        <v>65</v>
      </c>
      <c r="Z8">
        <v>9.69</v>
      </c>
      <c r="AA8">
        <v>95</v>
      </c>
      <c r="AB8">
        <v>1782747465</v>
      </c>
    </row>
    <row r="9" spans="1:28" x14ac:dyDescent="0.25">
      <c r="A9" t="s">
        <v>45</v>
      </c>
      <c r="B9" t="s">
        <v>46</v>
      </c>
      <c r="C9">
        <v>6</v>
      </c>
      <c r="D9" t="s">
        <v>40</v>
      </c>
      <c r="E9" s="3">
        <v>97</v>
      </c>
      <c r="F9" s="3"/>
      <c r="G9" s="3">
        <f t="shared" ref="G9:G18" si="3">(E9*0.8)+(H9*0.2)</f>
        <v>94.136500000000012</v>
      </c>
      <c r="H9" s="3">
        <v>82.682500000000005</v>
      </c>
      <c r="I9" s="3"/>
      <c r="J9" s="3"/>
      <c r="K9" s="2">
        <f t="shared" si="0"/>
        <v>18.54</v>
      </c>
      <c r="L9" s="2" t="str">
        <f t="shared" si="1"/>
        <v>E</v>
      </c>
      <c r="M9" t="str">
        <f t="shared" si="2"/>
        <v>0</v>
      </c>
      <c r="N9" t="s">
        <v>47</v>
      </c>
      <c r="O9">
        <v>24060123140174</v>
      </c>
      <c r="P9" t="s">
        <v>48</v>
      </c>
      <c r="S9" t="s">
        <v>49</v>
      </c>
      <c r="T9">
        <v>66.67</v>
      </c>
      <c r="U9">
        <v>84.06</v>
      </c>
      <c r="V9">
        <v>100</v>
      </c>
      <c r="W9" t="s">
        <v>44</v>
      </c>
      <c r="X9">
        <v>9.5</v>
      </c>
      <c r="Y9">
        <v>80</v>
      </c>
      <c r="Z9">
        <v>9.59</v>
      </c>
      <c r="AA9">
        <v>97</v>
      </c>
      <c r="AB9">
        <v>1782747465</v>
      </c>
    </row>
    <row r="10" spans="1:28" x14ac:dyDescent="0.25">
      <c r="A10" t="s">
        <v>50</v>
      </c>
      <c r="B10" t="s">
        <v>51</v>
      </c>
      <c r="C10">
        <v>6</v>
      </c>
      <c r="D10" t="s">
        <v>40</v>
      </c>
      <c r="E10" s="3">
        <v>92</v>
      </c>
      <c r="F10" s="3"/>
      <c r="G10" s="3">
        <f t="shared" si="3"/>
        <v>86.093500000000006</v>
      </c>
      <c r="H10" s="3">
        <v>62.467500000000001</v>
      </c>
      <c r="I10" s="3"/>
      <c r="J10" s="3"/>
      <c r="K10" s="2">
        <f t="shared" si="0"/>
        <v>16.63</v>
      </c>
      <c r="L10" s="2" t="str">
        <f t="shared" si="1"/>
        <v>E</v>
      </c>
      <c r="M10" t="str">
        <f t="shared" si="2"/>
        <v>0</v>
      </c>
      <c r="N10" t="s">
        <v>52</v>
      </c>
      <c r="O10">
        <v>24060123130067</v>
      </c>
      <c r="P10" t="s">
        <v>53</v>
      </c>
      <c r="S10" t="s">
        <v>54</v>
      </c>
      <c r="T10">
        <v>75</v>
      </c>
      <c r="U10">
        <v>91.3</v>
      </c>
      <c r="V10">
        <v>28.57</v>
      </c>
      <c r="W10" t="s">
        <v>44</v>
      </c>
      <c r="X10">
        <v>10</v>
      </c>
      <c r="Y10">
        <v>55</v>
      </c>
      <c r="Z10">
        <v>8.8699999999999992</v>
      </c>
      <c r="AA10">
        <v>92</v>
      </c>
      <c r="AB10">
        <v>1782747465</v>
      </c>
    </row>
    <row r="11" spans="1:28" x14ac:dyDescent="0.25">
      <c r="A11" t="s">
        <v>55</v>
      </c>
      <c r="B11" t="s">
        <v>56</v>
      </c>
      <c r="C11">
        <v>6</v>
      </c>
      <c r="D11" t="s">
        <v>40</v>
      </c>
      <c r="E11" s="3">
        <v>83.92</v>
      </c>
      <c r="F11" s="3"/>
      <c r="G11" s="3">
        <f t="shared" si="3"/>
        <v>74.63600000000001</v>
      </c>
      <c r="H11" s="3">
        <v>37.5</v>
      </c>
      <c r="I11" s="3"/>
      <c r="J11" s="3"/>
      <c r="K11" s="2">
        <f t="shared" si="0"/>
        <v>14</v>
      </c>
      <c r="L11" s="2" t="str">
        <f t="shared" si="1"/>
        <v>E</v>
      </c>
      <c r="M11" t="str">
        <f t="shared" si="2"/>
        <v>0</v>
      </c>
      <c r="N11" t="s">
        <v>57</v>
      </c>
      <c r="O11">
        <v>24060123140137</v>
      </c>
      <c r="P11" t="s">
        <v>58</v>
      </c>
      <c r="S11" t="s">
        <v>59</v>
      </c>
      <c r="T11">
        <v>75</v>
      </c>
      <c r="U11" t="s">
        <v>44</v>
      </c>
      <c r="V11" t="s">
        <v>44</v>
      </c>
      <c r="W11" t="s">
        <v>44</v>
      </c>
      <c r="X11">
        <v>8.5</v>
      </c>
      <c r="Y11">
        <v>75</v>
      </c>
      <c r="Z11" t="s">
        <v>44</v>
      </c>
      <c r="AA11">
        <v>83.92</v>
      </c>
      <c r="AB11">
        <v>1782747465</v>
      </c>
    </row>
    <row r="12" spans="1:28" x14ac:dyDescent="0.25">
      <c r="A12" t="s">
        <v>60</v>
      </c>
      <c r="B12" t="s">
        <v>61</v>
      </c>
      <c r="C12">
        <v>6</v>
      </c>
      <c r="D12" t="s">
        <v>40</v>
      </c>
      <c r="E12" s="3">
        <v>93</v>
      </c>
      <c r="F12" s="3"/>
      <c r="G12" s="3">
        <f t="shared" si="3"/>
        <v>78.400000000000006</v>
      </c>
      <c r="H12" s="3">
        <v>20</v>
      </c>
      <c r="I12" s="3"/>
      <c r="J12" s="3"/>
      <c r="K12" s="2">
        <f t="shared" si="0"/>
        <v>14.22</v>
      </c>
      <c r="L12" s="2" t="str">
        <f t="shared" si="1"/>
        <v>E</v>
      </c>
      <c r="M12" t="str">
        <f t="shared" si="2"/>
        <v>0</v>
      </c>
      <c r="N12" t="s">
        <v>62</v>
      </c>
      <c r="O12">
        <v>24060123140140</v>
      </c>
      <c r="P12" t="s">
        <v>63</v>
      </c>
      <c r="S12" t="s">
        <v>64</v>
      </c>
      <c r="T12" t="s">
        <v>44</v>
      </c>
      <c r="U12" t="s">
        <v>44</v>
      </c>
      <c r="V12" t="s">
        <v>44</v>
      </c>
      <c r="W12" t="s">
        <v>44</v>
      </c>
      <c r="X12">
        <v>9.5</v>
      </c>
      <c r="Y12">
        <v>80</v>
      </c>
      <c r="Z12" t="s">
        <v>44</v>
      </c>
      <c r="AA12">
        <v>93</v>
      </c>
      <c r="AB12">
        <v>1782747465</v>
      </c>
    </row>
    <row r="13" spans="1:28" x14ac:dyDescent="0.25">
      <c r="A13" t="s">
        <v>65</v>
      </c>
      <c r="B13" t="s">
        <v>66</v>
      </c>
      <c r="C13">
        <v>6</v>
      </c>
      <c r="D13" t="s">
        <v>67</v>
      </c>
      <c r="E13" s="3">
        <v>99</v>
      </c>
      <c r="F13" s="3"/>
      <c r="G13" s="3">
        <f t="shared" si="3"/>
        <v>83.366500000000002</v>
      </c>
      <c r="H13" s="3">
        <v>20.8325</v>
      </c>
      <c r="I13" s="3"/>
      <c r="J13" s="3"/>
      <c r="K13" s="2">
        <f t="shared" si="0"/>
        <v>15.11</v>
      </c>
      <c r="L13" s="2" t="str">
        <f t="shared" si="1"/>
        <v>E</v>
      </c>
      <c r="M13" t="str">
        <f t="shared" si="2"/>
        <v>0</v>
      </c>
      <c r="N13" t="s">
        <v>68</v>
      </c>
      <c r="O13">
        <v>24060123140131</v>
      </c>
      <c r="P13" t="s">
        <v>69</v>
      </c>
      <c r="S13" t="s">
        <v>70</v>
      </c>
      <c r="T13">
        <v>83.33</v>
      </c>
      <c r="U13" t="s">
        <v>44</v>
      </c>
      <c r="V13" t="s">
        <v>44</v>
      </c>
      <c r="W13" t="s">
        <v>44</v>
      </c>
      <c r="X13">
        <v>10</v>
      </c>
      <c r="Y13" t="s">
        <v>44</v>
      </c>
      <c r="Z13">
        <v>9.69</v>
      </c>
      <c r="AA13">
        <v>99</v>
      </c>
      <c r="AB13">
        <v>1782747465</v>
      </c>
    </row>
    <row r="14" spans="1:28" x14ac:dyDescent="0.25">
      <c r="A14" t="s">
        <v>71</v>
      </c>
      <c r="B14" t="s">
        <v>72</v>
      </c>
      <c r="C14">
        <v>6</v>
      </c>
      <c r="D14" t="s">
        <v>40</v>
      </c>
      <c r="E14" s="3">
        <v>95</v>
      </c>
      <c r="F14" s="3"/>
      <c r="G14" s="3">
        <f t="shared" si="3"/>
        <v>88.506</v>
      </c>
      <c r="H14" s="3">
        <v>62.53</v>
      </c>
      <c r="I14" s="3"/>
      <c r="J14" s="3"/>
      <c r="K14" s="2">
        <f t="shared" si="0"/>
        <v>17.05</v>
      </c>
      <c r="L14" s="2" t="str">
        <f t="shared" si="1"/>
        <v>E</v>
      </c>
      <c r="M14" t="str">
        <f t="shared" si="2"/>
        <v>0</v>
      </c>
      <c r="N14" t="s">
        <v>73</v>
      </c>
      <c r="O14">
        <v>24060123140171</v>
      </c>
      <c r="P14" t="s">
        <v>74</v>
      </c>
      <c r="S14" t="s">
        <v>75</v>
      </c>
      <c r="T14">
        <v>83.33</v>
      </c>
      <c r="U14">
        <v>50.36</v>
      </c>
      <c r="V14">
        <v>71.430000000000007</v>
      </c>
      <c r="W14" t="s">
        <v>44</v>
      </c>
      <c r="X14">
        <v>8</v>
      </c>
      <c r="Y14">
        <v>45</v>
      </c>
      <c r="Z14">
        <v>8.89</v>
      </c>
      <c r="AA14">
        <v>95</v>
      </c>
      <c r="AB14">
        <v>1782747465</v>
      </c>
    </row>
    <row r="15" spans="1:28" x14ac:dyDescent="0.25">
      <c r="A15" t="s">
        <v>76</v>
      </c>
      <c r="B15" t="s">
        <v>77</v>
      </c>
      <c r="C15">
        <v>6</v>
      </c>
      <c r="D15" t="s">
        <v>40</v>
      </c>
      <c r="E15" s="3">
        <v>93</v>
      </c>
      <c r="F15" s="3"/>
      <c r="G15" s="3">
        <f t="shared" si="3"/>
        <v>88.797000000000011</v>
      </c>
      <c r="H15" s="3">
        <v>71.984999999999999</v>
      </c>
      <c r="I15" s="3"/>
      <c r="J15" s="3"/>
      <c r="K15" s="2">
        <f t="shared" si="0"/>
        <v>17.34</v>
      </c>
      <c r="L15" s="2" t="str">
        <f t="shared" si="1"/>
        <v>E</v>
      </c>
      <c r="M15" t="str">
        <f t="shared" si="2"/>
        <v>0</v>
      </c>
      <c r="N15" t="s">
        <v>78</v>
      </c>
      <c r="O15">
        <v>24060123140184</v>
      </c>
      <c r="P15" t="s">
        <v>79</v>
      </c>
      <c r="S15" t="s">
        <v>80</v>
      </c>
      <c r="T15">
        <v>66.67</v>
      </c>
      <c r="U15">
        <v>88.41</v>
      </c>
      <c r="V15">
        <v>42.86</v>
      </c>
      <c r="W15" t="s">
        <v>44</v>
      </c>
      <c r="X15">
        <v>8.5</v>
      </c>
      <c r="Y15">
        <v>90</v>
      </c>
      <c r="Z15">
        <v>8.3699999999999992</v>
      </c>
      <c r="AA15">
        <v>93</v>
      </c>
      <c r="AB15">
        <v>1782747465</v>
      </c>
    </row>
    <row r="16" spans="1:28" x14ac:dyDescent="0.25">
      <c r="A16" t="s">
        <v>81</v>
      </c>
      <c r="B16" t="s">
        <v>82</v>
      </c>
      <c r="C16">
        <v>6</v>
      </c>
      <c r="D16" t="s">
        <v>40</v>
      </c>
      <c r="E16" s="3">
        <v>93</v>
      </c>
      <c r="F16" s="3"/>
      <c r="G16" s="3">
        <f t="shared" si="3"/>
        <v>78.650000000000006</v>
      </c>
      <c r="H16" s="3">
        <v>21.25</v>
      </c>
      <c r="I16" s="3"/>
      <c r="J16" s="3"/>
      <c r="K16" s="2">
        <f t="shared" si="0"/>
        <v>14.3</v>
      </c>
      <c r="L16" s="2" t="str">
        <f t="shared" si="1"/>
        <v>E</v>
      </c>
      <c r="M16" t="str">
        <f t="shared" si="2"/>
        <v>0</v>
      </c>
      <c r="N16" t="s">
        <v>83</v>
      </c>
      <c r="O16">
        <v>24060123140130</v>
      </c>
      <c r="P16" t="s">
        <v>84</v>
      </c>
      <c r="S16" t="s">
        <v>85</v>
      </c>
      <c r="T16" t="s">
        <v>44</v>
      </c>
      <c r="U16" t="s">
        <v>44</v>
      </c>
      <c r="V16" t="s">
        <v>44</v>
      </c>
      <c r="W16" t="s">
        <v>44</v>
      </c>
      <c r="X16">
        <v>8.5</v>
      </c>
      <c r="Y16">
        <v>85</v>
      </c>
      <c r="Z16" t="s">
        <v>44</v>
      </c>
      <c r="AA16">
        <v>93</v>
      </c>
      <c r="AB16">
        <v>1782747465</v>
      </c>
    </row>
    <row r="17" spans="1:28" x14ac:dyDescent="0.25">
      <c r="A17" t="s">
        <v>86</v>
      </c>
      <c r="B17" t="s">
        <v>87</v>
      </c>
      <c r="C17">
        <v>10</v>
      </c>
      <c r="D17" t="s">
        <v>40</v>
      </c>
      <c r="E17" s="3">
        <v>99</v>
      </c>
      <c r="F17" s="3"/>
      <c r="G17" s="3">
        <f t="shared" si="3"/>
        <v>95.862000000000009</v>
      </c>
      <c r="H17" s="3">
        <v>83.31</v>
      </c>
      <c r="I17" s="3"/>
      <c r="J17" s="3"/>
      <c r="K17" s="2">
        <f t="shared" si="0"/>
        <v>18.86</v>
      </c>
      <c r="L17" s="2" t="str">
        <f t="shared" si="1"/>
        <v>E</v>
      </c>
      <c r="M17" t="str">
        <f t="shared" si="2"/>
        <v>0</v>
      </c>
      <c r="N17" t="s">
        <v>88</v>
      </c>
      <c r="O17">
        <v>24060121120026</v>
      </c>
      <c r="P17" t="s">
        <v>89</v>
      </c>
      <c r="S17" t="s">
        <v>90</v>
      </c>
      <c r="T17">
        <v>58.33</v>
      </c>
      <c r="U17">
        <v>94.2</v>
      </c>
      <c r="V17">
        <v>85.71</v>
      </c>
      <c r="W17" t="s">
        <v>44</v>
      </c>
      <c r="X17">
        <v>10</v>
      </c>
      <c r="Y17">
        <v>95</v>
      </c>
      <c r="Z17">
        <v>9.9</v>
      </c>
      <c r="AA17">
        <v>99</v>
      </c>
      <c r="AB17">
        <v>1782747465</v>
      </c>
    </row>
    <row r="18" spans="1:28" x14ac:dyDescent="0.25">
      <c r="A18" t="s">
        <v>91</v>
      </c>
      <c r="B18" t="s">
        <v>92</v>
      </c>
      <c r="C18">
        <v>10</v>
      </c>
      <c r="D18" t="s">
        <v>67</v>
      </c>
      <c r="E18" s="3">
        <v>0</v>
      </c>
      <c r="F18" s="3"/>
      <c r="G18" s="3">
        <f t="shared" si="3"/>
        <v>9.8480000000000008</v>
      </c>
      <c r="H18" s="3">
        <v>49.24</v>
      </c>
      <c r="I18" s="3"/>
      <c r="J18" s="3"/>
      <c r="K18" s="2">
        <f t="shared" si="0"/>
        <v>2.95</v>
      </c>
      <c r="L18" s="2" t="str">
        <f t="shared" si="1"/>
        <v>E</v>
      </c>
      <c r="M18" t="str">
        <f t="shared" si="2"/>
        <v>0</v>
      </c>
      <c r="N18" t="s">
        <v>93</v>
      </c>
      <c r="O18">
        <v>24060121130059</v>
      </c>
      <c r="P18" t="s">
        <v>94</v>
      </c>
      <c r="S18" t="s">
        <v>95</v>
      </c>
      <c r="T18" t="s">
        <v>44</v>
      </c>
      <c r="U18">
        <v>36.96</v>
      </c>
      <c r="V18">
        <v>100</v>
      </c>
      <c r="W18" t="s">
        <v>44</v>
      </c>
      <c r="X18">
        <v>9</v>
      </c>
      <c r="Y18">
        <v>60</v>
      </c>
      <c r="Z18">
        <v>9.07</v>
      </c>
      <c r="AA18" t="s">
        <v>44</v>
      </c>
      <c r="AB18">
        <v>1782747465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9181-0D80-4450-8ED9-9FDD9B3A5E97}">
  <dimension ref="A7:K18"/>
  <sheetViews>
    <sheetView workbookViewId="0">
      <selection activeCell="K8" sqref="K8:K18"/>
    </sheetView>
  </sheetViews>
  <sheetFormatPr defaultRowHeight="15" x14ac:dyDescent="0.25"/>
  <sheetData>
    <row r="7" spans="1:11" x14ac:dyDescent="0.25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34</v>
      </c>
    </row>
    <row r="8" spans="1:11" x14ac:dyDescent="0.25">
      <c r="A8" t="s">
        <v>41</v>
      </c>
      <c r="B8">
        <v>24060123140045</v>
      </c>
      <c r="C8" t="s">
        <v>42</v>
      </c>
      <c r="F8" t="s">
        <v>43</v>
      </c>
      <c r="G8">
        <v>75</v>
      </c>
      <c r="H8">
        <v>86.23</v>
      </c>
      <c r="I8">
        <v>42.86</v>
      </c>
      <c r="J8">
        <v>65</v>
      </c>
      <c r="K8">
        <f>SUM(G8:J8)/4</f>
        <v>67.272500000000008</v>
      </c>
    </row>
    <row r="9" spans="1:11" x14ac:dyDescent="0.25">
      <c r="A9" t="s">
        <v>47</v>
      </c>
      <c r="B9">
        <v>24060123140174</v>
      </c>
      <c r="C9" t="s">
        <v>48</v>
      </c>
      <c r="F9" t="s">
        <v>49</v>
      </c>
      <c r="G9">
        <v>66.67</v>
      </c>
      <c r="H9">
        <v>84.06</v>
      </c>
      <c r="I9">
        <v>100</v>
      </c>
      <c r="J9">
        <v>80</v>
      </c>
      <c r="K9">
        <f t="shared" ref="K9:K18" si="0">SUM(G9:J9)/4</f>
        <v>82.682500000000005</v>
      </c>
    </row>
    <row r="10" spans="1:11" x14ac:dyDescent="0.25">
      <c r="A10" t="s">
        <v>52</v>
      </c>
      <c r="B10">
        <v>24060123130067</v>
      </c>
      <c r="C10" t="s">
        <v>53</v>
      </c>
      <c r="F10" t="s">
        <v>54</v>
      </c>
      <c r="G10">
        <v>75</v>
      </c>
      <c r="H10">
        <v>91.3</v>
      </c>
      <c r="I10">
        <v>28.57</v>
      </c>
      <c r="J10">
        <v>55</v>
      </c>
      <c r="K10">
        <f t="shared" si="0"/>
        <v>62.467500000000001</v>
      </c>
    </row>
    <row r="11" spans="1:11" x14ac:dyDescent="0.25">
      <c r="A11" t="s">
        <v>57</v>
      </c>
      <c r="B11">
        <v>24060123140137</v>
      </c>
      <c r="C11" t="s">
        <v>58</v>
      </c>
      <c r="F11" t="s">
        <v>59</v>
      </c>
      <c r="G11">
        <v>75</v>
      </c>
      <c r="H11" t="s">
        <v>44</v>
      </c>
      <c r="I11" t="s">
        <v>44</v>
      </c>
      <c r="J11">
        <v>75</v>
      </c>
      <c r="K11">
        <f t="shared" si="0"/>
        <v>37.5</v>
      </c>
    </row>
    <row r="12" spans="1:11" x14ac:dyDescent="0.25">
      <c r="A12" t="s">
        <v>62</v>
      </c>
      <c r="B12">
        <v>24060123140140</v>
      </c>
      <c r="C12" t="s">
        <v>63</v>
      </c>
      <c r="F12" t="s">
        <v>64</v>
      </c>
      <c r="G12" t="s">
        <v>44</v>
      </c>
      <c r="H12" t="s">
        <v>44</v>
      </c>
      <c r="I12" t="s">
        <v>44</v>
      </c>
      <c r="J12">
        <v>80</v>
      </c>
      <c r="K12">
        <f t="shared" si="0"/>
        <v>20</v>
      </c>
    </row>
    <row r="13" spans="1:11" x14ac:dyDescent="0.25">
      <c r="A13" t="s">
        <v>68</v>
      </c>
      <c r="B13">
        <v>24060123140131</v>
      </c>
      <c r="C13" t="s">
        <v>69</v>
      </c>
      <c r="F13" t="s">
        <v>70</v>
      </c>
      <c r="G13">
        <v>83.33</v>
      </c>
      <c r="H13" t="s">
        <v>44</v>
      </c>
      <c r="I13" t="s">
        <v>44</v>
      </c>
      <c r="J13" t="s">
        <v>44</v>
      </c>
      <c r="K13">
        <f t="shared" si="0"/>
        <v>20.8325</v>
      </c>
    </row>
    <row r="14" spans="1:11" x14ac:dyDescent="0.25">
      <c r="A14" t="s">
        <v>73</v>
      </c>
      <c r="B14">
        <v>24060123140171</v>
      </c>
      <c r="C14" t="s">
        <v>74</v>
      </c>
      <c r="F14" t="s">
        <v>75</v>
      </c>
      <c r="G14">
        <v>83.33</v>
      </c>
      <c r="H14">
        <v>50.36</v>
      </c>
      <c r="I14">
        <v>71.430000000000007</v>
      </c>
      <c r="J14">
        <v>45</v>
      </c>
      <c r="K14">
        <f t="shared" si="0"/>
        <v>62.53</v>
      </c>
    </row>
    <row r="15" spans="1:11" x14ac:dyDescent="0.25">
      <c r="A15" t="s">
        <v>78</v>
      </c>
      <c r="B15">
        <v>24060123140184</v>
      </c>
      <c r="C15" t="s">
        <v>79</v>
      </c>
      <c r="F15" t="s">
        <v>80</v>
      </c>
      <c r="G15">
        <v>66.67</v>
      </c>
      <c r="H15">
        <v>88.41</v>
      </c>
      <c r="I15">
        <v>42.86</v>
      </c>
      <c r="J15">
        <v>90</v>
      </c>
      <c r="K15">
        <f t="shared" si="0"/>
        <v>71.984999999999999</v>
      </c>
    </row>
    <row r="16" spans="1:11" x14ac:dyDescent="0.25">
      <c r="A16" t="s">
        <v>83</v>
      </c>
      <c r="B16">
        <v>24060123140130</v>
      </c>
      <c r="C16" t="s">
        <v>84</v>
      </c>
      <c r="F16" t="s">
        <v>85</v>
      </c>
      <c r="G16" t="s">
        <v>44</v>
      </c>
      <c r="H16" t="s">
        <v>44</v>
      </c>
      <c r="I16" t="s">
        <v>44</v>
      </c>
      <c r="J16">
        <v>85</v>
      </c>
      <c r="K16">
        <f t="shared" si="0"/>
        <v>21.25</v>
      </c>
    </row>
    <row r="17" spans="1:11" x14ac:dyDescent="0.25">
      <c r="A17" t="s">
        <v>88</v>
      </c>
      <c r="B17">
        <v>24060121120026</v>
      </c>
      <c r="C17" t="s">
        <v>89</v>
      </c>
      <c r="F17" t="s">
        <v>90</v>
      </c>
      <c r="G17">
        <v>58.33</v>
      </c>
      <c r="H17">
        <v>94.2</v>
      </c>
      <c r="I17">
        <v>85.71</v>
      </c>
      <c r="J17">
        <v>95</v>
      </c>
      <c r="K17">
        <f t="shared" si="0"/>
        <v>83.31</v>
      </c>
    </row>
    <row r="18" spans="1:11" x14ac:dyDescent="0.25">
      <c r="A18" t="s">
        <v>93</v>
      </c>
      <c r="B18">
        <v>24060121130059</v>
      </c>
      <c r="C18" t="s">
        <v>94</v>
      </c>
      <c r="F18" t="s">
        <v>95</v>
      </c>
      <c r="G18" t="s">
        <v>44</v>
      </c>
      <c r="H18">
        <v>36.96</v>
      </c>
      <c r="I18">
        <v>100</v>
      </c>
      <c r="J18">
        <v>60</v>
      </c>
      <c r="K18">
        <f t="shared" si="0"/>
        <v>49.24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"/>
  <sheetViews>
    <sheetView workbookViewId="0"/>
  </sheetViews>
  <sheetFormatPr defaultRowHeight="15" x14ac:dyDescent="0.25"/>
  <sheetData>
    <row r="1" spans="1:1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5" x14ac:dyDescent="0.25">
      <c r="A2" t="s">
        <v>88</v>
      </c>
      <c r="B2">
        <v>24060121120026</v>
      </c>
      <c r="C2" t="s">
        <v>89</v>
      </c>
      <c r="F2" t="s">
        <v>90</v>
      </c>
      <c r="G2">
        <v>58.33</v>
      </c>
      <c r="H2">
        <v>94.2</v>
      </c>
      <c r="I2">
        <v>85.71</v>
      </c>
      <c r="J2" t="s">
        <v>44</v>
      </c>
      <c r="K2">
        <v>10</v>
      </c>
      <c r="L2">
        <v>95</v>
      </c>
      <c r="M2">
        <v>9.9</v>
      </c>
      <c r="N2">
        <v>99</v>
      </c>
      <c r="O2">
        <v>1782747465</v>
      </c>
    </row>
    <row r="3" spans="1:15" x14ac:dyDescent="0.25">
      <c r="A3" t="s">
        <v>93</v>
      </c>
      <c r="B3">
        <v>24060121130059</v>
      </c>
      <c r="C3" t="s">
        <v>94</v>
      </c>
      <c r="F3" t="s">
        <v>95</v>
      </c>
      <c r="G3" t="s">
        <v>44</v>
      </c>
      <c r="H3">
        <v>36.96</v>
      </c>
      <c r="I3">
        <v>100</v>
      </c>
      <c r="J3" t="s">
        <v>44</v>
      </c>
      <c r="K3">
        <v>9</v>
      </c>
      <c r="L3">
        <v>60</v>
      </c>
      <c r="M3">
        <v>9.07</v>
      </c>
      <c r="N3" t="s">
        <v>44</v>
      </c>
      <c r="O3">
        <v>1782747465</v>
      </c>
    </row>
    <row r="4" spans="1:15" x14ac:dyDescent="0.25">
      <c r="A4" t="s">
        <v>52</v>
      </c>
      <c r="B4">
        <v>24060123130067</v>
      </c>
      <c r="C4" t="s">
        <v>53</v>
      </c>
      <c r="F4" t="s">
        <v>54</v>
      </c>
      <c r="G4">
        <v>75</v>
      </c>
      <c r="H4">
        <v>91.3</v>
      </c>
      <c r="I4">
        <v>28.57</v>
      </c>
      <c r="J4" t="s">
        <v>44</v>
      </c>
      <c r="K4">
        <v>10</v>
      </c>
      <c r="L4">
        <v>55</v>
      </c>
      <c r="M4">
        <v>8.8699999999999992</v>
      </c>
      <c r="N4">
        <v>92</v>
      </c>
      <c r="O4">
        <v>1782747465</v>
      </c>
    </row>
    <row r="5" spans="1:15" x14ac:dyDescent="0.25">
      <c r="A5" t="s">
        <v>41</v>
      </c>
      <c r="B5">
        <v>24060123140045</v>
      </c>
      <c r="C5" t="s">
        <v>42</v>
      </c>
      <c r="F5" t="s">
        <v>43</v>
      </c>
      <c r="G5">
        <v>75</v>
      </c>
      <c r="H5">
        <v>86.23</v>
      </c>
      <c r="I5">
        <v>42.86</v>
      </c>
      <c r="J5" t="s">
        <v>44</v>
      </c>
      <c r="K5">
        <v>8</v>
      </c>
      <c r="L5">
        <v>65</v>
      </c>
      <c r="M5">
        <v>9.69</v>
      </c>
      <c r="N5">
        <v>95</v>
      </c>
      <c r="O5">
        <v>1782747465</v>
      </c>
    </row>
    <row r="6" spans="1:15" x14ac:dyDescent="0.25">
      <c r="A6" t="s">
        <v>83</v>
      </c>
      <c r="B6">
        <v>24060123140130</v>
      </c>
      <c r="C6" t="s">
        <v>84</v>
      </c>
      <c r="F6" t="s">
        <v>85</v>
      </c>
      <c r="G6" t="s">
        <v>44</v>
      </c>
      <c r="H6" t="s">
        <v>44</v>
      </c>
      <c r="I6" t="s">
        <v>44</v>
      </c>
      <c r="J6" t="s">
        <v>44</v>
      </c>
      <c r="K6">
        <v>8.5</v>
      </c>
      <c r="L6">
        <v>85</v>
      </c>
      <c r="M6" t="s">
        <v>44</v>
      </c>
      <c r="N6">
        <v>93</v>
      </c>
      <c r="O6">
        <v>1782747465</v>
      </c>
    </row>
    <row r="7" spans="1:15" x14ac:dyDescent="0.25">
      <c r="A7" t="s">
        <v>68</v>
      </c>
      <c r="B7">
        <v>24060123140131</v>
      </c>
      <c r="C7" t="s">
        <v>69</v>
      </c>
      <c r="F7" t="s">
        <v>70</v>
      </c>
      <c r="G7">
        <v>83.33</v>
      </c>
      <c r="H7" t="s">
        <v>44</v>
      </c>
      <c r="I7" t="s">
        <v>44</v>
      </c>
      <c r="J7" t="s">
        <v>44</v>
      </c>
      <c r="K7">
        <v>10</v>
      </c>
      <c r="L7" t="s">
        <v>44</v>
      </c>
      <c r="M7">
        <v>9.69</v>
      </c>
      <c r="N7">
        <v>99</v>
      </c>
      <c r="O7">
        <v>1782747465</v>
      </c>
    </row>
    <row r="8" spans="1:15" x14ac:dyDescent="0.25">
      <c r="A8" t="s">
        <v>57</v>
      </c>
      <c r="B8">
        <v>24060123140137</v>
      </c>
      <c r="C8" t="s">
        <v>58</v>
      </c>
      <c r="F8" t="s">
        <v>59</v>
      </c>
      <c r="G8">
        <v>75</v>
      </c>
      <c r="H8" t="s">
        <v>44</v>
      </c>
      <c r="I8" t="s">
        <v>44</v>
      </c>
      <c r="J8" t="s">
        <v>44</v>
      </c>
      <c r="K8">
        <v>8.5</v>
      </c>
      <c r="L8">
        <v>75</v>
      </c>
      <c r="M8" t="s">
        <v>44</v>
      </c>
      <c r="N8">
        <v>83.92</v>
      </c>
      <c r="O8">
        <v>1782747465</v>
      </c>
    </row>
    <row r="9" spans="1:15" x14ac:dyDescent="0.25">
      <c r="A9" t="s">
        <v>62</v>
      </c>
      <c r="B9">
        <v>24060123140140</v>
      </c>
      <c r="C9" t="s">
        <v>63</v>
      </c>
      <c r="F9" t="s">
        <v>64</v>
      </c>
      <c r="G9" t="s">
        <v>44</v>
      </c>
      <c r="H9" t="s">
        <v>44</v>
      </c>
      <c r="I9" t="s">
        <v>44</v>
      </c>
      <c r="J9" t="s">
        <v>44</v>
      </c>
      <c r="K9">
        <v>9.5</v>
      </c>
      <c r="L9">
        <v>80</v>
      </c>
      <c r="M9" t="s">
        <v>44</v>
      </c>
      <c r="N9">
        <v>93</v>
      </c>
      <c r="O9">
        <v>1782747465</v>
      </c>
    </row>
    <row r="10" spans="1:15" x14ac:dyDescent="0.25">
      <c r="A10" t="s">
        <v>73</v>
      </c>
      <c r="B10">
        <v>24060123140171</v>
      </c>
      <c r="C10" t="s">
        <v>74</v>
      </c>
      <c r="F10" t="s">
        <v>75</v>
      </c>
      <c r="G10">
        <v>83.33</v>
      </c>
      <c r="H10">
        <v>50.36</v>
      </c>
      <c r="I10">
        <v>71.430000000000007</v>
      </c>
      <c r="J10" t="s">
        <v>44</v>
      </c>
      <c r="K10">
        <v>8</v>
      </c>
      <c r="L10">
        <v>45</v>
      </c>
      <c r="M10">
        <v>8.89</v>
      </c>
      <c r="N10">
        <v>95</v>
      </c>
      <c r="O10">
        <v>1782747465</v>
      </c>
    </row>
    <row r="11" spans="1:15" x14ac:dyDescent="0.25">
      <c r="A11" t="s">
        <v>47</v>
      </c>
      <c r="B11">
        <v>24060123140174</v>
      </c>
      <c r="C11" t="s">
        <v>48</v>
      </c>
      <c r="F11" t="s">
        <v>49</v>
      </c>
      <c r="G11">
        <v>66.67</v>
      </c>
      <c r="H11">
        <v>84.06</v>
      </c>
      <c r="I11">
        <v>100</v>
      </c>
      <c r="J11" t="s">
        <v>44</v>
      </c>
      <c r="K11">
        <v>9.5</v>
      </c>
      <c r="L11">
        <v>80</v>
      </c>
      <c r="M11">
        <v>9.59</v>
      </c>
      <c r="N11">
        <v>97</v>
      </c>
      <c r="O11">
        <v>1782747465</v>
      </c>
    </row>
    <row r="12" spans="1:15" x14ac:dyDescent="0.25">
      <c r="A12" t="s">
        <v>78</v>
      </c>
      <c r="B12">
        <v>24060123140184</v>
      </c>
      <c r="C12" t="s">
        <v>79</v>
      </c>
      <c r="F12" t="s">
        <v>80</v>
      </c>
      <c r="G12">
        <v>66.67</v>
      </c>
      <c r="H12">
        <v>88.41</v>
      </c>
      <c r="I12">
        <v>42.86</v>
      </c>
      <c r="J12" t="s">
        <v>44</v>
      </c>
      <c r="K12">
        <v>8.5</v>
      </c>
      <c r="L12">
        <v>90</v>
      </c>
      <c r="M12">
        <v>8.3699999999999992</v>
      </c>
      <c r="N12">
        <v>93</v>
      </c>
      <c r="O12">
        <v>1782747465</v>
      </c>
    </row>
    <row r="13" spans="1:15" x14ac:dyDescent="0.25">
      <c r="A13" t="s">
        <v>96</v>
      </c>
      <c r="B13">
        <v>24060124120004</v>
      </c>
      <c r="C13" t="s">
        <v>97</v>
      </c>
      <c r="F13" t="s">
        <v>98</v>
      </c>
      <c r="G13">
        <v>83.33</v>
      </c>
      <c r="H13">
        <v>76.81</v>
      </c>
      <c r="I13">
        <v>100</v>
      </c>
      <c r="J13" t="s">
        <v>44</v>
      </c>
      <c r="K13">
        <v>9.5</v>
      </c>
      <c r="L13">
        <v>100</v>
      </c>
      <c r="M13">
        <v>9.2799999999999994</v>
      </c>
      <c r="N13">
        <v>88</v>
      </c>
      <c r="O13">
        <v>1782747465</v>
      </c>
    </row>
    <row r="14" spans="1:15" x14ac:dyDescent="0.25">
      <c r="A14" t="s">
        <v>99</v>
      </c>
      <c r="B14">
        <v>24060124120008</v>
      </c>
      <c r="C14" t="s">
        <v>100</v>
      </c>
      <c r="F14" t="s">
        <v>101</v>
      </c>
      <c r="G14">
        <v>91.67</v>
      </c>
      <c r="H14">
        <v>100</v>
      </c>
      <c r="I14">
        <v>85.71</v>
      </c>
      <c r="J14" t="s">
        <v>44</v>
      </c>
      <c r="K14">
        <v>9.5</v>
      </c>
      <c r="L14">
        <v>95</v>
      </c>
      <c r="M14" t="s">
        <v>44</v>
      </c>
      <c r="N14">
        <v>96</v>
      </c>
      <c r="O14">
        <v>1782747465</v>
      </c>
    </row>
    <row r="15" spans="1:15" x14ac:dyDescent="0.25">
      <c r="A15" t="s">
        <v>102</v>
      </c>
      <c r="B15">
        <v>24060124120030</v>
      </c>
      <c r="C15" t="s">
        <v>103</v>
      </c>
      <c r="F15" t="s">
        <v>104</v>
      </c>
      <c r="G15">
        <v>83.33</v>
      </c>
      <c r="H15">
        <v>97.1</v>
      </c>
      <c r="I15">
        <v>100</v>
      </c>
      <c r="J15" t="s">
        <v>44</v>
      </c>
      <c r="K15">
        <v>9</v>
      </c>
      <c r="L15">
        <v>90</v>
      </c>
      <c r="M15" t="s">
        <v>44</v>
      </c>
      <c r="N15">
        <v>96</v>
      </c>
      <c r="O15">
        <v>1782747465</v>
      </c>
    </row>
    <row r="16" spans="1:15" x14ac:dyDescent="0.25">
      <c r="A16" t="s">
        <v>105</v>
      </c>
      <c r="B16">
        <v>24060124120036</v>
      </c>
      <c r="C16" t="s">
        <v>106</v>
      </c>
      <c r="F16" t="s">
        <v>107</v>
      </c>
      <c r="G16">
        <v>83.33</v>
      </c>
      <c r="H16">
        <v>80.430000000000007</v>
      </c>
      <c r="I16">
        <v>71.430000000000007</v>
      </c>
      <c r="J16" t="s">
        <v>44</v>
      </c>
      <c r="K16">
        <v>9</v>
      </c>
      <c r="L16">
        <v>50</v>
      </c>
      <c r="M16" t="s">
        <v>44</v>
      </c>
      <c r="N16">
        <v>93.67</v>
      </c>
      <c r="O16">
        <v>1782747465</v>
      </c>
    </row>
    <row r="17" spans="1:15" x14ac:dyDescent="0.25">
      <c r="A17" t="s">
        <v>108</v>
      </c>
      <c r="B17">
        <v>24060124120039</v>
      </c>
      <c r="C17" t="s">
        <v>109</v>
      </c>
      <c r="F17" t="s">
        <v>110</v>
      </c>
      <c r="G17">
        <v>50</v>
      </c>
      <c r="H17">
        <v>81.88</v>
      </c>
      <c r="I17">
        <v>85.71</v>
      </c>
      <c r="J17" t="s">
        <v>44</v>
      </c>
      <c r="K17">
        <v>8.5</v>
      </c>
      <c r="L17">
        <v>75</v>
      </c>
      <c r="M17">
        <v>9.3800000000000008</v>
      </c>
      <c r="N17">
        <v>94</v>
      </c>
      <c r="O17">
        <v>1782747465</v>
      </c>
    </row>
    <row r="18" spans="1:15" x14ac:dyDescent="0.25">
      <c r="A18" t="s">
        <v>111</v>
      </c>
      <c r="B18">
        <v>24060124120051</v>
      </c>
      <c r="C18" t="s">
        <v>112</v>
      </c>
      <c r="F18" t="s">
        <v>113</v>
      </c>
      <c r="G18">
        <v>50</v>
      </c>
      <c r="H18">
        <v>56.52</v>
      </c>
      <c r="I18">
        <v>100</v>
      </c>
      <c r="J18" t="s">
        <v>44</v>
      </c>
      <c r="K18">
        <v>8.5</v>
      </c>
      <c r="L18">
        <v>90</v>
      </c>
      <c r="M18">
        <v>9.48</v>
      </c>
      <c r="N18">
        <v>97</v>
      </c>
      <c r="O18">
        <v>1782747465</v>
      </c>
    </row>
    <row r="19" spans="1:15" x14ac:dyDescent="0.25">
      <c r="A19" t="s">
        <v>114</v>
      </c>
      <c r="B19">
        <v>24060124130054</v>
      </c>
      <c r="C19" t="s">
        <v>115</v>
      </c>
      <c r="F19" t="s">
        <v>116</v>
      </c>
      <c r="G19">
        <v>91.67</v>
      </c>
      <c r="H19">
        <v>86.96</v>
      </c>
      <c r="I19">
        <v>57.14</v>
      </c>
      <c r="J19" t="s">
        <v>44</v>
      </c>
      <c r="K19" t="s">
        <v>44</v>
      </c>
      <c r="L19">
        <v>90</v>
      </c>
      <c r="M19" t="s">
        <v>44</v>
      </c>
      <c r="N19">
        <v>94.33</v>
      </c>
      <c r="O19">
        <v>1782747465</v>
      </c>
    </row>
    <row r="20" spans="1:15" x14ac:dyDescent="0.25">
      <c r="A20" t="s">
        <v>117</v>
      </c>
      <c r="B20">
        <v>24060124130056</v>
      </c>
      <c r="C20" t="s">
        <v>118</v>
      </c>
      <c r="F20" t="s">
        <v>119</v>
      </c>
      <c r="G20">
        <v>50</v>
      </c>
      <c r="H20">
        <v>76.81</v>
      </c>
      <c r="I20">
        <v>85.71</v>
      </c>
      <c r="J20" t="s">
        <v>44</v>
      </c>
      <c r="K20" t="s">
        <v>44</v>
      </c>
      <c r="L20">
        <v>85</v>
      </c>
      <c r="M20">
        <v>1.24</v>
      </c>
      <c r="N20">
        <v>98</v>
      </c>
      <c r="O20">
        <v>1782747465</v>
      </c>
    </row>
    <row r="21" spans="1:15" x14ac:dyDescent="0.25">
      <c r="A21" t="s">
        <v>120</v>
      </c>
      <c r="B21">
        <v>24060124130065</v>
      </c>
      <c r="C21" t="s">
        <v>121</v>
      </c>
      <c r="F21" t="s">
        <v>122</v>
      </c>
      <c r="G21">
        <v>83.33</v>
      </c>
      <c r="H21">
        <v>94.93</v>
      </c>
      <c r="I21">
        <v>85.71</v>
      </c>
      <c r="J21" t="s">
        <v>44</v>
      </c>
      <c r="K21">
        <v>9</v>
      </c>
      <c r="L21">
        <v>100</v>
      </c>
      <c r="M21" t="s">
        <v>44</v>
      </c>
      <c r="N21">
        <v>96</v>
      </c>
      <c r="O21">
        <v>1782747465</v>
      </c>
    </row>
    <row r="22" spans="1:15" x14ac:dyDescent="0.25">
      <c r="A22" t="s">
        <v>123</v>
      </c>
      <c r="B22">
        <v>24060124130072</v>
      </c>
      <c r="C22" t="s">
        <v>124</v>
      </c>
      <c r="F22" t="s">
        <v>125</v>
      </c>
      <c r="G22">
        <v>75</v>
      </c>
      <c r="H22">
        <v>88.41</v>
      </c>
      <c r="I22">
        <v>100</v>
      </c>
      <c r="J22" t="s">
        <v>44</v>
      </c>
      <c r="K22">
        <v>9.5</v>
      </c>
      <c r="L22">
        <v>95</v>
      </c>
      <c r="M22">
        <v>9.24</v>
      </c>
      <c r="N22">
        <v>95</v>
      </c>
      <c r="O22">
        <v>1782747465</v>
      </c>
    </row>
    <row r="23" spans="1:15" x14ac:dyDescent="0.25">
      <c r="A23" t="s">
        <v>126</v>
      </c>
      <c r="B23">
        <v>24060124130075</v>
      </c>
      <c r="C23" t="s">
        <v>127</v>
      </c>
      <c r="F23" t="s">
        <v>128</v>
      </c>
      <c r="G23">
        <v>83.33</v>
      </c>
      <c r="H23">
        <v>65.22</v>
      </c>
      <c r="I23">
        <v>85.71</v>
      </c>
      <c r="J23" t="s">
        <v>44</v>
      </c>
      <c r="K23">
        <v>9</v>
      </c>
      <c r="L23">
        <v>70</v>
      </c>
      <c r="M23">
        <v>5.05</v>
      </c>
      <c r="N23">
        <v>98</v>
      </c>
      <c r="O23">
        <v>1782747465</v>
      </c>
    </row>
    <row r="24" spans="1:15" x14ac:dyDescent="0.25">
      <c r="A24" t="s">
        <v>129</v>
      </c>
      <c r="B24">
        <v>24060124130092</v>
      </c>
      <c r="C24" t="s">
        <v>130</v>
      </c>
      <c r="F24" t="s">
        <v>131</v>
      </c>
      <c r="G24">
        <v>83.33</v>
      </c>
      <c r="H24">
        <v>89.13</v>
      </c>
      <c r="I24">
        <v>85.71</v>
      </c>
      <c r="J24" t="s">
        <v>44</v>
      </c>
      <c r="K24">
        <v>8</v>
      </c>
      <c r="L24">
        <v>80</v>
      </c>
      <c r="M24">
        <v>8.4499999999999993</v>
      </c>
      <c r="N24">
        <v>97</v>
      </c>
      <c r="O24">
        <v>1782747465</v>
      </c>
    </row>
    <row r="25" spans="1:15" x14ac:dyDescent="0.25">
      <c r="A25" t="s">
        <v>132</v>
      </c>
      <c r="B25">
        <v>24060124130095</v>
      </c>
      <c r="C25" t="s">
        <v>133</v>
      </c>
      <c r="F25" t="s">
        <v>134</v>
      </c>
      <c r="G25">
        <v>75</v>
      </c>
      <c r="H25">
        <v>91.3</v>
      </c>
      <c r="I25">
        <v>42.86</v>
      </c>
      <c r="J25" t="s">
        <v>44</v>
      </c>
      <c r="K25">
        <v>9</v>
      </c>
      <c r="L25">
        <v>100</v>
      </c>
      <c r="M25" t="s">
        <v>44</v>
      </c>
      <c r="N25">
        <v>95</v>
      </c>
      <c r="O25">
        <v>1782747465</v>
      </c>
    </row>
    <row r="26" spans="1:15" x14ac:dyDescent="0.25">
      <c r="A26" t="s">
        <v>135</v>
      </c>
      <c r="B26">
        <v>24060124130107</v>
      </c>
      <c r="C26" t="s">
        <v>136</v>
      </c>
      <c r="F26" t="s">
        <v>137</v>
      </c>
      <c r="G26">
        <v>58.33</v>
      </c>
      <c r="H26">
        <v>93.48</v>
      </c>
      <c r="I26">
        <v>100</v>
      </c>
      <c r="J26" t="s">
        <v>44</v>
      </c>
      <c r="K26">
        <v>9.5</v>
      </c>
      <c r="L26">
        <v>95</v>
      </c>
      <c r="M26">
        <v>0.41</v>
      </c>
      <c r="N26">
        <v>92</v>
      </c>
      <c r="O26">
        <v>1782747465</v>
      </c>
    </row>
    <row r="27" spans="1:15" x14ac:dyDescent="0.25">
      <c r="A27" t="s">
        <v>138</v>
      </c>
      <c r="B27">
        <v>24060124130118</v>
      </c>
      <c r="C27" t="s">
        <v>139</v>
      </c>
      <c r="F27" t="s">
        <v>140</v>
      </c>
      <c r="G27">
        <v>41.67</v>
      </c>
      <c r="H27">
        <v>81.88</v>
      </c>
      <c r="I27">
        <v>85.71</v>
      </c>
      <c r="J27" t="s">
        <v>44</v>
      </c>
      <c r="K27">
        <v>9.5</v>
      </c>
      <c r="L27">
        <v>85</v>
      </c>
      <c r="M27">
        <v>9.3800000000000008</v>
      </c>
      <c r="N27">
        <v>95</v>
      </c>
      <c r="O27">
        <v>1782747465</v>
      </c>
    </row>
    <row r="28" spans="1:15" x14ac:dyDescent="0.25">
      <c r="A28" t="s">
        <v>141</v>
      </c>
      <c r="B28">
        <v>24060124130119</v>
      </c>
      <c r="C28" t="s">
        <v>142</v>
      </c>
      <c r="F28" t="s">
        <v>143</v>
      </c>
      <c r="G28">
        <v>75</v>
      </c>
      <c r="H28">
        <v>53.62</v>
      </c>
      <c r="I28">
        <v>14.29</v>
      </c>
      <c r="J28" t="s">
        <v>44</v>
      </c>
      <c r="K28">
        <v>9.5</v>
      </c>
      <c r="L28" t="s">
        <v>44</v>
      </c>
      <c r="M28">
        <v>9.18</v>
      </c>
      <c r="N28">
        <v>95</v>
      </c>
      <c r="O28">
        <v>1782747465</v>
      </c>
    </row>
    <row r="29" spans="1:15" x14ac:dyDescent="0.25">
      <c r="A29" t="s">
        <v>144</v>
      </c>
      <c r="B29">
        <v>24060124140126</v>
      </c>
      <c r="C29" t="s">
        <v>145</v>
      </c>
      <c r="F29" t="s">
        <v>146</v>
      </c>
      <c r="G29">
        <v>75</v>
      </c>
      <c r="H29">
        <v>62.32</v>
      </c>
      <c r="I29">
        <v>100</v>
      </c>
      <c r="J29" t="s">
        <v>44</v>
      </c>
      <c r="K29">
        <v>9.5</v>
      </c>
      <c r="L29">
        <v>95</v>
      </c>
      <c r="M29">
        <v>0.1</v>
      </c>
      <c r="N29">
        <v>92.33</v>
      </c>
      <c r="O29">
        <v>1782747465</v>
      </c>
    </row>
    <row r="30" spans="1:15" x14ac:dyDescent="0.25">
      <c r="A30" t="s">
        <v>147</v>
      </c>
      <c r="B30">
        <v>24060124140130</v>
      </c>
      <c r="C30" t="s">
        <v>148</v>
      </c>
      <c r="F30" t="s">
        <v>149</v>
      </c>
      <c r="G30">
        <v>75</v>
      </c>
      <c r="H30">
        <v>56.52</v>
      </c>
      <c r="I30">
        <v>71.430000000000007</v>
      </c>
      <c r="J30" t="s">
        <v>44</v>
      </c>
      <c r="K30">
        <v>10</v>
      </c>
      <c r="L30">
        <v>60</v>
      </c>
      <c r="M30">
        <v>7.63</v>
      </c>
      <c r="N30">
        <v>91</v>
      </c>
      <c r="O30">
        <v>1782747465</v>
      </c>
    </row>
    <row r="31" spans="1:15" x14ac:dyDescent="0.25">
      <c r="A31" t="s">
        <v>150</v>
      </c>
      <c r="B31">
        <v>24060124140133</v>
      </c>
      <c r="C31" t="s">
        <v>151</v>
      </c>
      <c r="F31" t="s">
        <v>152</v>
      </c>
      <c r="G31">
        <v>25</v>
      </c>
      <c r="H31">
        <v>65.94</v>
      </c>
      <c r="I31">
        <v>85.71</v>
      </c>
      <c r="J31" t="s">
        <v>44</v>
      </c>
      <c r="K31">
        <v>8</v>
      </c>
      <c r="L31">
        <v>80</v>
      </c>
      <c r="M31">
        <v>9.2799999999999994</v>
      </c>
      <c r="N31">
        <v>92</v>
      </c>
      <c r="O31">
        <v>1782747465</v>
      </c>
    </row>
    <row r="32" spans="1:15" x14ac:dyDescent="0.25">
      <c r="A32" t="s">
        <v>153</v>
      </c>
      <c r="B32">
        <v>24060124140138</v>
      </c>
      <c r="C32" t="s">
        <v>154</v>
      </c>
      <c r="F32" t="s">
        <v>155</v>
      </c>
      <c r="G32">
        <v>58.33</v>
      </c>
      <c r="H32">
        <v>63.77</v>
      </c>
      <c r="I32">
        <v>42.86</v>
      </c>
      <c r="J32" t="s">
        <v>44</v>
      </c>
      <c r="K32">
        <v>10</v>
      </c>
      <c r="L32">
        <v>70</v>
      </c>
      <c r="M32">
        <v>5.36</v>
      </c>
      <c r="N32">
        <v>89</v>
      </c>
      <c r="O32">
        <v>1782747465</v>
      </c>
    </row>
    <row r="33" spans="1:15" x14ac:dyDescent="0.25">
      <c r="A33" t="s">
        <v>156</v>
      </c>
      <c r="B33">
        <v>24060124140145</v>
      </c>
      <c r="C33" t="s">
        <v>157</v>
      </c>
      <c r="F33" t="s">
        <v>158</v>
      </c>
      <c r="G33">
        <v>50</v>
      </c>
      <c r="H33">
        <v>79.709999999999994</v>
      </c>
      <c r="I33">
        <v>100</v>
      </c>
      <c r="J33" t="s">
        <v>44</v>
      </c>
      <c r="K33">
        <v>5.5</v>
      </c>
      <c r="L33">
        <v>95</v>
      </c>
      <c r="M33">
        <v>8.2100000000000009</v>
      </c>
      <c r="N33">
        <v>85.33</v>
      </c>
      <c r="O33">
        <v>1782747465</v>
      </c>
    </row>
    <row r="34" spans="1:15" x14ac:dyDescent="0.25">
      <c r="A34" t="s">
        <v>159</v>
      </c>
      <c r="B34">
        <v>24060124140149</v>
      </c>
      <c r="C34" t="s">
        <v>160</v>
      </c>
      <c r="F34" t="s">
        <v>161</v>
      </c>
      <c r="G34">
        <v>58.33</v>
      </c>
      <c r="H34">
        <v>88.41</v>
      </c>
      <c r="I34">
        <v>57.14</v>
      </c>
      <c r="J34" t="s">
        <v>44</v>
      </c>
      <c r="K34">
        <v>9.5</v>
      </c>
      <c r="L34">
        <v>60</v>
      </c>
      <c r="M34">
        <v>9</v>
      </c>
      <c r="N34">
        <v>91</v>
      </c>
      <c r="O34">
        <v>1782747465</v>
      </c>
    </row>
    <row r="35" spans="1:15" x14ac:dyDescent="0.25">
      <c r="A35" t="s">
        <v>162</v>
      </c>
      <c r="B35">
        <v>24060124140150</v>
      </c>
      <c r="C35" t="s">
        <v>163</v>
      </c>
      <c r="F35" t="s">
        <v>164</v>
      </c>
      <c r="G35">
        <v>83.33</v>
      </c>
      <c r="H35">
        <v>84.78</v>
      </c>
      <c r="I35">
        <v>71.430000000000007</v>
      </c>
      <c r="J35" t="s">
        <v>44</v>
      </c>
      <c r="K35">
        <v>9.5</v>
      </c>
      <c r="L35">
        <v>85</v>
      </c>
      <c r="M35">
        <v>8.59</v>
      </c>
      <c r="N35">
        <v>67</v>
      </c>
      <c r="O35">
        <v>1782747465</v>
      </c>
    </row>
    <row r="36" spans="1:15" x14ac:dyDescent="0.25">
      <c r="A36" t="s">
        <v>165</v>
      </c>
      <c r="B36">
        <v>24060124140160</v>
      </c>
      <c r="C36" t="s">
        <v>166</v>
      </c>
      <c r="F36" t="s">
        <v>167</v>
      </c>
      <c r="G36">
        <v>58.33</v>
      </c>
      <c r="H36">
        <v>72.099999999999994</v>
      </c>
      <c r="I36">
        <v>71.430000000000007</v>
      </c>
      <c r="J36" t="s">
        <v>44</v>
      </c>
      <c r="K36">
        <v>5.5</v>
      </c>
      <c r="L36">
        <v>70</v>
      </c>
      <c r="M36">
        <v>8.8699999999999992</v>
      </c>
      <c r="N36">
        <v>93</v>
      </c>
      <c r="O36">
        <v>1782747465</v>
      </c>
    </row>
    <row r="37" spans="1:15" x14ac:dyDescent="0.25">
      <c r="A37" t="s">
        <v>168</v>
      </c>
      <c r="B37">
        <v>24060124140161</v>
      </c>
      <c r="C37" t="s">
        <v>169</v>
      </c>
      <c r="F37" t="s">
        <v>170</v>
      </c>
      <c r="G37">
        <v>50</v>
      </c>
      <c r="H37">
        <v>88.41</v>
      </c>
      <c r="I37">
        <v>57.14</v>
      </c>
      <c r="J37" t="s">
        <v>44</v>
      </c>
      <c r="K37">
        <v>5.5</v>
      </c>
      <c r="L37">
        <v>80</v>
      </c>
      <c r="M37" t="s">
        <v>44</v>
      </c>
      <c r="N37">
        <v>81</v>
      </c>
      <c r="O37">
        <v>1782747465</v>
      </c>
    </row>
    <row r="38" spans="1:15" x14ac:dyDescent="0.25">
      <c r="A38" t="s">
        <v>171</v>
      </c>
      <c r="B38">
        <v>24060124140164</v>
      </c>
      <c r="C38" t="s">
        <v>172</v>
      </c>
      <c r="F38" t="s">
        <v>173</v>
      </c>
      <c r="G38">
        <v>50</v>
      </c>
      <c r="H38">
        <v>75.36</v>
      </c>
      <c r="I38">
        <v>71.430000000000007</v>
      </c>
      <c r="J38" t="s">
        <v>44</v>
      </c>
      <c r="K38">
        <v>10</v>
      </c>
      <c r="L38">
        <v>70</v>
      </c>
      <c r="M38" t="s">
        <v>44</v>
      </c>
      <c r="N38">
        <v>84</v>
      </c>
      <c r="O38">
        <v>1782747465</v>
      </c>
    </row>
    <row r="39" spans="1:15" x14ac:dyDescent="0.25">
      <c r="A39" t="s">
        <v>174</v>
      </c>
      <c r="B39">
        <v>24060124140165</v>
      </c>
      <c r="C39" t="s">
        <v>175</v>
      </c>
      <c r="F39" t="s">
        <v>176</v>
      </c>
      <c r="G39">
        <v>91.67</v>
      </c>
      <c r="H39">
        <v>100</v>
      </c>
      <c r="I39">
        <v>85.71</v>
      </c>
      <c r="J39" t="s">
        <v>44</v>
      </c>
      <c r="K39">
        <v>10</v>
      </c>
      <c r="L39">
        <v>85</v>
      </c>
      <c r="M39">
        <v>9.9</v>
      </c>
      <c r="N39">
        <v>99</v>
      </c>
      <c r="O39">
        <v>1782747465</v>
      </c>
    </row>
    <row r="40" spans="1:15" x14ac:dyDescent="0.25">
      <c r="A40" t="s">
        <v>177</v>
      </c>
      <c r="B40">
        <v>24060124140170</v>
      </c>
      <c r="C40" t="s">
        <v>178</v>
      </c>
      <c r="F40" t="s">
        <v>179</v>
      </c>
      <c r="G40">
        <v>25</v>
      </c>
      <c r="H40">
        <v>52.17</v>
      </c>
      <c r="I40">
        <v>71.430000000000007</v>
      </c>
      <c r="J40" t="s">
        <v>44</v>
      </c>
      <c r="K40">
        <v>5.5</v>
      </c>
      <c r="L40">
        <v>25</v>
      </c>
      <c r="M40">
        <v>1.24</v>
      </c>
      <c r="N40">
        <v>81</v>
      </c>
      <c r="O40">
        <v>1782747465</v>
      </c>
    </row>
    <row r="41" spans="1:15" x14ac:dyDescent="0.25">
      <c r="A41" t="s">
        <v>180</v>
      </c>
      <c r="B41">
        <v>24060124140171</v>
      </c>
      <c r="C41" t="s">
        <v>181</v>
      </c>
      <c r="F41" t="s">
        <v>182</v>
      </c>
      <c r="G41">
        <v>33.33</v>
      </c>
      <c r="H41">
        <v>34.78</v>
      </c>
      <c r="I41">
        <v>57.14</v>
      </c>
      <c r="J41" t="s">
        <v>44</v>
      </c>
      <c r="K41">
        <v>8.5</v>
      </c>
      <c r="L41">
        <v>100</v>
      </c>
      <c r="M41">
        <v>0.62</v>
      </c>
      <c r="N41">
        <v>89.33</v>
      </c>
      <c r="O41">
        <v>1782747465</v>
      </c>
    </row>
    <row r="42" spans="1:15" x14ac:dyDescent="0.25">
      <c r="A42" t="s">
        <v>183</v>
      </c>
      <c r="B42">
        <v>24060124140172</v>
      </c>
      <c r="C42" t="s">
        <v>184</v>
      </c>
      <c r="F42" t="s">
        <v>185</v>
      </c>
      <c r="G42">
        <v>75</v>
      </c>
      <c r="H42">
        <v>62.32</v>
      </c>
      <c r="I42">
        <v>57.14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>
        <v>1782747465</v>
      </c>
    </row>
    <row r="43" spans="1:15" x14ac:dyDescent="0.25">
      <c r="A43" t="s">
        <v>186</v>
      </c>
      <c r="B43">
        <v>24060124140174</v>
      </c>
      <c r="C43" t="s">
        <v>187</v>
      </c>
      <c r="F43" t="s">
        <v>188</v>
      </c>
      <c r="G43">
        <v>83.33</v>
      </c>
      <c r="H43">
        <v>100</v>
      </c>
      <c r="I43">
        <v>85.71</v>
      </c>
      <c r="J43" t="s">
        <v>44</v>
      </c>
      <c r="K43">
        <v>8.5</v>
      </c>
      <c r="L43">
        <v>95</v>
      </c>
      <c r="M43" t="s">
        <v>44</v>
      </c>
      <c r="N43">
        <v>96</v>
      </c>
      <c r="O43">
        <v>1782747465</v>
      </c>
    </row>
    <row r="44" spans="1:15" x14ac:dyDescent="0.25">
      <c r="A44" t="s">
        <v>189</v>
      </c>
      <c r="B44">
        <v>24060124140183</v>
      </c>
      <c r="C44" t="s">
        <v>190</v>
      </c>
      <c r="F44" t="s">
        <v>191</v>
      </c>
      <c r="G44">
        <v>41.67</v>
      </c>
      <c r="H44">
        <v>81.16</v>
      </c>
      <c r="I44">
        <v>57.14</v>
      </c>
      <c r="J44" t="s">
        <v>44</v>
      </c>
      <c r="K44" t="s">
        <v>44</v>
      </c>
      <c r="L44">
        <v>90</v>
      </c>
      <c r="M44" t="s">
        <v>44</v>
      </c>
      <c r="N44">
        <v>86.33</v>
      </c>
      <c r="O44">
        <v>1782747465</v>
      </c>
    </row>
    <row r="45" spans="1:15" x14ac:dyDescent="0.25">
      <c r="A45" t="s">
        <v>192</v>
      </c>
      <c r="B45">
        <v>24060124140186</v>
      </c>
      <c r="C45" t="s">
        <v>193</v>
      </c>
      <c r="F45" t="s">
        <v>194</v>
      </c>
      <c r="G45">
        <v>25</v>
      </c>
      <c r="H45">
        <v>53.62</v>
      </c>
      <c r="I45">
        <v>71.430000000000007</v>
      </c>
      <c r="J45" t="s">
        <v>44</v>
      </c>
      <c r="K45">
        <v>8</v>
      </c>
      <c r="L45">
        <v>85</v>
      </c>
      <c r="M45" t="s">
        <v>44</v>
      </c>
      <c r="N45">
        <v>86.67</v>
      </c>
      <c r="O45">
        <v>1782747465</v>
      </c>
    </row>
    <row r="46" spans="1:15" x14ac:dyDescent="0.25">
      <c r="A46" t="s">
        <v>195</v>
      </c>
      <c r="B46">
        <v>24060124140190</v>
      </c>
      <c r="C46" t="s">
        <v>196</v>
      </c>
      <c r="F46" t="s">
        <v>197</v>
      </c>
      <c r="G46">
        <v>83.33</v>
      </c>
      <c r="H46">
        <v>52.17</v>
      </c>
      <c r="I46">
        <v>42.86</v>
      </c>
      <c r="J46" t="s">
        <v>44</v>
      </c>
      <c r="K46">
        <v>8</v>
      </c>
      <c r="L46">
        <v>65</v>
      </c>
      <c r="M46" t="s">
        <v>44</v>
      </c>
      <c r="N46">
        <v>80</v>
      </c>
      <c r="O46">
        <v>1782747465</v>
      </c>
    </row>
    <row r="47" spans="1:15" x14ac:dyDescent="0.25">
      <c r="A47" t="s">
        <v>198</v>
      </c>
      <c r="B47">
        <v>24060124140192</v>
      </c>
      <c r="C47" t="s">
        <v>199</v>
      </c>
      <c r="F47" t="s">
        <v>200</v>
      </c>
      <c r="G47">
        <v>50</v>
      </c>
      <c r="H47">
        <v>93.48</v>
      </c>
      <c r="I47">
        <v>71.430000000000007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>
        <v>1782747465</v>
      </c>
    </row>
    <row r="48" spans="1:15" x14ac:dyDescent="0.25">
      <c r="A48" t="s">
        <v>201</v>
      </c>
      <c r="B48">
        <v>24060124140196</v>
      </c>
      <c r="C48" t="s">
        <v>202</v>
      </c>
      <c r="F48" t="s">
        <v>203</v>
      </c>
      <c r="G48">
        <v>66.67</v>
      </c>
      <c r="H48">
        <v>88.41</v>
      </c>
      <c r="I48">
        <v>28.57</v>
      </c>
      <c r="J48" t="s">
        <v>44</v>
      </c>
      <c r="K48">
        <v>7.5</v>
      </c>
      <c r="L48">
        <v>70</v>
      </c>
      <c r="M48">
        <v>9.2799999999999994</v>
      </c>
      <c r="N48">
        <v>97.5</v>
      </c>
      <c r="O48">
        <v>1782747465</v>
      </c>
    </row>
    <row r="49" spans="1:15" x14ac:dyDescent="0.25">
      <c r="A49" t="s">
        <v>204</v>
      </c>
      <c r="B49">
        <v>24060124140197</v>
      </c>
      <c r="C49" t="s">
        <v>205</v>
      </c>
      <c r="F49" t="s">
        <v>206</v>
      </c>
      <c r="G49">
        <v>50</v>
      </c>
      <c r="H49" t="s">
        <v>44</v>
      </c>
      <c r="I49" t="s">
        <v>44</v>
      </c>
      <c r="J49" t="s">
        <v>44</v>
      </c>
      <c r="K49">
        <v>7</v>
      </c>
      <c r="L49">
        <v>20</v>
      </c>
      <c r="M49" t="s">
        <v>44</v>
      </c>
      <c r="N49">
        <v>86.17</v>
      </c>
      <c r="O49">
        <v>1782747465</v>
      </c>
    </row>
    <row r="50" spans="1:15" x14ac:dyDescent="0.25">
      <c r="A50" t="s">
        <v>207</v>
      </c>
      <c r="B50">
        <v>24060124140202</v>
      </c>
      <c r="C50" t="s">
        <v>208</v>
      </c>
      <c r="F50" t="s">
        <v>209</v>
      </c>
      <c r="G50">
        <v>58.33</v>
      </c>
      <c r="H50">
        <v>86.23</v>
      </c>
      <c r="I50">
        <v>57.14</v>
      </c>
      <c r="J50" t="s">
        <v>44</v>
      </c>
      <c r="K50">
        <v>7.5</v>
      </c>
      <c r="L50">
        <v>95</v>
      </c>
      <c r="M50">
        <v>8.9700000000000006</v>
      </c>
      <c r="N50">
        <v>92</v>
      </c>
      <c r="O50">
        <v>1782747465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" x14ac:dyDescent="0.25"/>
  <sheetData>
    <row r="1" spans="1:2" x14ac:dyDescent="0.25">
      <c r="A1" t="s">
        <v>210</v>
      </c>
      <c r="B1" t="s">
        <v>211</v>
      </c>
    </row>
    <row r="2" spans="1:2" x14ac:dyDescent="0.25">
      <c r="A2" t="s">
        <v>212</v>
      </c>
      <c r="B2">
        <v>11</v>
      </c>
    </row>
    <row r="3" spans="1:2" x14ac:dyDescent="0.25">
      <c r="A3" t="s">
        <v>213</v>
      </c>
      <c r="B3">
        <v>11</v>
      </c>
    </row>
    <row r="4" spans="1:2" x14ac:dyDescent="0.25">
      <c r="A4" t="s">
        <v>214</v>
      </c>
      <c r="B4">
        <v>0</v>
      </c>
    </row>
    <row r="5" spans="1:2" x14ac:dyDescent="0.25">
      <c r="A5" t="s">
        <v>215</v>
      </c>
      <c r="B5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</vt:lpstr>
      <vt:lpstr>Sheet1</vt:lpstr>
      <vt:lpstr>Data_Gabungan</vt:lpstr>
      <vt:lpstr>Ringkasan_Match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SIAP UNDIP</dc:creator>
  <cp:keywords>office 2007 openxml php</cp:keywords>
  <dc:description>Test document for Office 2007 XLSX, generated using PHP classes.</dc:description>
  <cp:lastModifiedBy>HP OHS2021</cp:lastModifiedBy>
  <dcterms:created xsi:type="dcterms:W3CDTF">2026-06-29T22:41:53Z</dcterms:created>
  <dcterms:modified xsi:type="dcterms:W3CDTF">2026-06-29T15:52:14Z</dcterms:modified>
  <cp:category>Test result file</cp:category>
</cp:coreProperties>
</file>