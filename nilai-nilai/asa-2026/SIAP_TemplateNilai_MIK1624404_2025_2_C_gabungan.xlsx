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57CDF7E5-6EC5-4946-B508-AE793D12B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4" r:id="rId2"/>
    <sheet name="Data_Gabungan" sheetId="2" r:id="rId3"/>
    <sheet name="Ringkasan_Match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K13" i="1" s="1"/>
  <c r="M13" i="1" s="1"/>
  <c r="G14" i="1"/>
  <c r="K14" i="1" s="1"/>
  <c r="M14" i="1" s="1"/>
  <c r="G15" i="1"/>
  <c r="K15" i="1" s="1"/>
  <c r="M15" i="1" s="1"/>
  <c r="G16" i="1"/>
  <c r="K16" i="1" s="1"/>
  <c r="M16" i="1" s="1"/>
  <c r="G17" i="1"/>
  <c r="G18" i="1"/>
  <c r="G19" i="1"/>
  <c r="G20" i="1"/>
  <c r="G21" i="1"/>
  <c r="G22" i="1"/>
  <c r="G23" i="1"/>
  <c r="K23" i="1" s="1"/>
  <c r="L23" i="1" s="1"/>
  <c r="G24" i="1"/>
  <c r="K24" i="1" s="1"/>
  <c r="M24" i="1" s="1"/>
  <c r="G25" i="1"/>
  <c r="K25" i="1" s="1"/>
  <c r="M25" i="1" s="1"/>
  <c r="G26" i="1"/>
  <c r="K26" i="1" s="1"/>
  <c r="M26" i="1" s="1"/>
  <c r="G27" i="1"/>
  <c r="K27" i="1" s="1"/>
  <c r="M27" i="1" s="1"/>
  <c r="G28" i="1"/>
  <c r="G29" i="1"/>
  <c r="G30" i="1"/>
  <c r="G31" i="1"/>
  <c r="G32" i="1"/>
  <c r="G33" i="1"/>
  <c r="K33" i="1" s="1"/>
  <c r="M33" i="1" s="1"/>
  <c r="G34" i="1"/>
  <c r="K34" i="1" s="1"/>
  <c r="L34" i="1" s="1"/>
  <c r="G35" i="1"/>
  <c r="K35" i="1" s="1"/>
  <c r="M35" i="1" s="1"/>
  <c r="G36" i="1"/>
  <c r="K36" i="1" s="1"/>
  <c r="M36" i="1" s="1"/>
  <c r="G37" i="1"/>
  <c r="G38" i="1"/>
  <c r="G39" i="1"/>
  <c r="G40" i="1"/>
  <c r="G41" i="1"/>
  <c r="G42" i="1"/>
  <c r="K42" i="1" s="1"/>
  <c r="M42" i="1" s="1"/>
  <c r="G43" i="1"/>
  <c r="K43" i="1" s="1"/>
  <c r="M43" i="1" s="1"/>
  <c r="G8" i="1"/>
  <c r="K8" i="1" s="1"/>
  <c r="L8" i="1" s="1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8" i="4"/>
  <c r="K41" i="1"/>
  <c r="M41" i="1" s="1"/>
  <c r="K40" i="1"/>
  <c r="M40" i="1" s="1"/>
  <c r="K39" i="1"/>
  <c r="M39" i="1" s="1"/>
  <c r="K38" i="1"/>
  <c r="M38" i="1" s="1"/>
  <c r="K37" i="1"/>
  <c r="M37" i="1" s="1"/>
  <c r="K32" i="1"/>
  <c r="M32" i="1" s="1"/>
  <c r="K31" i="1"/>
  <c r="M31" i="1" s="1"/>
  <c r="K30" i="1"/>
  <c r="M30" i="1" s="1"/>
  <c r="K29" i="1"/>
  <c r="M29" i="1" s="1"/>
  <c r="K28" i="1"/>
  <c r="M28" i="1" s="1"/>
  <c r="K22" i="1"/>
  <c r="L22" i="1" s="1"/>
  <c r="K21" i="1"/>
  <c r="M21" i="1" s="1"/>
  <c r="K20" i="1"/>
  <c r="L20" i="1" s="1"/>
  <c r="K19" i="1"/>
  <c r="M19" i="1" s="1"/>
  <c r="K18" i="1"/>
  <c r="M18" i="1" s="1"/>
  <c r="K17" i="1"/>
  <c r="L17" i="1" s="1"/>
  <c r="K12" i="1"/>
  <c r="M12" i="1" s="1"/>
  <c r="K11" i="1"/>
  <c r="M11" i="1" s="1"/>
  <c r="K10" i="1"/>
  <c r="M10" i="1" s="1"/>
  <c r="K9" i="1"/>
  <c r="L9" i="1" s="1"/>
  <c r="L14" i="1" l="1"/>
  <c r="L36" i="1"/>
  <c r="M20" i="1"/>
  <c r="M9" i="1"/>
  <c r="M34" i="1"/>
  <c r="L10" i="1"/>
  <c r="L35" i="1"/>
  <c r="L41" i="1"/>
  <c r="L15" i="1"/>
  <c r="M22" i="1"/>
  <c r="L29" i="1"/>
  <c r="L30" i="1"/>
  <c r="L27" i="1"/>
  <c r="M8" i="1"/>
  <c r="L16" i="1"/>
  <c r="M23" i="1"/>
  <c r="L37" i="1"/>
  <c r="M17" i="1"/>
  <c r="L24" i="1"/>
  <c r="L11" i="1"/>
  <c r="L31" i="1"/>
  <c r="L18" i="1"/>
  <c r="L38" i="1"/>
  <c r="L25" i="1"/>
  <c r="L12" i="1"/>
  <c r="L32" i="1"/>
  <c r="L19" i="1"/>
  <c r="L39" i="1"/>
  <c r="L26" i="1"/>
  <c r="L13" i="1"/>
  <c r="L33" i="1"/>
  <c r="L40" i="1"/>
  <c r="L21" i="1"/>
  <c r="L28" i="1"/>
  <c r="L42" i="1"/>
  <c r="L43" i="1"/>
</calcChain>
</file>

<file path=xl/sharedStrings.xml><?xml version="1.0" encoding="utf-8"?>
<sst xmlns="http://schemas.openxmlformats.org/spreadsheetml/2006/main" count="662" uniqueCount="258">
  <si>
    <t>Mata Kuliah</t>
  </si>
  <si>
    <t>: MIK1624404 - Analisis dan Strategi Algoritma</t>
  </si>
  <si>
    <t>Tahun Ajaran</t>
  </si>
  <si>
    <t>: 2025</t>
  </si>
  <si>
    <t>NDk5NDgz</t>
  </si>
  <si>
    <t>Semester</t>
  </si>
  <si>
    <t>: Genap</t>
  </si>
  <si>
    <t>Kelas</t>
  </si>
  <si>
    <t>: C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</si>
  <si>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</si>
  <si>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</si>
  <si>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</si>
  <si>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</si>
  <si>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</si>
  <si>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</si>
  <si>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</si>
  <si>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</si>
  <si>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</si>
  <si>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</si>
  <si>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</si>
  <si>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</si>
  <si>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</si>
  <si>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</si>
  <si>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First name</t>
  </si>
  <si>
    <t>Last name</t>
  </si>
  <si>
    <t>ID number</t>
  </si>
  <si>
    <t>Institution</t>
  </si>
  <si>
    <t>Department</t>
  </si>
  <si>
    <t>Email address</t>
  </si>
  <si>
    <t>Quiz: Quis 1 (Real)</t>
  </si>
  <si>
    <t>Quiz: Quis 2 (Real)</t>
  </si>
  <si>
    <t>Quiz: Quis 3 (Real)</t>
  </si>
  <si>
    <t>Quiz: Quis 5 (Real)</t>
  </si>
  <si>
    <t>Quiz: Quis 6 (Real)</t>
  </si>
  <si>
    <t>Quiz: latihan UTS (Real)</t>
  </si>
  <si>
    <t>Quiz: UTS (Real)</t>
  </si>
  <si>
    <t>Last downloaded from this course</t>
  </si>
  <si>
    <t>24060124120014</t>
  </si>
  <si>
    <t>ASWALILA ADHA PUTRI TELAUMBANUA</t>
  </si>
  <si>
    <t>BARU</t>
  </si>
  <si>
    <t>Aswalila Adha Putri Telaumbanua</t>
  </si>
  <si>
    <t>61b892fa-6ca3-455f-9c6d-79b388cc2477</t>
  </si>
  <si>
    <t>aswalilaadha@students.undip.ac.id</t>
  </si>
  <si>
    <t>24060124130110</t>
  </si>
  <si>
    <t>ANNIS FAKHIROH AKBAR</t>
  </si>
  <si>
    <t>Annis Fakhiroh Akbar</t>
  </si>
  <si>
    <t>58993700-eb76-4d4f-99b0-3c6e47c0c9e1</t>
  </si>
  <si>
    <t>annisakbar3@students.undip.ac.id</t>
  </si>
  <si>
    <t>-</t>
  </si>
  <si>
    <t>24060124140136</t>
  </si>
  <si>
    <t>ARINI LATIFATUL QALBIAH</t>
  </si>
  <si>
    <t>Arini Latifatul Qalbiah</t>
  </si>
  <si>
    <t>e78dfea2-39b5-40ed-bee4-145169e6612c</t>
  </si>
  <si>
    <t>arnlq@students.undip.ac.id</t>
  </si>
  <si>
    <t>24060124140143</t>
  </si>
  <si>
    <t>BINAR RIDHA WIRITANAYA</t>
  </si>
  <si>
    <t>Binar Ridha Wiritanaya</t>
  </si>
  <si>
    <t>f7504051-c69e-4d8b-b556-8834b5e5cdcc</t>
  </si>
  <si>
    <t>binarridhawiritanaya@students.undip.ac.id</t>
  </si>
  <si>
    <t>24060124140176</t>
  </si>
  <si>
    <t>APRILLIA ABEL CLEODORA</t>
  </si>
  <si>
    <t>Aprillia Abel Cleodora</t>
  </si>
  <si>
    <t>6ecbda66-5033-4cad-8709-9d09e8d33f6f</t>
  </si>
  <si>
    <t>aprilliaabl@students.undip.ac.id</t>
  </si>
  <si>
    <t>24060124140195</t>
  </si>
  <si>
    <t>AZKA AQYLLA MAULANA</t>
  </si>
  <si>
    <t>Azka Aqylla Maulana</t>
  </si>
  <si>
    <t>598d9c7a-9ecb-4e81-bcd2-d70bc074ccd4</t>
  </si>
  <si>
    <t>akkamaulana@students.undip.ac.id</t>
  </si>
  <si>
    <t>24060124140206</t>
  </si>
  <si>
    <t>AUFAAREL NABIIL ARYADH MECCA</t>
  </si>
  <si>
    <t>Aufaarel Nabiil Aryadh Mecca</t>
  </si>
  <si>
    <t>bd3936ea-c0bc-4026-9ea3-c7104adf85d0</t>
  </si>
  <si>
    <t>aufaarelnabiilaryadh@students.undip.ac.id</t>
  </si>
  <si>
    <t>24060124120003</t>
  </si>
  <si>
    <t>FARRAS HILMY ZAIDAN</t>
  </si>
  <si>
    <t>Farras Hilmy Zaidan</t>
  </si>
  <si>
    <t>9261bbf8-1f31-49b0-80c7-dd931b634cc3</t>
  </si>
  <si>
    <t>farrashilmyzaidan@students.undip.ac.id</t>
  </si>
  <si>
    <t>24060124120024</t>
  </si>
  <si>
    <t>RUTH SEPTRIANA SIPANGKAR</t>
  </si>
  <si>
    <t>Ruth Septriana Sipangkar</t>
  </si>
  <si>
    <t>e080e116-cb09-4524-b02e-1b3c76b40f65</t>
  </si>
  <si>
    <t>ruthhhs@students.undip.ac.id</t>
  </si>
  <si>
    <t>24060124130068</t>
  </si>
  <si>
    <t>RIO SETIAWAN HASTANU PUTRA</t>
  </si>
  <si>
    <t>Rio Setiawan Hastanu Putra</t>
  </si>
  <si>
    <t>219c4605-9615-41c5-8920-d03b6eadae9b</t>
  </si>
  <si>
    <t>riohastanu@students.undip.ac.id</t>
  </si>
  <si>
    <t>24060124130080</t>
  </si>
  <si>
    <t>WIPIN SAPUTRA POH</t>
  </si>
  <si>
    <t>Wipin Saputra Poh</t>
  </si>
  <si>
    <t>6eb20dba-92da-48ec-a660-fe04e212abe6</t>
  </si>
  <si>
    <t>wipinsaputra@students.undip.ac.id</t>
  </si>
  <si>
    <t>24060124130082</t>
  </si>
  <si>
    <t>SARIFA NUHA ARDANTI JUSMAR</t>
  </si>
  <si>
    <t>Sarifa Nuha Ardanti Jusmar</t>
  </si>
  <si>
    <t>aa4b5520-8a00-433e-8917-e20d9ccf846f</t>
  </si>
  <si>
    <t>sarifanuhaaj@students.undip.ac.id</t>
  </si>
  <si>
    <t>24060124130088</t>
  </si>
  <si>
    <t>SYAFIRA AZKA RAMADHANI</t>
  </si>
  <si>
    <t>Syafira Azka Ramadhani</t>
  </si>
  <si>
    <t>e8f41ee7-b621-47cc-abdb-5e9383a8aab6</t>
  </si>
  <si>
    <t>syafirazka15@students.undip.ac.id</t>
  </si>
  <si>
    <t>24060124130116</t>
  </si>
  <si>
    <t>YASMINA SYAHIDAH</t>
  </si>
  <si>
    <t>Yasmina Syahidah</t>
  </si>
  <si>
    <t>f1dec969-2634-49d2-900b-06d541407efb</t>
  </si>
  <si>
    <t>yasminasyaa@students.undip.ac.id</t>
  </si>
  <si>
    <t>24060124140182</t>
  </si>
  <si>
    <t>SHIFA BUJA JAUZA</t>
  </si>
  <si>
    <t>Shifa Buja Jauza</t>
  </si>
  <si>
    <t>bc9b2203-6b8f-4bfd-804c-373e04660fd2</t>
  </si>
  <si>
    <t>shifabujajauza@students.undip.ac.id</t>
  </si>
  <si>
    <t>24060124130083</t>
  </si>
  <si>
    <t>MAULANA GHAZZAM ADIL AL FAIQ</t>
  </si>
  <si>
    <t>Maulana Ghazzam Adil Al Faiq</t>
  </si>
  <si>
    <t>44941842-3edc-48d1-bdbd-bf503b20a13a</t>
  </si>
  <si>
    <t>maulanaghazzam4126@students.undip.ac.id</t>
  </si>
  <si>
    <t>24060124130104</t>
  </si>
  <si>
    <t>MOHAMMAD SULTHON ARIEFIN</t>
  </si>
  <si>
    <t>Mohammad Sulthon Ariefin</t>
  </si>
  <si>
    <t>e40f570b-61c8-437a-952a-0fe43abc0d5d</t>
  </si>
  <si>
    <t>sulthonariefin@students.undip.ac.id</t>
  </si>
  <si>
    <t>24060124130112</t>
  </si>
  <si>
    <t>MARCO FALIAS PANGKADO</t>
  </si>
  <si>
    <t>Marco Falias Pangkado</t>
  </si>
  <si>
    <t>b32ebdba-e4f1-4868-80ab-4959c25a95c6</t>
  </si>
  <si>
    <t>marcofalias@students.undip.ac.id</t>
  </si>
  <si>
    <t>24060124120021</t>
  </si>
  <si>
    <t>HUSNI ULYAA KHANIFAH</t>
  </si>
  <si>
    <t>Husni Ulyaa Khanifah</t>
  </si>
  <si>
    <t>3dc84215-5f47-4df5-9da6-92cc61a77d86</t>
  </si>
  <si>
    <t>husniulyaa@students.undip.ac.id</t>
  </si>
  <si>
    <t>24060124120023</t>
  </si>
  <si>
    <t>HAYDAR RAFI' SULTANSYAH</t>
  </si>
  <si>
    <t>Haydar Rafi' Sultansyah</t>
  </si>
  <si>
    <t>5c025146-d8bf-469c-982d-6f0df5a13408</t>
  </si>
  <si>
    <t>haydarrafisultansyah@students.undip.ac.id</t>
  </si>
  <si>
    <t>24060124120028</t>
  </si>
  <si>
    <t>IMAM ALFAREZEL</t>
  </si>
  <si>
    <t>Imam Alfarezel</t>
  </si>
  <si>
    <t>0c34b59d-4f8b-4fdc-bf9f-c6888810e244</t>
  </si>
  <si>
    <t>imamalfarezel@students.undip.ac.id</t>
  </si>
  <si>
    <t>24060124130079</t>
  </si>
  <si>
    <t>HAIKAL RAFLI SEMBIRING</t>
  </si>
  <si>
    <t>Haikal Rafli Sembiring</t>
  </si>
  <si>
    <t>cc128715-d3b3-4e50-aa67-397cf733a3f7</t>
  </si>
  <si>
    <t>haikalrafli@students.undip.ac.id</t>
  </si>
  <si>
    <t>24060124120022</t>
  </si>
  <si>
    <t>NABILA KAYLA RAFA</t>
  </si>
  <si>
    <t>Nabila Kayla Rafa</t>
  </si>
  <si>
    <t>39c9c521-7f65-43c0-976b-bc765c18e19b</t>
  </si>
  <si>
    <t>nabilakayla@students.undip.ac.id</t>
  </si>
  <si>
    <t>24060124130057</t>
  </si>
  <si>
    <t>NAUFAL AKBAR NUGROHO</t>
  </si>
  <si>
    <t>Naufal Akbar Nugroho</t>
  </si>
  <si>
    <t>0d08149f-3727-45c5-9fd6-e361444dd3ea</t>
  </si>
  <si>
    <t>naufalakbarnugroho@students.undip.ac.id</t>
  </si>
  <si>
    <t>24060124130058</t>
  </si>
  <si>
    <t>MUHAMMAD ABHISTA PRATAMA SAVA</t>
  </si>
  <si>
    <t>Muhammad Abhista Pratama Sava</t>
  </si>
  <si>
    <t>e0d2d2a2-e88a-4852-8e76-fa38a0c0ed72</t>
  </si>
  <si>
    <t>abhistasava@students.undip.ac.id</t>
  </si>
  <si>
    <t>24060124130096</t>
  </si>
  <si>
    <t>MUHAMMAD IZZAT FAUZAN PUTRA ARYA</t>
  </si>
  <si>
    <t>Muhammad Izzat Fauzan Putra Arya</t>
  </si>
  <si>
    <t>456bd93a-6071-4c6c-95d5-4d17ccc5669f</t>
  </si>
  <si>
    <t>mizzatfauzanpa@students.undip.ac.id</t>
  </si>
  <si>
    <t>24060124130102</t>
  </si>
  <si>
    <t>MUHAMMAD ZAIDAN ALFARIZI</t>
  </si>
  <si>
    <t>Muhammad Zaidan Alfarizi</t>
  </si>
  <si>
    <t>7182df4c-8d68-4486-920b-c69c261cd540</t>
  </si>
  <si>
    <t>mzaidanalfarizi@students.undip.ac.id</t>
  </si>
  <si>
    <t>24060124130117</t>
  </si>
  <si>
    <t>MUHAMMAD ROFAD HAMDANI</t>
  </si>
  <si>
    <t>Muhammad Rofad Hamdani</t>
  </si>
  <si>
    <t>80e2dbae-b899-40f1-be79-bb1a03582a99</t>
  </si>
  <si>
    <t>rofadhamdani@students.undip.ac.id</t>
  </si>
  <si>
    <t>24060124120042</t>
  </si>
  <si>
    <t>AKMAL KAFLI ANAN</t>
  </si>
  <si>
    <t>Akmal Kafli Anan</t>
  </si>
  <si>
    <t>331332f4-377f-4844-aac2-a6a49dd9d5ec</t>
  </si>
  <si>
    <t>akmalkaflianan@students.undip.ac.id</t>
  </si>
  <si>
    <t>24060124120045</t>
  </si>
  <si>
    <t>AGIL YUDIS WIBAWA</t>
  </si>
  <si>
    <t>Agil Yudis Wibawa</t>
  </si>
  <si>
    <t>f462d5fb-6db5-48c5-b555-37713b512483</t>
  </si>
  <si>
    <t>agil@students.undip.ac.id</t>
  </si>
  <si>
    <t>24060124130063</t>
  </si>
  <si>
    <t>AKBAR MUKTI WIBOWO</t>
  </si>
  <si>
    <t>Akbar Mukti Wibowo</t>
  </si>
  <si>
    <t>82da25b7-93fc-4549-99b5-24d9e5f9a335</t>
  </si>
  <si>
    <t>akbarmuktiw23@students.undip.ac.id</t>
  </si>
  <si>
    <t>24060124130087</t>
  </si>
  <si>
    <t>ALODIA EVELYN PRATIKNO</t>
  </si>
  <si>
    <t>Alodia Evelyn Pratikno</t>
  </si>
  <si>
    <t>520f2016-9091-41f0-a115-348e2b9c12fa</t>
  </si>
  <si>
    <t>alodiaevelyn@students.undip.ac.id</t>
  </si>
  <si>
    <t>24060124140173</t>
  </si>
  <si>
    <t>ADEL RAYYAN HAKIM</t>
  </si>
  <si>
    <t>Adel Rayyan Hakim</t>
  </si>
  <si>
    <t>58eee5a0-8cd3-4070-adeb-4c9d5d49f190</t>
  </si>
  <si>
    <t>arayyanhakim@students.undip.ac.id</t>
  </si>
  <si>
    <t>24060124120005</t>
  </si>
  <si>
    <t>DIAN BERLIAN HUTASOIT</t>
  </si>
  <si>
    <t>Dian Berlian Hutasoit</t>
  </si>
  <si>
    <t>920cccc4-5e91-4bcc-a246-25e0076d3c48</t>
  </si>
  <si>
    <t>dianberlianhutasoit@students.undip.ac.id</t>
  </si>
  <si>
    <t>24060124130059</t>
  </si>
  <si>
    <t>DIAN AULYA DEWIYANI</t>
  </si>
  <si>
    <t>Dian Aulya Dewiyani</t>
  </si>
  <si>
    <t>8d0f2207-5d9b-408a-8f28-e7a52aec8a44</t>
  </si>
  <si>
    <t>dianaulyadewiyani@students.undip.ac.id</t>
  </si>
  <si>
    <t>24060124140168</t>
  </si>
  <si>
    <t>CHRISTIANNA OLIVIA JUNIARTI MANULLANG</t>
  </si>
  <si>
    <t>Christianna Olivia Juniarti Manullang</t>
  </si>
  <si>
    <t>6c97f8b7-f207-4dac-b200-9332fda2aaa1</t>
  </si>
  <si>
    <t>christiannaolivia07@students.undip.ac.id</t>
  </si>
  <si>
    <t>Fernanda Galih Saputra</t>
  </si>
  <si>
    <t>1d05ebd8-f8c7-49ed-bf1f-9a78c5d579c0</t>
  </si>
  <si>
    <t>fernandagalihsaputra@students.undip.ac.id</t>
  </si>
  <si>
    <t>Elang Nukmianolo</t>
  </si>
  <si>
    <t>0cf0bbe4-49fc-4a15-b143-93dd598de607</t>
  </si>
  <si>
    <t>elangnukmianolo@students.undip.ac.id</t>
  </si>
  <si>
    <t>Raditya Setadewa Bastian</t>
  </si>
  <si>
    <t>ee62f728-de78-458c-b415-5b9652786e93</t>
  </si>
  <si>
    <t>setadewab@students.undip.ac.id</t>
  </si>
  <si>
    <t>Mohammad Rajaswa Umar</t>
  </si>
  <si>
    <t>a5b95d93-4173-41fc-9344-c4ff325f2ded</t>
  </si>
  <si>
    <t>mohammadrajaswaumar@students.undip.ac.id</t>
  </si>
  <si>
    <t>Merdeka Dewa Zuliyanto</t>
  </si>
  <si>
    <t>85e6d3a7-d775-41b4-9e44-35b416fbde8a</t>
  </si>
  <si>
    <t>merdekadewazuliyanto@students.undip.ac.id</t>
  </si>
  <si>
    <t>Muhammad Danendra Daffa Elfreda Widyatmoko</t>
  </si>
  <si>
    <t>ed33ad93-252f-42a5-9d3f-06b01d27eee1</t>
  </si>
  <si>
    <t>danendradaffa@students.undip.ac.id</t>
  </si>
  <si>
    <t>Nayaka Fauzan Prasetyo</t>
  </si>
  <si>
    <t>1e938cd1-5799-4e2f-a829-16aeac1fa561</t>
  </si>
  <si>
    <t>nayakafauzanprasetyo@students.undip.ac.id</t>
  </si>
  <si>
    <t>Gian Zidni Ilman</t>
  </si>
  <si>
    <t>dc45db35-4ba9-4fec-b5a5-07bff31a54b3</t>
  </si>
  <si>
    <t>gianzidniilman@students.undip.ac.id</t>
  </si>
  <si>
    <t>Muhammad Affan Firdaus</t>
  </si>
  <si>
    <t>a92e23ed-c083-4175-bcb2-b08c53e22615</t>
  </si>
  <si>
    <t>muhammadaffanfirdaus@students.undip.ac.id</t>
  </si>
  <si>
    <t>Gherald Abraham</t>
  </si>
  <si>
    <t>f7551941-2ae0-4d7f-9c8f-663896f24ea8</t>
  </si>
  <si>
    <t>gheraldabraham@students.undip.ac.id</t>
  </si>
  <si>
    <t>Bahir Ananda Wibowo</t>
  </si>
  <si>
    <t>e0219902-d15f-41dd-af0f-6e928b8990a4</t>
  </si>
  <si>
    <t>bahir@students.undip.ac.id</t>
  </si>
  <si>
    <t>Metric</t>
  </si>
  <si>
    <t>Value</t>
  </si>
  <si>
    <t>Template</t>
  </si>
  <si>
    <t>Berhasil cocok</t>
  </si>
  <si>
    <t>Tidak cocok</t>
  </si>
  <si>
    <t>Data awal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</si>
</sst>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topLeftCell="A5" workbookViewId="0">
      <selection activeCell="E43" sqref="E43"/>
    </sheetView>
  </sheetViews>
  <sheetFormatPr defaultRowHeight="15" x14ac:dyDescent="0.25"/>
  <cols>
    <col min="1" max="1" width="17.5703125" bestFit="1" customWidth="1"/>
    <col min="2" max="2" width="55.28515625" bestFit="1" customWidth="1"/>
    <col min="3" max="3" width="10.5703125" bestFit="1" customWidth="1"/>
    <col min="4" max="4" width="8.14062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</cols>
  <sheetData>
    <row r="1" spans="1:27" x14ac:dyDescent="0.25">
      <c r="A1" t="s">
        <v>0</v>
      </c>
      <c r="B1" t="s">
        <v>1</v>
      </c>
    </row>
    <row r="2" spans="1:27" x14ac:dyDescent="0.25">
      <c r="A2" t="s">
        <v>2</v>
      </c>
      <c r="B2" t="s">
        <v>3</v>
      </c>
      <c r="I2" s="1" t="s">
        <v>4</v>
      </c>
    </row>
    <row r="3" spans="1:27" x14ac:dyDescent="0.25">
      <c r="A3" t="s">
        <v>5</v>
      </c>
      <c r="B3" t="s">
        <v>6</v>
      </c>
    </row>
    <row r="4" spans="1:27" x14ac:dyDescent="0.25">
      <c r="A4" t="s">
        <v>7</v>
      </c>
      <c r="B4" t="s">
        <v>8</v>
      </c>
    </row>
    <row r="5" spans="1:27" x14ac:dyDescent="0.25">
      <c r="A5" t="s">
        <v>9</v>
      </c>
      <c r="B5" t="s">
        <v>10</v>
      </c>
    </row>
    <row r="7" spans="1:27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Y7" t="s">
        <v>34</v>
      </c>
      <c r="Z7" t="s">
        <v>35</v>
      </c>
      <c r="AA7" t="s">
        <v>36</v>
      </c>
    </row>
    <row r="8" spans="1:27" x14ac:dyDescent="0.25">
      <c r="A8" t="s">
        <v>37</v>
      </c>
      <c r="B8" t="s">
        <v>38</v>
      </c>
      <c r="C8">
        <v>4</v>
      </c>
      <c r="D8" t="s">
        <v>39</v>
      </c>
      <c r="E8" s="3">
        <v>94.25</v>
      </c>
      <c r="F8" s="3"/>
      <c r="G8" s="3">
        <f>(E8*0.8)+(H8*0.2)</f>
        <v>88.236800000000002</v>
      </c>
      <c r="H8" s="3">
        <v>64.183999999999997</v>
      </c>
      <c r="I8" s="3"/>
      <c r="J8" s="3"/>
      <c r="K8" s="2">
        <f t="shared" ref="K8:K43" si="0">ROUND( ((E8*10+F8*40+G8*5+H8*5+I8*20+J8*20) / 100), 2)</f>
        <v>17.05</v>
      </c>
      <c r="L8" s="2" t="str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E</v>
      </c>
      <c r="M8" t="str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0</v>
      </c>
      <c r="N8" t="s">
        <v>40</v>
      </c>
      <c r="O8">
        <v>24060124120014</v>
      </c>
      <c r="P8" t="s">
        <v>41</v>
      </c>
      <c r="S8" t="s">
        <v>42</v>
      </c>
      <c r="T8">
        <v>75</v>
      </c>
      <c r="U8">
        <v>56.25</v>
      </c>
      <c r="V8">
        <v>100</v>
      </c>
      <c r="W8">
        <v>9.67</v>
      </c>
      <c r="X8">
        <v>80</v>
      </c>
      <c r="Y8">
        <v>9.4</v>
      </c>
      <c r="Z8">
        <v>94.25</v>
      </c>
      <c r="AA8">
        <v>1782746933</v>
      </c>
    </row>
    <row r="9" spans="1:27" x14ac:dyDescent="0.25">
      <c r="A9" t="s">
        <v>43</v>
      </c>
      <c r="B9" t="s">
        <v>44</v>
      </c>
      <c r="C9">
        <v>4</v>
      </c>
      <c r="D9" t="s">
        <v>39</v>
      </c>
      <c r="E9" s="3">
        <v>92</v>
      </c>
      <c r="F9" s="3"/>
      <c r="G9" s="3">
        <f t="shared" ref="G9:G43" si="1">(E9*0.8)+(H9*0.2)</f>
        <v>88.733200000000011</v>
      </c>
      <c r="H9" s="3">
        <v>75.665999999999997</v>
      </c>
      <c r="I9" s="3"/>
      <c r="J9" s="3"/>
      <c r="K9" s="2">
        <f t="shared" si="0"/>
        <v>17.420000000000002</v>
      </c>
      <c r="L9" s="2" t="str">
        <f t="shared" ref="L9:L43" si="2"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>E</v>
      </c>
      <c r="M9" t="str">
        <f t="shared" ref="M9:M43" si="3"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>0</v>
      </c>
      <c r="N9" t="s">
        <v>45</v>
      </c>
      <c r="O9">
        <v>24060124130110</v>
      </c>
      <c r="P9" t="s">
        <v>46</v>
      </c>
      <c r="S9" t="s">
        <v>47</v>
      </c>
      <c r="T9">
        <v>83.33</v>
      </c>
      <c r="U9">
        <v>100</v>
      </c>
      <c r="V9">
        <v>100</v>
      </c>
      <c r="W9" t="s">
        <v>48</v>
      </c>
      <c r="X9">
        <v>95</v>
      </c>
      <c r="Y9" t="s">
        <v>48</v>
      </c>
      <c r="Z9">
        <v>92</v>
      </c>
      <c r="AA9">
        <v>1782746933</v>
      </c>
    </row>
    <row r="10" spans="1:27" x14ac:dyDescent="0.25">
      <c r="A10" t="s">
        <v>49</v>
      </c>
      <c r="B10" t="s">
        <v>50</v>
      </c>
      <c r="C10">
        <v>4</v>
      </c>
      <c r="D10" t="s">
        <v>39</v>
      </c>
      <c r="E10" s="3">
        <v>88</v>
      </c>
      <c r="F10" s="3"/>
      <c r="G10" s="3">
        <f t="shared" si="1"/>
        <v>78.533600000000007</v>
      </c>
      <c r="H10" s="3">
        <v>40.667999999999999</v>
      </c>
      <c r="I10" s="3"/>
      <c r="J10" s="3"/>
      <c r="K10" s="2">
        <f t="shared" si="0"/>
        <v>14.76</v>
      </c>
      <c r="L10" s="2" t="str">
        <f t="shared" si="2"/>
        <v>E</v>
      </c>
      <c r="M10" t="str">
        <f t="shared" si="3"/>
        <v>0</v>
      </c>
      <c r="N10" t="s">
        <v>51</v>
      </c>
      <c r="O10">
        <v>24060124140136</v>
      </c>
      <c r="P10" t="s">
        <v>52</v>
      </c>
      <c r="S10" t="s">
        <v>53</v>
      </c>
      <c r="T10">
        <v>41.67</v>
      </c>
      <c r="U10">
        <v>81.67</v>
      </c>
      <c r="V10">
        <v>80</v>
      </c>
      <c r="W10" t="s">
        <v>48</v>
      </c>
      <c r="X10" t="s">
        <v>48</v>
      </c>
      <c r="Y10" t="s">
        <v>48</v>
      </c>
      <c r="Z10">
        <v>88</v>
      </c>
      <c r="AA10">
        <v>1782746933</v>
      </c>
    </row>
    <row r="11" spans="1:27" x14ac:dyDescent="0.25">
      <c r="A11" t="s">
        <v>54</v>
      </c>
      <c r="B11" t="s">
        <v>55</v>
      </c>
      <c r="C11">
        <v>4</v>
      </c>
      <c r="D11" t="s">
        <v>39</v>
      </c>
      <c r="E11" s="3">
        <v>82</v>
      </c>
      <c r="F11" s="3"/>
      <c r="G11" s="3">
        <f t="shared" si="1"/>
        <v>76.400000000000006</v>
      </c>
      <c r="H11" s="3">
        <v>54</v>
      </c>
      <c r="I11" s="3"/>
      <c r="J11" s="3"/>
      <c r="K11" s="2">
        <f t="shared" si="0"/>
        <v>14.72</v>
      </c>
      <c r="L11" s="2" t="str">
        <f t="shared" si="2"/>
        <v>E</v>
      </c>
      <c r="M11" t="str">
        <f t="shared" si="3"/>
        <v>0</v>
      </c>
      <c r="N11" t="s">
        <v>56</v>
      </c>
      <c r="O11">
        <v>24060124140143</v>
      </c>
      <c r="P11" t="s">
        <v>57</v>
      </c>
      <c r="S11" t="s">
        <v>58</v>
      </c>
      <c r="T11">
        <v>75</v>
      </c>
      <c r="U11">
        <v>85</v>
      </c>
      <c r="V11">
        <v>100</v>
      </c>
      <c r="W11">
        <v>10</v>
      </c>
      <c r="X11" t="s">
        <v>48</v>
      </c>
      <c r="Y11">
        <v>9.15</v>
      </c>
      <c r="Z11">
        <v>82</v>
      </c>
      <c r="AA11">
        <v>1782746933</v>
      </c>
    </row>
    <row r="12" spans="1:27" x14ac:dyDescent="0.25">
      <c r="A12" t="s">
        <v>59</v>
      </c>
      <c r="B12" t="s">
        <v>60</v>
      </c>
      <c r="C12">
        <v>4</v>
      </c>
      <c r="D12" t="s">
        <v>39</v>
      </c>
      <c r="E12" s="3">
        <v>93.33</v>
      </c>
      <c r="F12" s="3"/>
      <c r="G12" s="3">
        <f t="shared" si="1"/>
        <v>87.224000000000004</v>
      </c>
      <c r="H12" s="3">
        <v>62.8</v>
      </c>
      <c r="I12" s="3"/>
      <c r="J12" s="3"/>
      <c r="K12" s="2">
        <f t="shared" si="0"/>
        <v>16.829999999999998</v>
      </c>
      <c r="L12" s="2" t="str">
        <f t="shared" si="2"/>
        <v>E</v>
      </c>
      <c r="M12" t="str">
        <f t="shared" si="3"/>
        <v>0</v>
      </c>
      <c r="N12" t="s">
        <v>61</v>
      </c>
      <c r="O12">
        <v>24060124140176</v>
      </c>
      <c r="P12" t="s">
        <v>62</v>
      </c>
      <c r="S12" t="s">
        <v>63</v>
      </c>
      <c r="T12">
        <v>75</v>
      </c>
      <c r="U12">
        <v>90</v>
      </c>
      <c r="V12">
        <v>100</v>
      </c>
      <c r="W12">
        <v>9</v>
      </c>
      <c r="X12">
        <v>40</v>
      </c>
      <c r="Y12" t="s">
        <v>48</v>
      </c>
      <c r="Z12">
        <v>93.33</v>
      </c>
      <c r="AA12">
        <v>1782746933</v>
      </c>
    </row>
    <row r="13" spans="1:27" x14ac:dyDescent="0.25">
      <c r="A13" t="s">
        <v>64</v>
      </c>
      <c r="B13" t="s">
        <v>65</v>
      </c>
      <c r="C13">
        <v>4</v>
      </c>
      <c r="D13" t="s">
        <v>39</v>
      </c>
      <c r="E13" s="3">
        <v>92</v>
      </c>
      <c r="F13" s="3"/>
      <c r="G13" s="3">
        <f t="shared" si="1"/>
        <v>86.133200000000016</v>
      </c>
      <c r="H13" s="3">
        <v>62.665999999999997</v>
      </c>
      <c r="I13" s="3"/>
      <c r="J13" s="3"/>
      <c r="K13" s="2">
        <f t="shared" si="0"/>
        <v>16.64</v>
      </c>
      <c r="L13" s="2" t="str">
        <f t="shared" si="2"/>
        <v>E</v>
      </c>
      <c r="M13" t="str">
        <f t="shared" si="3"/>
        <v>0</v>
      </c>
      <c r="N13" t="s">
        <v>66</v>
      </c>
      <c r="O13">
        <v>24060124140195</v>
      </c>
      <c r="P13" t="s">
        <v>67</v>
      </c>
      <c r="S13" t="s">
        <v>68</v>
      </c>
      <c r="T13">
        <v>75</v>
      </c>
      <c r="U13">
        <v>88.33</v>
      </c>
      <c r="V13">
        <v>80</v>
      </c>
      <c r="W13" t="s">
        <v>48</v>
      </c>
      <c r="X13">
        <v>70</v>
      </c>
      <c r="Y13" t="s">
        <v>48</v>
      </c>
      <c r="Z13">
        <v>92</v>
      </c>
      <c r="AA13">
        <v>1782746933</v>
      </c>
    </row>
    <row r="14" spans="1:27" x14ac:dyDescent="0.25">
      <c r="A14" t="s">
        <v>69</v>
      </c>
      <c r="B14" t="s">
        <v>70</v>
      </c>
      <c r="C14">
        <v>4</v>
      </c>
      <c r="D14" t="s">
        <v>39</v>
      </c>
      <c r="E14" s="3">
        <v>97</v>
      </c>
      <c r="F14" s="3"/>
      <c r="G14" s="3">
        <f t="shared" si="1"/>
        <v>86.4</v>
      </c>
      <c r="H14" s="3">
        <v>44</v>
      </c>
      <c r="I14" s="3"/>
      <c r="J14" s="3"/>
      <c r="K14" s="2">
        <f t="shared" si="0"/>
        <v>16.22</v>
      </c>
      <c r="L14" s="2" t="str">
        <f t="shared" si="2"/>
        <v>E</v>
      </c>
      <c r="M14" t="str">
        <f t="shared" si="3"/>
        <v>0</v>
      </c>
      <c r="N14" t="s">
        <v>71</v>
      </c>
      <c r="O14">
        <v>24060124140206</v>
      </c>
      <c r="P14" t="s">
        <v>72</v>
      </c>
      <c r="S14" t="s">
        <v>73</v>
      </c>
      <c r="T14">
        <v>75</v>
      </c>
      <c r="U14">
        <v>65</v>
      </c>
      <c r="V14">
        <v>80</v>
      </c>
      <c r="W14" t="s">
        <v>48</v>
      </c>
      <c r="X14" t="s">
        <v>48</v>
      </c>
      <c r="Y14">
        <v>8.89</v>
      </c>
      <c r="Z14">
        <v>97</v>
      </c>
      <c r="AA14">
        <v>1782746933</v>
      </c>
    </row>
    <row r="15" spans="1:27" x14ac:dyDescent="0.25">
      <c r="A15" t="s">
        <v>74</v>
      </c>
      <c r="B15" t="s">
        <v>75</v>
      </c>
      <c r="C15">
        <v>4</v>
      </c>
      <c r="D15" t="s">
        <v>39</v>
      </c>
      <c r="E15" s="3">
        <v>96</v>
      </c>
      <c r="F15" s="3"/>
      <c r="G15" s="3">
        <f t="shared" si="1"/>
        <v>89.226800000000011</v>
      </c>
      <c r="H15" s="3">
        <v>62.134</v>
      </c>
      <c r="I15" s="3"/>
      <c r="J15" s="3"/>
      <c r="K15" s="2">
        <f t="shared" si="0"/>
        <v>17.170000000000002</v>
      </c>
      <c r="L15" s="2" t="str">
        <f t="shared" si="2"/>
        <v>E</v>
      </c>
      <c r="M15" t="str">
        <f t="shared" si="3"/>
        <v>0</v>
      </c>
      <c r="N15" t="s">
        <v>76</v>
      </c>
      <c r="O15">
        <v>24060124120003</v>
      </c>
      <c r="P15" t="s">
        <v>77</v>
      </c>
      <c r="S15" t="s">
        <v>78</v>
      </c>
      <c r="T15">
        <v>91.67</v>
      </c>
      <c r="U15">
        <v>85</v>
      </c>
      <c r="V15">
        <v>100</v>
      </c>
      <c r="W15">
        <v>9</v>
      </c>
      <c r="X15">
        <v>25</v>
      </c>
      <c r="Y15">
        <v>9.49</v>
      </c>
      <c r="Z15">
        <v>96</v>
      </c>
      <c r="AA15">
        <v>1782746933</v>
      </c>
    </row>
    <row r="16" spans="1:27" x14ac:dyDescent="0.25">
      <c r="A16" t="s">
        <v>79</v>
      </c>
      <c r="B16" t="s">
        <v>80</v>
      </c>
      <c r="C16">
        <v>4</v>
      </c>
      <c r="D16" t="s">
        <v>39</v>
      </c>
      <c r="E16" s="3">
        <v>86</v>
      </c>
      <c r="F16" s="3"/>
      <c r="G16" s="3">
        <f t="shared" si="1"/>
        <v>83.2</v>
      </c>
      <c r="H16" s="3">
        <v>72</v>
      </c>
      <c r="I16" s="3"/>
      <c r="J16" s="3"/>
      <c r="K16" s="2">
        <f t="shared" si="0"/>
        <v>16.36</v>
      </c>
      <c r="L16" s="2" t="str">
        <f t="shared" si="2"/>
        <v>E</v>
      </c>
      <c r="M16" t="str">
        <f t="shared" si="3"/>
        <v>0</v>
      </c>
      <c r="N16" t="s">
        <v>81</v>
      </c>
      <c r="O16">
        <v>24060124120024</v>
      </c>
      <c r="P16" t="s">
        <v>82</v>
      </c>
      <c r="S16" t="s">
        <v>83</v>
      </c>
      <c r="T16">
        <v>66.67</v>
      </c>
      <c r="U16">
        <v>90</v>
      </c>
      <c r="V16">
        <v>100</v>
      </c>
      <c r="W16">
        <v>8.33</v>
      </c>
      <c r="X16">
        <v>95</v>
      </c>
      <c r="Y16">
        <v>3.5</v>
      </c>
      <c r="Z16">
        <v>86</v>
      </c>
      <c r="AA16">
        <v>1782746933</v>
      </c>
    </row>
    <row r="17" spans="1:27" x14ac:dyDescent="0.25">
      <c r="A17" t="s">
        <v>84</v>
      </c>
      <c r="B17" t="s">
        <v>85</v>
      </c>
      <c r="C17">
        <v>4</v>
      </c>
      <c r="D17" t="s">
        <v>39</v>
      </c>
      <c r="E17" s="3">
        <v>82</v>
      </c>
      <c r="F17" s="3"/>
      <c r="G17" s="3">
        <f t="shared" si="1"/>
        <v>80.18040000000002</v>
      </c>
      <c r="H17" s="3">
        <v>72.902000000000015</v>
      </c>
      <c r="I17" s="3"/>
      <c r="J17" s="3"/>
      <c r="K17" s="2">
        <f t="shared" si="0"/>
        <v>15.85</v>
      </c>
      <c r="L17" s="2" t="str">
        <f t="shared" si="2"/>
        <v>E</v>
      </c>
      <c r="M17" t="str">
        <f t="shared" si="3"/>
        <v>0</v>
      </c>
      <c r="N17" t="s">
        <v>86</v>
      </c>
      <c r="O17">
        <v>24060124130068</v>
      </c>
      <c r="P17" t="s">
        <v>87</v>
      </c>
      <c r="S17" t="s">
        <v>88</v>
      </c>
      <c r="T17">
        <v>91.67</v>
      </c>
      <c r="U17">
        <v>89.17</v>
      </c>
      <c r="V17">
        <v>100</v>
      </c>
      <c r="W17">
        <v>8.67</v>
      </c>
      <c r="X17">
        <v>75</v>
      </c>
      <c r="Y17" t="s">
        <v>48</v>
      </c>
      <c r="Z17">
        <v>82</v>
      </c>
      <c r="AA17">
        <v>1782746933</v>
      </c>
    </row>
    <row r="18" spans="1:27" x14ac:dyDescent="0.25">
      <c r="A18" t="s">
        <v>89</v>
      </c>
      <c r="B18" t="s">
        <v>90</v>
      </c>
      <c r="C18">
        <v>4</v>
      </c>
      <c r="D18" t="s">
        <v>39</v>
      </c>
      <c r="E18" s="3">
        <v>92</v>
      </c>
      <c r="F18" s="3"/>
      <c r="G18" s="3">
        <f t="shared" si="1"/>
        <v>81.138000000000005</v>
      </c>
      <c r="H18" s="3">
        <v>37.690000000000005</v>
      </c>
      <c r="I18" s="3"/>
      <c r="J18" s="3"/>
      <c r="K18" s="2">
        <f t="shared" si="0"/>
        <v>15.14</v>
      </c>
      <c r="L18" s="2" t="str">
        <f t="shared" si="2"/>
        <v>E</v>
      </c>
      <c r="M18" t="str">
        <f t="shared" si="3"/>
        <v>0</v>
      </c>
      <c r="N18" t="s">
        <v>91</v>
      </c>
      <c r="O18">
        <v>24060124130080</v>
      </c>
      <c r="P18" t="s">
        <v>92</v>
      </c>
      <c r="S18" t="s">
        <v>93</v>
      </c>
      <c r="T18" t="s">
        <v>48</v>
      </c>
      <c r="U18">
        <v>81.67</v>
      </c>
      <c r="V18">
        <v>100</v>
      </c>
      <c r="W18">
        <v>6.78</v>
      </c>
      <c r="X18" t="s">
        <v>48</v>
      </c>
      <c r="Y18" t="s">
        <v>48</v>
      </c>
      <c r="Z18">
        <v>92</v>
      </c>
      <c r="AA18">
        <v>1782746933</v>
      </c>
    </row>
    <row r="19" spans="1:27" x14ac:dyDescent="0.25">
      <c r="A19" t="s">
        <v>94</v>
      </c>
      <c r="B19" t="s">
        <v>95</v>
      </c>
      <c r="C19">
        <v>4</v>
      </c>
      <c r="D19" t="s">
        <v>39</v>
      </c>
      <c r="E19" s="3">
        <v>89</v>
      </c>
      <c r="F19" s="3"/>
      <c r="G19" s="3">
        <f t="shared" si="1"/>
        <v>84.393200000000007</v>
      </c>
      <c r="H19" s="3">
        <v>65.965999999999994</v>
      </c>
      <c r="I19" s="3"/>
      <c r="J19" s="3"/>
      <c r="K19" s="2">
        <f t="shared" si="0"/>
        <v>16.420000000000002</v>
      </c>
      <c r="L19" s="2" t="str">
        <f t="shared" si="2"/>
        <v>E</v>
      </c>
      <c r="M19" t="str">
        <f t="shared" si="3"/>
        <v>0</v>
      </c>
      <c r="N19" t="s">
        <v>96</v>
      </c>
      <c r="O19">
        <v>24060124130082</v>
      </c>
      <c r="P19" t="s">
        <v>97</v>
      </c>
      <c r="S19" t="s">
        <v>98</v>
      </c>
      <c r="T19">
        <v>50</v>
      </c>
      <c r="U19">
        <v>85.83</v>
      </c>
      <c r="V19">
        <v>100</v>
      </c>
      <c r="W19">
        <v>9</v>
      </c>
      <c r="X19">
        <v>85</v>
      </c>
      <c r="Y19">
        <v>3.96</v>
      </c>
      <c r="Z19">
        <v>89</v>
      </c>
      <c r="AA19">
        <v>1782746933</v>
      </c>
    </row>
    <row r="20" spans="1:27" x14ac:dyDescent="0.25">
      <c r="A20" t="s">
        <v>99</v>
      </c>
      <c r="B20" t="s">
        <v>100</v>
      </c>
      <c r="C20">
        <v>4</v>
      </c>
      <c r="D20" t="s">
        <v>39</v>
      </c>
      <c r="E20" s="3">
        <v>94</v>
      </c>
      <c r="F20" s="3"/>
      <c r="G20" s="3">
        <f t="shared" si="1"/>
        <v>88.116800000000012</v>
      </c>
      <c r="H20" s="3">
        <v>64.584000000000003</v>
      </c>
      <c r="I20" s="3"/>
      <c r="J20" s="3"/>
      <c r="K20" s="2">
        <f t="shared" si="0"/>
        <v>17.04</v>
      </c>
      <c r="L20" s="2" t="str">
        <f t="shared" si="2"/>
        <v>E</v>
      </c>
      <c r="M20" t="str">
        <f t="shared" si="3"/>
        <v>0</v>
      </c>
      <c r="N20" t="s">
        <v>101</v>
      </c>
      <c r="O20">
        <v>24060124130088</v>
      </c>
      <c r="P20" t="s">
        <v>102</v>
      </c>
      <c r="S20" t="s">
        <v>103</v>
      </c>
      <c r="T20">
        <v>66.67</v>
      </c>
      <c r="U20">
        <v>81.25</v>
      </c>
      <c r="V20">
        <v>80</v>
      </c>
      <c r="W20" t="s">
        <v>48</v>
      </c>
      <c r="X20">
        <v>95</v>
      </c>
      <c r="Y20" t="s">
        <v>48</v>
      </c>
      <c r="Z20">
        <v>94</v>
      </c>
      <c r="AA20">
        <v>1782746933</v>
      </c>
    </row>
    <row r="21" spans="1:27" x14ac:dyDescent="0.25">
      <c r="A21" t="s">
        <v>104</v>
      </c>
      <c r="B21" t="s">
        <v>105</v>
      </c>
      <c r="C21">
        <v>4</v>
      </c>
      <c r="D21" t="s">
        <v>39</v>
      </c>
      <c r="E21" s="3">
        <v>93.33</v>
      </c>
      <c r="F21" s="3"/>
      <c r="G21" s="3">
        <f t="shared" si="1"/>
        <v>88.890799999999999</v>
      </c>
      <c r="H21" s="3">
        <v>71.134</v>
      </c>
      <c r="I21" s="3"/>
      <c r="J21" s="3"/>
      <c r="K21" s="2">
        <f t="shared" si="0"/>
        <v>17.329999999999998</v>
      </c>
      <c r="L21" s="2" t="str">
        <f t="shared" si="2"/>
        <v>E</v>
      </c>
      <c r="M21" t="str">
        <f t="shared" si="3"/>
        <v>0</v>
      </c>
      <c r="N21" t="s">
        <v>106</v>
      </c>
      <c r="O21">
        <v>24060124130116</v>
      </c>
      <c r="P21" t="s">
        <v>107</v>
      </c>
      <c r="S21" t="s">
        <v>108</v>
      </c>
      <c r="T21">
        <v>66.67</v>
      </c>
      <c r="U21">
        <v>95</v>
      </c>
      <c r="V21">
        <v>100</v>
      </c>
      <c r="W21">
        <v>9</v>
      </c>
      <c r="X21">
        <v>85</v>
      </c>
      <c r="Y21" t="s">
        <v>48</v>
      </c>
      <c r="Z21">
        <v>93.33</v>
      </c>
      <c r="AA21">
        <v>1782746933</v>
      </c>
    </row>
    <row r="22" spans="1:27" x14ac:dyDescent="0.25">
      <c r="A22" t="s">
        <v>109</v>
      </c>
      <c r="B22" t="s">
        <v>110</v>
      </c>
      <c r="C22">
        <v>4</v>
      </c>
      <c r="D22" t="s">
        <v>39</v>
      </c>
      <c r="E22" s="3">
        <v>71</v>
      </c>
      <c r="F22" s="3"/>
      <c r="G22" s="3">
        <f t="shared" si="1"/>
        <v>68.773200000000003</v>
      </c>
      <c r="H22" s="3">
        <v>59.866000000000007</v>
      </c>
      <c r="I22" s="3"/>
      <c r="J22" s="3"/>
      <c r="K22" s="2">
        <f t="shared" si="0"/>
        <v>13.53</v>
      </c>
      <c r="L22" s="2" t="str">
        <f t="shared" si="2"/>
        <v>E</v>
      </c>
      <c r="M22" t="str">
        <f t="shared" si="3"/>
        <v>0</v>
      </c>
      <c r="N22" t="s">
        <v>111</v>
      </c>
      <c r="O22">
        <v>24060124140182</v>
      </c>
      <c r="P22" t="s">
        <v>112</v>
      </c>
      <c r="S22" t="s">
        <v>113</v>
      </c>
      <c r="T22">
        <v>58.33</v>
      </c>
      <c r="U22">
        <v>86.67</v>
      </c>
      <c r="V22">
        <v>100</v>
      </c>
      <c r="W22">
        <v>9.33</v>
      </c>
      <c r="X22">
        <v>45</v>
      </c>
      <c r="Y22" t="s">
        <v>48</v>
      </c>
      <c r="Z22">
        <v>71</v>
      </c>
      <c r="AA22">
        <v>1782746933</v>
      </c>
    </row>
    <row r="23" spans="1:27" x14ac:dyDescent="0.25">
      <c r="A23" t="s">
        <v>114</v>
      </c>
      <c r="B23" t="s">
        <v>115</v>
      </c>
      <c r="C23">
        <v>4</v>
      </c>
      <c r="D23" t="s">
        <v>39</v>
      </c>
      <c r="E23" s="3">
        <v>98</v>
      </c>
      <c r="F23" s="3"/>
      <c r="G23" s="3">
        <f t="shared" si="1"/>
        <v>94.22</v>
      </c>
      <c r="H23" s="3">
        <v>79.099999999999994</v>
      </c>
      <c r="I23" s="3"/>
      <c r="J23" s="3"/>
      <c r="K23" s="2">
        <f t="shared" si="0"/>
        <v>18.47</v>
      </c>
      <c r="L23" s="2" t="str">
        <f t="shared" si="2"/>
        <v>E</v>
      </c>
      <c r="M23" t="str">
        <f t="shared" si="3"/>
        <v>0</v>
      </c>
      <c r="N23" t="s">
        <v>116</v>
      </c>
      <c r="O23">
        <v>24060124130083</v>
      </c>
      <c r="P23" t="s">
        <v>117</v>
      </c>
      <c r="S23" t="s">
        <v>118</v>
      </c>
      <c r="T23">
        <v>91.67</v>
      </c>
      <c r="U23">
        <v>95</v>
      </c>
      <c r="V23">
        <v>100</v>
      </c>
      <c r="W23">
        <v>8.83</v>
      </c>
      <c r="X23">
        <v>100</v>
      </c>
      <c r="Y23">
        <v>9.6300000000000008</v>
      </c>
      <c r="Z23">
        <v>98</v>
      </c>
      <c r="AA23">
        <v>1782746933</v>
      </c>
    </row>
    <row r="24" spans="1:27" x14ac:dyDescent="0.25">
      <c r="A24" t="s">
        <v>119</v>
      </c>
      <c r="B24" t="s">
        <v>120</v>
      </c>
      <c r="C24">
        <v>4</v>
      </c>
      <c r="D24" t="s">
        <v>39</v>
      </c>
      <c r="E24" s="3">
        <v>89</v>
      </c>
      <c r="F24" s="3"/>
      <c r="G24" s="3">
        <f t="shared" si="1"/>
        <v>84.223200000000006</v>
      </c>
      <c r="H24" s="3">
        <v>65.116</v>
      </c>
      <c r="I24" s="3"/>
      <c r="J24" s="3"/>
      <c r="K24" s="2">
        <f t="shared" si="0"/>
        <v>16.37</v>
      </c>
      <c r="L24" s="2" t="str">
        <f t="shared" si="2"/>
        <v>E</v>
      </c>
      <c r="M24" t="str">
        <f t="shared" si="3"/>
        <v>0</v>
      </c>
      <c r="N24" t="s">
        <v>121</v>
      </c>
      <c r="O24">
        <v>24060124130104</v>
      </c>
      <c r="P24" t="s">
        <v>122</v>
      </c>
      <c r="S24" t="s">
        <v>123</v>
      </c>
      <c r="T24">
        <v>75</v>
      </c>
      <c r="U24">
        <v>91.25</v>
      </c>
      <c r="V24">
        <v>100</v>
      </c>
      <c r="W24">
        <v>9.33</v>
      </c>
      <c r="X24">
        <v>50</v>
      </c>
      <c r="Y24" t="s">
        <v>48</v>
      </c>
      <c r="Z24">
        <v>89</v>
      </c>
      <c r="AA24">
        <v>1782746933</v>
      </c>
    </row>
    <row r="25" spans="1:27" x14ac:dyDescent="0.25">
      <c r="A25" t="s">
        <v>124</v>
      </c>
      <c r="B25" t="s">
        <v>125</v>
      </c>
      <c r="C25">
        <v>4</v>
      </c>
      <c r="D25" t="s">
        <v>39</v>
      </c>
      <c r="E25" s="3">
        <v>91</v>
      </c>
      <c r="F25" s="3"/>
      <c r="G25" s="3">
        <f t="shared" si="1"/>
        <v>79</v>
      </c>
      <c r="H25" s="3">
        <v>31</v>
      </c>
      <c r="I25" s="3"/>
      <c r="J25" s="3"/>
      <c r="K25" s="2">
        <f t="shared" si="0"/>
        <v>14.6</v>
      </c>
      <c r="L25" s="2" t="str">
        <f t="shared" si="2"/>
        <v>E</v>
      </c>
      <c r="M25" t="str">
        <f t="shared" si="3"/>
        <v>0</v>
      </c>
      <c r="N25" t="s">
        <v>126</v>
      </c>
      <c r="O25">
        <v>24060124130112</v>
      </c>
      <c r="P25" t="s">
        <v>127</v>
      </c>
      <c r="S25" t="s">
        <v>128</v>
      </c>
      <c r="T25">
        <v>66.67</v>
      </c>
      <c r="U25" t="s">
        <v>48</v>
      </c>
      <c r="V25" t="s">
        <v>48</v>
      </c>
      <c r="W25">
        <v>8.33</v>
      </c>
      <c r="X25">
        <v>80</v>
      </c>
      <c r="Y25" t="s">
        <v>48</v>
      </c>
      <c r="Z25">
        <v>91</v>
      </c>
      <c r="AA25">
        <v>1782746933</v>
      </c>
    </row>
    <row r="26" spans="1:27" x14ac:dyDescent="0.25">
      <c r="A26" t="s">
        <v>129</v>
      </c>
      <c r="B26" t="s">
        <v>130</v>
      </c>
      <c r="C26">
        <v>4</v>
      </c>
      <c r="D26" t="s">
        <v>39</v>
      </c>
      <c r="E26" s="3">
        <v>94</v>
      </c>
      <c r="F26" s="3"/>
      <c r="G26" s="3">
        <f t="shared" si="1"/>
        <v>90.893200000000007</v>
      </c>
      <c r="H26" s="3">
        <v>78.465999999999994</v>
      </c>
      <c r="I26" s="3"/>
      <c r="J26" s="3"/>
      <c r="K26" s="2">
        <f t="shared" si="0"/>
        <v>17.87</v>
      </c>
      <c r="L26" s="2" t="str">
        <f t="shared" si="2"/>
        <v>E</v>
      </c>
      <c r="M26" t="str">
        <f t="shared" si="3"/>
        <v>0</v>
      </c>
      <c r="N26" t="s">
        <v>131</v>
      </c>
      <c r="O26">
        <v>24060124120021</v>
      </c>
      <c r="P26" t="s">
        <v>132</v>
      </c>
      <c r="S26" t="s">
        <v>133</v>
      </c>
      <c r="T26">
        <v>83.33</v>
      </c>
      <c r="U26">
        <v>100</v>
      </c>
      <c r="V26">
        <v>100</v>
      </c>
      <c r="W26">
        <v>9</v>
      </c>
      <c r="X26">
        <v>100</v>
      </c>
      <c r="Y26">
        <v>9.66</v>
      </c>
      <c r="Z26">
        <v>94</v>
      </c>
      <c r="AA26">
        <v>1782746933</v>
      </c>
    </row>
    <row r="27" spans="1:27" x14ac:dyDescent="0.25">
      <c r="A27" t="s">
        <v>134</v>
      </c>
      <c r="B27" t="s">
        <v>135</v>
      </c>
      <c r="C27">
        <v>4</v>
      </c>
      <c r="D27" t="s">
        <v>39</v>
      </c>
      <c r="E27" s="3">
        <v>99</v>
      </c>
      <c r="F27" s="3"/>
      <c r="G27" s="3">
        <f t="shared" si="1"/>
        <v>95.253600000000006</v>
      </c>
      <c r="H27" s="3">
        <v>80.268000000000001</v>
      </c>
      <c r="I27" s="3"/>
      <c r="J27" s="3"/>
      <c r="K27" s="2">
        <f t="shared" si="0"/>
        <v>18.68</v>
      </c>
      <c r="L27" s="2" t="str">
        <f t="shared" si="2"/>
        <v>E</v>
      </c>
      <c r="M27" t="str">
        <f t="shared" si="3"/>
        <v>0</v>
      </c>
      <c r="N27" t="s">
        <v>136</v>
      </c>
      <c r="O27">
        <v>24060124120023</v>
      </c>
      <c r="P27" t="s">
        <v>137</v>
      </c>
      <c r="S27" t="s">
        <v>138</v>
      </c>
      <c r="T27">
        <v>91.67</v>
      </c>
      <c r="U27">
        <v>100</v>
      </c>
      <c r="V27">
        <v>100</v>
      </c>
      <c r="W27">
        <v>9.67</v>
      </c>
      <c r="X27">
        <v>100</v>
      </c>
      <c r="Y27">
        <v>8.9700000000000006</v>
      </c>
      <c r="Z27">
        <v>99</v>
      </c>
      <c r="AA27">
        <v>1782746933</v>
      </c>
    </row>
    <row r="28" spans="1:27" x14ac:dyDescent="0.25">
      <c r="A28" t="s">
        <v>139</v>
      </c>
      <c r="B28" t="s">
        <v>140</v>
      </c>
      <c r="C28">
        <v>4</v>
      </c>
      <c r="D28" t="s">
        <v>39</v>
      </c>
      <c r="E28" s="3">
        <v>57</v>
      </c>
      <c r="F28" s="3"/>
      <c r="G28" s="3">
        <f t="shared" si="1"/>
        <v>57.866800000000005</v>
      </c>
      <c r="H28" s="3">
        <v>61.334000000000003</v>
      </c>
      <c r="I28" s="3"/>
      <c r="J28" s="3"/>
      <c r="K28" s="2">
        <f t="shared" si="0"/>
        <v>11.66</v>
      </c>
      <c r="L28" s="2" t="str">
        <f t="shared" si="2"/>
        <v>E</v>
      </c>
      <c r="M28" t="str">
        <f t="shared" si="3"/>
        <v>0</v>
      </c>
      <c r="N28" t="s">
        <v>141</v>
      </c>
      <c r="O28">
        <v>24060124120028</v>
      </c>
      <c r="P28" t="s">
        <v>142</v>
      </c>
      <c r="S28" t="s">
        <v>143</v>
      </c>
      <c r="T28">
        <v>91.67</v>
      </c>
      <c r="U28">
        <v>90</v>
      </c>
      <c r="V28">
        <v>100</v>
      </c>
      <c r="W28" t="s">
        <v>48</v>
      </c>
      <c r="X28">
        <v>25</v>
      </c>
      <c r="Y28">
        <v>4.8099999999999996</v>
      </c>
      <c r="Z28">
        <v>57</v>
      </c>
      <c r="AA28">
        <v>1782746933</v>
      </c>
    </row>
    <row r="29" spans="1:27" x14ac:dyDescent="0.25">
      <c r="A29" t="s">
        <v>144</v>
      </c>
      <c r="B29" t="s">
        <v>145</v>
      </c>
      <c r="C29">
        <v>4</v>
      </c>
      <c r="D29" t="s">
        <v>39</v>
      </c>
      <c r="E29" s="3">
        <v>90</v>
      </c>
      <c r="F29" s="3"/>
      <c r="G29" s="3">
        <f t="shared" si="1"/>
        <v>86.92</v>
      </c>
      <c r="H29" s="3">
        <v>74.599999999999994</v>
      </c>
      <c r="I29" s="3"/>
      <c r="J29" s="3"/>
      <c r="K29" s="2">
        <f t="shared" si="0"/>
        <v>17.079999999999998</v>
      </c>
      <c r="L29" s="2" t="str">
        <f t="shared" si="2"/>
        <v>E</v>
      </c>
      <c r="M29" t="str">
        <f t="shared" si="3"/>
        <v>0</v>
      </c>
      <c r="N29" t="s">
        <v>146</v>
      </c>
      <c r="O29">
        <v>24060124130079</v>
      </c>
      <c r="P29" t="s">
        <v>147</v>
      </c>
      <c r="S29" t="s">
        <v>148</v>
      </c>
      <c r="T29">
        <v>75</v>
      </c>
      <c r="U29">
        <v>95</v>
      </c>
      <c r="V29">
        <v>100</v>
      </c>
      <c r="W29">
        <v>8</v>
      </c>
      <c r="X29">
        <v>95</v>
      </c>
      <c r="Y29" t="s">
        <v>48</v>
      </c>
      <c r="Z29">
        <v>90</v>
      </c>
      <c r="AA29">
        <v>1782746933</v>
      </c>
    </row>
    <row r="30" spans="1:27" x14ac:dyDescent="0.25">
      <c r="A30" t="s">
        <v>149</v>
      </c>
      <c r="B30" t="s">
        <v>150</v>
      </c>
      <c r="C30">
        <v>4</v>
      </c>
      <c r="D30" t="s">
        <v>39</v>
      </c>
      <c r="E30" s="3">
        <v>86</v>
      </c>
      <c r="F30" s="3"/>
      <c r="G30" s="3">
        <f t="shared" si="1"/>
        <v>82.543199999999999</v>
      </c>
      <c r="H30" s="3">
        <v>68.715999999999994</v>
      </c>
      <c r="I30" s="3"/>
      <c r="J30" s="3"/>
      <c r="K30" s="2">
        <f t="shared" si="0"/>
        <v>16.16</v>
      </c>
      <c r="L30" s="2" t="str">
        <f t="shared" si="2"/>
        <v>E</v>
      </c>
      <c r="M30" t="str">
        <f t="shared" si="3"/>
        <v>0</v>
      </c>
      <c r="N30" t="s">
        <v>151</v>
      </c>
      <c r="O30">
        <v>24060124120022</v>
      </c>
      <c r="P30" t="s">
        <v>152</v>
      </c>
      <c r="S30" t="s">
        <v>153</v>
      </c>
      <c r="T30">
        <v>75</v>
      </c>
      <c r="U30">
        <v>79.58</v>
      </c>
      <c r="V30">
        <v>100</v>
      </c>
      <c r="W30">
        <v>9</v>
      </c>
      <c r="X30">
        <v>80</v>
      </c>
      <c r="Y30">
        <v>9.15</v>
      </c>
      <c r="Z30">
        <v>86</v>
      </c>
      <c r="AA30">
        <v>1782746933</v>
      </c>
    </row>
    <row r="31" spans="1:27" x14ac:dyDescent="0.25">
      <c r="A31" t="s">
        <v>154</v>
      </c>
      <c r="B31" t="s">
        <v>155</v>
      </c>
      <c r="C31">
        <v>4</v>
      </c>
      <c r="D31" t="s">
        <v>39</v>
      </c>
      <c r="E31" s="3">
        <v>90</v>
      </c>
      <c r="F31" s="3"/>
      <c r="G31" s="3">
        <f t="shared" si="1"/>
        <v>86.102400000000003</v>
      </c>
      <c r="H31" s="3">
        <v>70.512</v>
      </c>
      <c r="I31" s="3"/>
      <c r="J31" s="3"/>
      <c r="K31" s="2">
        <f t="shared" si="0"/>
        <v>16.829999999999998</v>
      </c>
      <c r="L31" s="2" t="str">
        <f t="shared" si="2"/>
        <v>E</v>
      </c>
      <c r="M31" t="str">
        <f t="shared" si="3"/>
        <v>0</v>
      </c>
      <c r="N31" t="s">
        <v>156</v>
      </c>
      <c r="O31">
        <v>24060124130057</v>
      </c>
      <c r="P31" t="s">
        <v>157</v>
      </c>
      <c r="S31" t="s">
        <v>158</v>
      </c>
      <c r="T31">
        <v>75</v>
      </c>
      <c r="U31">
        <v>90</v>
      </c>
      <c r="V31">
        <v>100</v>
      </c>
      <c r="W31">
        <v>7.56</v>
      </c>
      <c r="X31">
        <v>80</v>
      </c>
      <c r="Y31" t="s">
        <v>48</v>
      </c>
      <c r="Z31">
        <v>90</v>
      </c>
      <c r="AA31">
        <v>1782746933</v>
      </c>
    </row>
    <row r="32" spans="1:27" x14ac:dyDescent="0.25">
      <c r="A32" t="s">
        <v>159</v>
      </c>
      <c r="B32" t="s">
        <v>160</v>
      </c>
      <c r="C32">
        <v>4</v>
      </c>
      <c r="D32" t="s">
        <v>39</v>
      </c>
      <c r="E32" s="3">
        <v>88.33</v>
      </c>
      <c r="F32" s="3"/>
      <c r="G32" s="3">
        <f t="shared" si="1"/>
        <v>84.708399999999997</v>
      </c>
      <c r="H32" s="3">
        <v>70.221999999999994</v>
      </c>
      <c r="I32" s="3"/>
      <c r="J32" s="3"/>
      <c r="K32" s="2">
        <f t="shared" si="0"/>
        <v>16.579999999999998</v>
      </c>
      <c r="L32" s="2" t="str">
        <f t="shared" si="2"/>
        <v>E</v>
      </c>
      <c r="M32" t="str">
        <f t="shared" si="3"/>
        <v>0</v>
      </c>
      <c r="N32" t="s">
        <v>161</v>
      </c>
      <c r="O32">
        <v>24060124130058</v>
      </c>
      <c r="P32" t="s">
        <v>162</v>
      </c>
      <c r="S32" t="s">
        <v>163</v>
      </c>
      <c r="T32">
        <v>83.33</v>
      </c>
      <c r="U32">
        <v>80</v>
      </c>
      <c r="V32">
        <v>100</v>
      </c>
      <c r="W32">
        <v>7.78</v>
      </c>
      <c r="X32">
        <v>80</v>
      </c>
      <c r="Y32">
        <v>1.45</v>
      </c>
      <c r="Z32">
        <v>88.33</v>
      </c>
      <c r="AA32">
        <v>1782746933</v>
      </c>
    </row>
    <row r="33" spans="1:27" x14ac:dyDescent="0.25">
      <c r="A33" t="s">
        <v>164</v>
      </c>
      <c r="B33" t="s">
        <v>165</v>
      </c>
      <c r="C33">
        <v>4</v>
      </c>
      <c r="D33" t="s">
        <v>39</v>
      </c>
      <c r="E33" s="3">
        <v>100</v>
      </c>
      <c r="F33" s="3"/>
      <c r="G33" s="3">
        <f t="shared" si="1"/>
        <v>95.06</v>
      </c>
      <c r="H33" s="3">
        <v>75.3</v>
      </c>
      <c r="I33" s="3"/>
      <c r="J33" s="3"/>
      <c r="K33" s="2">
        <f t="shared" si="0"/>
        <v>18.52</v>
      </c>
      <c r="L33" s="2" t="str">
        <f t="shared" si="2"/>
        <v>E</v>
      </c>
      <c r="M33" t="str">
        <f t="shared" si="3"/>
        <v>0</v>
      </c>
      <c r="N33" t="s">
        <v>166</v>
      </c>
      <c r="O33">
        <v>24060124130096</v>
      </c>
      <c r="P33" t="s">
        <v>167</v>
      </c>
      <c r="S33" t="s">
        <v>168</v>
      </c>
      <c r="T33">
        <v>75</v>
      </c>
      <c r="U33">
        <v>97.5</v>
      </c>
      <c r="V33">
        <v>100</v>
      </c>
      <c r="W33">
        <v>9</v>
      </c>
      <c r="X33">
        <v>95</v>
      </c>
      <c r="Y33">
        <v>9.83</v>
      </c>
      <c r="Z33">
        <v>100</v>
      </c>
      <c r="AA33">
        <v>1782746933</v>
      </c>
    </row>
    <row r="34" spans="1:27" x14ac:dyDescent="0.25">
      <c r="A34" t="s">
        <v>169</v>
      </c>
      <c r="B34" t="s">
        <v>170</v>
      </c>
      <c r="C34">
        <v>4</v>
      </c>
      <c r="D34" t="s">
        <v>39</v>
      </c>
      <c r="E34" s="3">
        <v>90</v>
      </c>
      <c r="F34" s="3"/>
      <c r="G34" s="3">
        <f t="shared" si="1"/>
        <v>83.956400000000002</v>
      </c>
      <c r="H34" s="3">
        <v>59.781999999999996</v>
      </c>
      <c r="I34" s="3"/>
      <c r="J34" s="3"/>
      <c r="K34" s="2">
        <f t="shared" si="0"/>
        <v>16.190000000000001</v>
      </c>
      <c r="L34" s="2" t="str">
        <f t="shared" si="2"/>
        <v>E</v>
      </c>
      <c r="M34" t="str">
        <f t="shared" si="3"/>
        <v>0</v>
      </c>
      <c r="N34" t="s">
        <v>171</v>
      </c>
      <c r="O34">
        <v>24060124130102</v>
      </c>
      <c r="P34" t="s">
        <v>172</v>
      </c>
      <c r="S34" t="s">
        <v>173</v>
      </c>
      <c r="T34">
        <v>75</v>
      </c>
      <c r="U34">
        <v>84.58</v>
      </c>
      <c r="V34">
        <v>100</v>
      </c>
      <c r="W34">
        <v>9.33</v>
      </c>
      <c r="X34">
        <v>30</v>
      </c>
      <c r="Y34">
        <v>2.91</v>
      </c>
      <c r="Z34">
        <v>90</v>
      </c>
      <c r="AA34">
        <v>1782746933</v>
      </c>
    </row>
    <row r="35" spans="1:27" x14ac:dyDescent="0.25">
      <c r="A35" t="s">
        <v>174</v>
      </c>
      <c r="B35" t="s">
        <v>175</v>
      </c>
      <c r="C35">
        <v>4</v>
      </c>
      <c r="D35" t="s">
        <v>39</v>
      </c>
      <c r="E35" s="3">
        <v>95.5</v>
      </c>
      <c r="F35" s="3"/>
      <c r="G35" s="3">
        <f t="shared" si="1"/>
        <v>91.12</v>
      </c>
      <c r="H35" s="3">
        <v>73.599999999999994</v>
      </c>
      <c r="I35" s="3"/>
      <c r="J35" s="3"/>
      <c r="K35" s="2">
        <f t="shared" si="0"/>
        <v>17.79</v>
      </c>
      <c r="L35" s="2" t="str">
        <f t="shared" si="2"/>
        <v>E</v>
      </c>
      <c r="M35" t="str">
        <f t="shared" si="3"/>
        <v>0</v>
      </c>
      <c r="N35" t="s">
        <v>176</v>
      </c>
      <c r="O35">
        <v>24060124130117</v>
      </c>
      <c r="P35" t="s">
        <v>177</v>
      </c>
      <c r="S35" t="s">
        <v>178</v>
      </c>
      <c r="T35">
        <v>75</v>
      </c>
      <c r="U35">
        <v>95</v>
      </c>
      <c r="V35">
        <v>100</v>
      </c>
      <c r="W35">
        <v>8</v>
      </c>
      <c r="X35">
        <v>90</v>
      </c>
      <c r="Y35">
        <v>0.09</v>
      </c>
      <c r="Z35">
        <v>95.5</v>
      </c>
      <c r="AA35">
        <v>1782746933</v>
      </c>
    </row>
    <row r="36" spans="1:27" x14ac:dyDescent="0.25">
      <c r="A36" t="s">
        <v>179</v>
      </c>
      <c r="B36" t="s">
        <v>180</v>
      </c>
      <c r="C36">
        <v>4</v>
      </c>
      <c r="D36" t="s">
        <v>39</v>
      </c>
      <c r="E36" s="3">
        <v>97</v>
      </c>
      <c r="F36" s="3"/>
      <c r="G36" s="3">
        <f t="shared" si="1"/>
        <v>91.616400000000013</v>
      </c>
      <c r="H36" s="3">
        <v>70.081999999999994</v>
      </c>
      <c r="I36" s="3"/>
      <c r="J36" s="3"/>
      <c r="K36" s="2">
        <f t="shared" si="0"/>
        <v>17.78</v>
      </c>
      <c r="L36" s="2" t="str">
        <f t="shared" si="2"/>
        <v>E</v>
      </c>
      <c r="M36" t="str">
        <f t="shared" si="3"/>
        <v>0</v>
      </c>
      <c r="N36" t="s">
        <v>181</v>
      </c>
      <c r="O36">
        <v>24060124120042</v>
      </c>
      <c r="P36" t="s">
        <v>182</v>
      </c>
      <c r="S36" t="s">
        <v>183</v>
      </c>
      <c r="T36">
        <v>83.33</v>
      </c>
      <c r="U36">
        <v>87.08</v>
      </c>
      <c r="V36">
        <v>100</v>
      </c>
      <c r="W36" t="s">
        <v>48</v>
      </c>
      <c r="X36">
        <v>80</v>
      </c>
      <c r="Y36" t="s">
        <v>48</v>
      </c>
      <c r="Z36">
        <v>97</v>
      </c>
      <c r="AA36">
        <v>1782746933</v>
      </c>
    </row>
    <row r="37" spans="1:27" x14ac:dyDescent="0.25">
      <c r="A37" t="s">
        <v>184</v>
      </c>
      <c r="B37" t="s">
        <v>185</v>
      </c>
      <c r="C37">
        <v>4</v>
      </c>
      <c r="D37" t="s">
        <v>39</v>
      </c>
      <c r="E37" s="3">
        <v>95</v>
      </c>
      <c r="F37" s="3"/>
      <c r="G37" s="3">
        <f t="shared" si="1"/>
        <v>90.240000000000009</v>
      </c>
      <c r="H37" s="3">
        <v>71.2</v>
      </c>
      <c r="I37" s="3"/>
      <c r="J37" s="3"/>
      <c r="K37" s="2">
        <f t="shared" si="0"/>
        <v>17.57</v>
      </c>
      <c r="L37" s="2" t="str">
        <f t="shared" si="2"/>
        <v>E</v>
      </c>
      <c r="M37" t="str">
        <f t="shared" si="3"/>
        <v>0</v>
      </c>
      <c r="N37" t="s">
        <v>186</v>
      </c>
      <c r="O37">
        <v>24060124120045</v>
      </c>
      <c r="P37" t="s">
        <v>187</v>
      </c>
      <c r="S37" t="s">
        <v>188</v>
      </c>
      <c r="T37">
        <v>66.67</v>
      </c>
      <c r="U37">
        <v>100</v>
      </c>
      <c r="V37">
        <v>100</v>
      </c>
      <c r="W37">
        <v>9.33</v>
      </c>
      <c r="X37">
        <v>80</v>
      </c>
      <c r="Y37">
        <v>7.52</v>
      </c>
      <c r="Z37">
        <v>95</v>
      </c>
      <c r="AA37">
        <v>1782746933</v>
      </c>
    </row>
    <row r="38" spans="1:27" x14ac:dyDescent="0.25">
      <c r="A38" t="s">
        <v>189</v>
      </c>
      <c r="B38" t="s">
        <v>190</v>
      </c>
      <c r="C38">
        <v>4</v>
      </c>
      <c r="D38" t="s">
        <v>39</v>
      </c>
      <c r="E38" s="3">
        <v>93</v>
      </c>
      <c r="F38" s="3"/>
      <c r="G38" s="3">
        <f t="shared" si="1"/>
        <v>88.56</v>
      </c>
      <c r="H38" s="3">
        <v>70.8</v>
      </c>
      <c r="I38" s="3"/>
      <c r="J38" s="3"/>
      <c r="K38" s="2">
        <f t="shared" si="0"/>
        <v>17.27</v>
      </c>
      <c r="L38" s="2" t="str">
        <f t="shared" si="2"/>
        <v>E</v>
      </c>
      <c r="M38" t="str">
        <f t="shared" si="3"/>
        <v>0</v>
      </c>
      <c r="N38" t="s">
        <v>191</v>
      </c>
      <c r="O38">
        <v>24060124130063</v>
      </c>
      <c r="P38" t="s">
        <v>192</v>
      </c>
      <c r="S38" t="s">
        <v>193</v>
      </c>
      <c r="T38">
        <v>75</v>
      </c>
      <c r="U38">
        <v>100</v>
      </c>
      <c r="V38">
        <v>100</v>
      </c>
      <c r="W38">
        <v>9</v>
      </c>
      <c r="X38">
        <v>70</v>
      </c>
      <c r="Y38">
        <v>9.06</v>
      </c>
      <c r="Z38">
        <v>93</v>
      </c>
      <c r="AA38">
        <v>1782746933</v>
      </c>
    </row>
    <row r="39" spans="1:27" x14ac:dyDescent="0.25">
      <c r="A39" t="s">
        <v>194</v>
      </c>
      <c r="B39" t="s">
        <v>195</v>
      </c>
      <c r="C39">
        <v>4</v>
      </c>
      <c r="D39" t="s">
        <v>39</v>
      </c>
      <c r="E39" s="3">
        <v>92</v>
      </c>
      <c r="F39" s="3"/>
      <c r="G39" s="3">
        <f t="shared" si="1"/>
        <v>86.146800000000013</v>
      </c>
      <c r="H39" s="3">
        <v>62.733999999999995</v>
      </c>
      <c r="I39" s="3"/>
      <c r="J39" s="3"/>
      <c r="K39" s="2">
        <f t="shared" si="0"/>
        <v>16.64</v>
      </c>
      <c r="L39" s="2" t="str">
        <f t="shared" si="2"/>
        <v>E</v>
      </c>
      <c r="M39" t="str">
        <f t="shared" si="3"/>
        <v>0</v>
      </c>
      <c r="N39" t="s">
        <v>196</v>
      </c>
      <c r="O39">
        <v>24060124130087</v>
      </c>
      <c r="P39" t="s">
        <v>197</v>
      </c>
      <c r="S39" t="s">
        <v>198</v>
      </c>
      <c r="T39">
        <v>83.33</v>
      </c>
      <c r="U39">
        <v>51.67</v>
      </c>
      <c r="V39">
        <v>100</v>
      </c>
      <c r="W39">
        <v>8.67</v>
      </c>
      <c r="X39">
        <v>70</v>
      </c>
      <c r="Y39">
        <v>6.58</v>
      </c>
      <c r="Z39">
        <v>92</v>
      </c>
      <c r="AA39">
        <v>1782746933</v>
      </c>
    </row>
    <row r="40" spans="1:27" x14ac:dyDescent="0.25">
      <c r="A40" t="s">
        <v>199</v>
      </c>
      <c r="B40" t="s">
        <v>200</v>
      </c>
      <c r="C40">
        <v>4</v>
      </c>
      <c r="D40" t="s">
        <v>39</v>
      </c>
      <c r="E40" s="3">
        <v>67</v>
      </c>
      <c r="F40" s="3"/>
      <c r="G40" s="3">
        <f t="shared" si="1"/>
        <v>65.133200000000002</v>
      </c>
      <c r="H40" s="3">
        <v>57.665999999999997</v>
      </c>
      <c r="I40" s="3"/>
      <c r="J40" s="3"/>
      <c r="K40" s="2">
        <f t="shared" si="0"/>
        <v>12.84</v>
      </c>
      <c r="L40" s="2" t="str">
        <f t="shared" si="2"/>
        <v>E</v>
      </c>
      <c r="M40" t="str">
        <f t="shared" si="3"/>
        <v>0</v>
      </c>
      <c r="N40" t="s">
        <v>201</v>
      </c>
      <c r="O40">
        <v>24060124140173</v>
      </c>
      <c r="P40" t="s">
        <v>202</v>
      </c>
      <c r="S40" t="s">
        <v>203</v>
      </c>
      <c r="T40">
        <v>58.33</v>
      </c>
      <c r="U40">
        <v>65</v>
      </c>
      <c r="V40">
        <v>100</v>
      </c>
      <c r="W40" t="s">
        <v>48</v>
      </c>
      <c r="X40">
        <v>65</v>
      </c>
      <c r="Y40" t="s">
        <v>48</v>
      </c>
      <c r="Z40">
        <v>67</v>
      </c>
      <c r="AA40">
        <v>1782746933</v>
      </c>
    </row>
    <row r="41" spans="1:27" x14ac:dyDescent="0.25">
      <c r="A41" t="s">
        <v>204</v>
      </c>
      <c r="B41" t="s">
        <v>205</v>
      </c>
      <c r="C41">
        <v>4</v>
      </c>
      <c r="D41" t="s">
        <v>39</v>
      </c>
      <c r="E41" s="3">
        <v>97</v>
      </c>
      <c r="F41" s="3"/>
      <c r="G41" s="3">
        <f t="shared" si="1"/>
        <v>92.226800000000011</v>
      </c>
      <c r="H41" s="3">
        <v>73.134</v>
      </c>
      <c r="I41" s="3"/>
      <c r="J41" s="3"/>
      <c r="K41" s="2">
        <f t="shared" si="0"/>
        <v>17.97</v>
      </c>
      <c r="L41" s="2" t="str">
        <f t="shared" si="2"/>
        <v>E</v>
      </c>
      <c r="M41" t="str">
        <f t="shared" si="3"/>
        <v>0</v>
      </c>
      <c r="N41" t="s">
        <v>206</v>
      </c>
      <c r="O41">
        <v>24060124120005</v>
      </c>
      <c r="P41" t="s">
        <v>207</v>
      </c>
      <c r="S41" t="s">
        <v>208</v>
      </c>
      <c r="T41">
        <v>75</v>
      </c>
      <c r="U41">
        <v>96.67</v>
      </c>
      <c r="V41">
        <v>100</v>
      </c>
      <c r="W41">
        <v>9</v>
      </c>
      <c r="X41">
        <v>85</v>
      </c>
      <c r="Y41">
        <v>8.7200000000000006</v>
      </c>
      <c r="Z41">
        <v>97</v>
      </c>
      <c r="AA41">
        <v>1782746933</v>
      </c>
    </row>
    <row r="42" spans="1:27" x14ac:dyDescent="0.25">
      <c r="A42" t="s">
        <v>209</v>
      </c>
      <c r="B42" t="s">
        <v>210</v>
      </c>
      <c r="C42">
        <v>4</v>
      </c>
      <c r="D42" t="s">
        <v>39</v>
      </c>
      <c r="E42" s="3">
        <v>0</v>
      </c>
      <c r="F42" s="3"/>
      <c r="G42" s="3">
        <f t="shared" si="1"/>
        <v>12.933199999999999</v>
      </c>
      <c r="H42" s="3">
        <v>64.665999999999997</v>
      </c>
      <c r="I42" s="3"/>
      <c r="J42" s="3"/>
      <c r="K42" s="2">
        <f t="shared" si="0"/>
        <v>3.88</v>
      </c>
      <c r="L42" s="2" t="str">
        <f t="shared" si="2"/>
        <v>E</v>
      </c>
      <c r="M42" t="str">
        <f t="shared" si="3"/>
        <v>0</v>
      </c>
      <c r="N42" t="s">
        <v>211</v>
      </c>
      <c r="O42">
        <v>24060124130059</v>
      </c>
      <c r="P42" t="s">
        <v>212</v>
      </c>
      <c r="S42" t="s">
        <v>213</v>
      </c>
      <c r="T42">
        <v>58.33</v>
      </c>
      <c r="U42">
        <v>95</v>
      </c>
      <c r="V42">
        <v>100</v>
      </c>
      <c r="W42" t="s">
        <v>48</v>
      </c>
      <c r="X42">
        <v>70</v>
      </c>
      <c r="Y42">
        <v>8.06</v>
      </c>
      <c r="Z42" t="s">
        <v>48</v>
      </c>
      <c r="AA42">
        <v>1782746933</v>
      </c>
    </row>
    <row r="43" spans="1:27" x14ac:dyDescent="0.25">
      <c r="A43" t="s">
        <v>214</v>
      </c>
      <c r="B43" t="s">
        <v>215</v>
      </c>
      <c r="C43">
        <v>4</v>
      </c>
      <c r="D43" t="s">
        <v>39</v>
      </c>
      <c r="E43" s="3">
        <v>82</v>
      </c>
      <c r="F43" s="3"/>
      <c r="G43" s="3">
        <f t="shared" si="1"/>
        <v>78.550000000000011</v>
      </c>
      <c r="H43" s="3">
        <v>64.75</v>
      </c>
      <c r="I43" s="3"/>
      <c r="J43" s="3"/>
      <c r="K43" s="2">
        <f t="shared" si="0"/>
        <v>15.37</v>
      </c>
      <c r="L43" s="2" t="str">
        <f t="shared" si="2"/>
        <v>E</v>
      </c>
      <c r="M43" t="str">
        <f t="shared" si="3"/>
        <v>0</v>
      </c>
      <c r="N43" t="s">
        <v>216</v>
      </c>
      <c r="O43">
        <v>24060124140168</v>
      </c>
      <c r="P43" t="s">
        <v>217</v>
      </c>
      <c r="S43" t="s">
        <v>218</v>
      </c>
      <c r="T43">
        <v>50</v>
      </c>
      <c r="U43">
        <v>93.75</v>
      </c>
      <c r="V43">
        <v>100</v>
      </c>
      <c r="W43" t="s">
        <v>48</v>
      </c>
      <c r="X43">
        <v>80</v>
      </c>
      <c r="Y43" t="s">
        <v>48</v>
      </c>
      <c r="Z43">
        <v>82</v>
      </c>
      <c r="AA43">
        <v>1782746933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C62D-F771-4BE1-A568-1865A6957360}">
  <dimension ref="A7:L43"/>
  <sheetViews>
    <sheetView topLeftCell="A3" workbookViewId="0">
      <selection activeCell="L8" sqref="L8:L43"/>
    </sheetView>
  </sheetViews>
  <sheetFormatPr defaultRowHeight="15" x14ac:dyDescent="0.25"/>
  <sheetData>
    <row r="7" spans="1:12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</row>
    <row r="8" spans="1:12" x14ac:dyDescent="0.25">
      <c r="A8" t="s">
        <v>40</v>
      </c>
      <c r="B8">
        <v>24060124120014</v>
      </c>
      <c r="C8" t="s">
        <v>41</v>
      </c>
      <c r="F8" t="s">
        <v>42</v>
      </c>
      <c r="G8">
        <v>75</v>
      </c>
      <c r="H8">
        <v>56.25</v>
      </c>
      <c r="I8">
        <v>100</v>
      </c>
      <c r="J8">
        <v>9.67</v>
      </c>
      <c r="K8">
        <v>80</v>
      </c>
      <c r="L8">
        <f>SUM(G8:K8)/5</f>
        <v>64.183999999999997</v>
      </c>
    </row>
    <row r="9" spans="1:12" x14ac:dyDescent="0.25">
      <c r="A9" t="s">
        <v>45</v>
      </c>
      <c r="B9">
        <v>24060124130110</v>
      </c>
      <c r="C9" t="s">
        <v>46</v>
      </c>
      <c r="F9" t="s">
        <v>47</v>
      </c>
      <c r="G9">
        <v>83.33</v>
      </c>
      <c r="H9">
        <v>100</v>
      </c>
      <c r="I9">
        <v>100</v>
      </c>
      <c r="J9" t="s">
        <v>48</v>
      </c>
      <c r="K9">
        <v>95</v>
      </c>
      <c r="L9">
        <f t="shared" ref="L9:L43" si="0">SUM(G9:K9)/5</f>
        <v>75.665999999999997</v>
      </c>
    </row>
    <row r="10" spans="1:12" x14ac:dyDescent="0.25">
      <c r="A10" t="s">
        <v>51</v>
      </c>
      <c r="B10">
        <v>24060124140136</v>
      </c>
      <c r="C10" t="s">
        <v>52</v>
      </c>
      <c r="F10" t="s">
        <v>53</v>
      </c>
      <c r="G10">
        <v>41.67</v>
      </c>
      <c r="H10">
        <v>81.67</v>
      </c>
      <c r="I10">
        <v>80</v>
      </c>
      <c r="J10" t="s">
        <v>48</v>
      </c>
      <c r="K10" t="s">
        <v>48</v>
      </c>
      <c r="L10">
        <f t="shared" si="0"/>
        <v>40.667999999999999</v>
      </c>
    </row>
    <row r="11" spans="1:12" x14ac:dyDescent="0.25">
      <c r="A11" t="s">
        <v>56</v>
      </c>
      <c r="B11">
        <v>24060124140143</v>
      </c>
      <c r="C11" t="s">
        <v>57</v>
      </c>
      <c r="F11" t="s">
        <v>58</v>
      </c>
      <c r="G11">
        <v>75</v>
      </c>
      <c r="H11">
        <v>85</v>
      </c>
      <c r="I11">
        <v>100</v>
      </c>
      <c r="J11">
        <v>10</v>
      </c>
      <c r="K11" t="s">
        <v>48</v>
      </c>
      <c r="L11">
        <f t="shared" si="0"/>
        <v>54</v>
      </c>
    </row>
    <row r="12" spans="1:12" x14ac:dyDescent="0.25">
      <c r="A12" t="s">
        <v>61</v>
      </c>
      <c r="B12">
        <v>24060124140176</v>
      </c>
      <c r="C12" t="s">
        <v>62</v>
      </c>
      <c r="F12" t="s">
        <v>63</v>
      </c>
      <c r="G12">
        <v>75</v>
      </c>
      <c r="H12">
        <v>90</v>
      </c>
      <c r="I12">
        <v>100</v>
      </c>
      <c r="J12">
        <v>9</v>
      </c>
      <c r="K12">
        <v>40</v>
      </c>
      <c r="L12">
        <f t="shared" si="0"/>
        <v>62.8</v>
      </c>
    </row>
    <row r="13" spans="1:12" x14ac:dyDescent="0.25">
      <c r="A13" t="s">
        <v>66</v>
      </c>
      <c r="B13">
        <v>24060124140195</v>
      </c>
      <c r="C13" t="s">
        <v>67</v>
      </c>
      <c r="F13" t="s">
        <v>68</v>
      </c>
      <c r="G13">
        <v>75</v>
      </c>
      <c r="H13">
        <v>88.33</v>
      </c>
      <c r="I13">
        <v>80</v>
      </c>
      <c r="J13" t="s">
        <v>48</v>
      </c>
      <c r="K13">
        <v>70</v>
      </c>
      <c r="L13">
        <f t="shared" si="0"/>
        <v>62.665999999999997</v>
      </c>
    </row>
    <row r="14" spans="1:12" x14ac:dyDescent="0.25">
      <c r="A14" t="s">
        <v>71</v>
      </c>
      <c r="B14">
        <v>24060124140206</v>
      </c>
      <c r="C14" t="s">
        <v>72</v>
      </c>
      <c r="F14" t="s">
        <v>73</v>
      </c>
      <c r="G14">
        <v>75</v>
      </c>
      <c r="H14">
        <v>65</v>
      </c>
      <c r="I14">
        <v>80</v>
      </c>
      <c r="J14" t="s">
        <v>48</v>
      </c>
      <c r="K14" t="s">
        <v>48</v>
      </c>
      <c r="L14">
        <f t="shared" si="0"/>
        <v>44</v>
      </c>
    </row>
    <row r="15" spans="1:12" x14ac:dyDescent="0.25">
      <c r="A15" t="s">
        <v>76</v>
      </c>
      <c r="B15">
        <v>24060124120003</v>
      </c>
      <c r="C15" t="s">
        <v>77</v>
      </c>
      <c r="F15" t="s">
        <v>78</v>
      </c>
      <c r="G15">
        <v>91.67</v>
      </c>
      <c r="H15">
        <v>85</v>
      </c>
      <c r="I15">
        <v>100</v>
      </c>
      <c r="J15">
        <v>9</v>
      </c>
      <c r="K15">
        <v>25</v>
      </c>
      <c r="L15">
        <f t="shared" si="0"/>
        <v>62.134</v>
      </c>
    </row>
    <row r="16" spans="1:12" x14ac:dyDescent="0.25">
      <c r="A16" t="s">
        <v>81</v>
      </c>
      <c r="B16">
        <v>24060124120024</v>
      </c>
      <c r="C16" t="s">
        <v>82</v>
      </c>
      <c r="F16" t="s">
        <v>83</v>
      </c>
      <c r="G16">
        <v>66.67</v>
      </c>
      <c r="H16">
        <v>90</v>
      </c>
      <c r="I16">
        <v>100</v>
      </c>
      <c r="J16">
        <v>8.33</v>
      </c>
      <c r="K16">
        <v>95</v>
      </c>
      <c r="L16">
        <f t="shared" si="0"/>
        <v>72</v>
      </c>
    </row>
    <row r="17" spans="1:12" x14ac:dyDescent="0.25">
      <c r="A17" t="s">
        <v>86</v>
      </c>
      <c r="B17">
        <v>24060124130068</v>
      </c>
      <c r="C17" t="s">
        <v>87</v>
      </c>
      <c r="F17" t="s">
        <v>88</v>
      </c>
      <c r="G17">
        <v>91.67</v>
      </c>
      <c r="H17">
        <v>89.17</v>
      </c>
      <c r="I17">
        <v>100</v>
      </c>
      <c r="J17">
        <v>8.67</v>
      </c>
      <c r="K17">
        <v>75</v>
      </c>
      <c r="L17">
        <f t="shared" si="0"/>
        <v>72.902000000000015</v>
      </c>
    </row>
    <row r="18" spans="1:12" x14ac:dyDescent="0.25">
      <c r="A18" t="s">
        <v>91</v>
      </c>
      <c r="B18">
        <v>24060124130080</v>
      </c>
      <c r="C18" t="s">
        <v>92</v>
      </c>
      <c r="F18" t="s">
        <v>93</v>
      </c>
      <c r="G18" t="s">
        <v>48</v>
      </c>
      <c r="H18">
        <v>81.67</v>
      </c>
      <c r="I18">
        <v>100</v>
      </c>
      <c r="J18">
        <v>6.78</v>
      </c>
      <c r="K18" t="s">
        <v>48</v>
      </c>
      <c r="L18">
        <f t="shared" si="0"/>
        <v>37.690000000000005</v>
      </c>
    </row>
    <row r="19" spans="1:12" x14ac:dyDescent="0.25">
      <c r="A19" t="s">
        <v>96</v>
      </c>
      <c r="B19">
        <v>24060124130082</v>
      </c>
      <c r="C19" t="s">
        <v>97</v>
      </c>
      <c r="F19" t="s">
        <v>98</v>
      </c>
      <c r="G19">
        <v>50</v>
      </c>
      <c r="H19">
        <v>85.83</v>
      </c>
      <c r="I19">
        <v>100</v>
      </c>
      <c r="J19">
        <v>9</v>
      </c>
      <c r="K19">
        <v>85</v>
      </c>
      <c r="L19">
        <f t="shared" si="0"/>
        <v>65.965999999999994</v>
      </c>
    </row>
    <row r="20" spans="1:12" x14ac:dyDescent="0.25">
      <c r="A20" t="s">
        <v>101</v>
      </c>
      <c r="B20">
        <v>24060124130088</v>
      </c>
      <c r="C20" t="s">
        <v>102</v>
      </c>
      <c r="F20" t="s">
        <v>103</v>
      </c>
      <c r="G20">
        <v>66.67</v>
      </c>
      <c r="H20">
        <v>81.25</v>
      </c>
      <c r="I20">
        <v>80</v>
      </c>
      <c r="J20" t="s">
        <v>48</v>
      </c>
      <c r="K20">
        <v>95</v>
      </c>
      <c r="L20">
        <f t="shared" si="0"/>
        <v>64.584000000000003</v>
      </c>
    </row>
    <row r="21" spans="1:12" x14ac:dyDescent="0.25">
      <c r="A21" t="s">
        <v>106</v>
      </c>
      <c r="B21">
        <v>24060124130116</v>
      </c>
      <c r="C21" t="s">
        <v>107</v>
      </c>
      <c r="F21" t="s">
        <v>108</v>
      </c>
      <c r="G21">
        <v>66.67</v>
      </c>
      <c r="H21">
        <v>95</v>
      </c>
      <c r="I21">
        <v>100</v>
      </c>
      <c r="J21">
        <v>9</v>
      </c>
      <c r="K21">
        <v>85</v>
      </c>
      <c r="L21">
        <f t="shared" si="0"/>
        <v>71.134</v>
      </c>
    </row>
    <row r="22" spans="1:12" x14ac:dyDescent="0.25">
      <c r="A22" t="s">
        <v>111</v>
      </c>
      <c r="B22">
        <v>24060124140182</v>
      </c>
      <c r="C22" t="s">
        <v>112</v>
      </c>
      <c r="F22" t="s">
        <v>113</v>
      </c>
      <c r="G22">
        <v>58.33</v>
      </c>
      <c r="H22">
        <v>86.67</v>
      </c>
      <c r="I22">
        <v>100</v>
      </c>
      <c r="J22">
        <v>9.33</v>
      </c>
      <c r="K22">
        <v>45</v>
      </c>
      <c r="L22">
        <f t="shared" si="0"/>
        <v>59.866000000000007</v>
      </c>
    </row>
    <row r="23" spans="1:12" x14ac:dyDescent="0.25">
      <c r="A23" t="s">
        <v>116</v>
      </c>
      <c r="B23">
        <v>24060124130083</v>
      </c>
      <c r="C23" t="s">
        <v>117</v>
      </c>
      <c r="F23" t="s">
        <v>118</v>
      </c>
      <c r="G23">
        <v>91.67</v>
      </c>
      <c r="H23">
        <v>95</v>
      </c>
      <c r="I23">
        <v>100</v>
      </c>
      <c r="J23">
        <v>8.83</v>
      </c>
      <c r="K23">
        <v>100</v>
      </c>
      <c r="L23">
        <f t="shared" si="0"/>
        <v>79.099999999999994</v>
      </c>
    </row>
    <row r="24" spans="1:12" x14ac:dyDescent="0.25">
      <c r="A24" t="s">
        <v>121</v>
      </c>
      <c r="B24">
        <v>24060124130104</v>
      </c>
      <c r="C24" t="s">
        <v>122</v>
      </c>
      <c r="F24" t="s">
        <v>123</v>
      </c>
      <c r="G24">
        <v>75</v>
      </c>
      <c r="H24">
        <v>91.25</v>
      </c>
      <c r="I24">
        <v>100</v>
      </c>
      <c r="J24">
        <v>9.33</v>
      </c>
      <c r="K24">
        <v>50</v>
      </c>
      <c r="L24">
        <f t="shared" si="0"/>
        <v>65.116</v>
      </c>
    </row>
    <row r="25" spans="1:12" x14ac:dyDescent="0.25">
      <c r="A25" t="s">
        <v>126</v>
      </c>
      <c r="B25">
        <v>24060124130112</v>
      </c>
      <c r="C25" t="s">
        <v>127</v>
      </c>
      <c r="F25" t="s">
        <v>128</v>
      </c>
      <c r="G25">
        <v>66.67</v>
      </c>
      <c r="H25" t="s">
        <v>48</v>
      </c>
      <c r="I25" t="s">
        <v>48</v>
      </c>
      <c r="J25">
        <v>8.33</v>
      </c>
      <c r="K25">
        <v>80</v>
      </c>
      <c r="L25">
        <f t="shared" si="0"/>
        <v>31</v>
      </c>
    </row>
    <row r="26" spans="1:12" x14ac:dyDescent="0.25">
      <c r="A26" t="s">
        <v>131</v>
      </c>
      <c r="B26">
        <v>24060124120021</v>
      </c>
      <c r="C26" t="s">
        <v>132</v>
      </c>
      <c r="F26" t="s">
        <v>133</v>
      </c>
      <c r="G26">
        <v>83.33</v>
      </c>
      <c r="H26">
        <v>100</v>
      </c>
      <c r="I26">
        <v>100</v>
      </c>
      <c r="J26">
        <v>9</v>
      </c>
      <c r="K26">
        <v>100</v>
      </c>
      <c r="L26">
        <f t="shared" si="0"/>
        <v>78.465999999999994</v>
      </c>
    </row>
    <row r="27" spans="1:12" x14ac:dyDescent="0.25">
      <c r="A27" t="s">
        <v>136</v>
      </c>
      <c r="B27">
        <v>24060124120023</v>
      </c>
      <c r="C27" t="s">
        <v>137</v>
      </c>
      <c r="F27" t="s">
        <v>138</v>
      </c>
      <c r="G27">
        <v>91.67</v>
      </c>
      <c r="H27">
        <v>100</v>
      </c>
      <c r="I27">
        <v>100</v>
      </c>
      <c r="J27">
        <v>9.67</v>
      </c>
      <c r="K27">
        <v>100</v>
      </c>
      <c r="L27">
        <f t="shared" si="0"/>
        <v>80.268000000000001</v>
      </c>
    </row>
    <row r="28" spans="1:12" x14ac:dyDescent="0.25">
      <c r="A28" t="s">
        <v>141</v>
      </c>
      <c r="B28">
        <v>24060124120028</v>
      </c>
      <c r="C28" t="s">
        <v>142</v>
      </c>
      <c r="F28" t="s">
        <v>143</v>
      </c>
      <c r="G28">
        <v>91.67</v>
      </c>
      <c r="H28">
        <v>90</v>
      </c>
      <c r="I28">
        <v>100</v>
      </c>
      <c r="J28" t="s">
        <v>48</v>
      </c>
      <c r="K28">
        <v>25</v>
      </c>
      <c r="L28">
        <f t="shared" si="0"/>
        <v>61.334000000000003</v>
      </c>
    </row>
    <row r="29" spans="1:12" x14ac:dyDescent="0.25">
      <c r="A29" t="s">
        <v>146</v>
      </c>
      <c r="B29">
        <v>24060124130079</v>
      </c>
      <c r="C29" t="s">
        <v>147</v>
      </c>
      <c r="F29" t="s">
        <v>148</v>
      </c>
      <c r="G29">
        <v>75</v>
      </c>
      <c r="H29">
        <v>95</v>
      </c>
      <c r="I29">
        <v>100</v>
      </c>
      <c r="J29">
        <v>8</v>
      </c>
      <c r="K29">
        <v>95</v>
      </c>
      <c r="L29">
        <f t="shared" si="0"/>
        <v>74.599999999999994</v>
      </c>
    </row>
    <row r="30" spans="1:12" x14ac:dyDescent="0.25">
      <c r="A30" t="s">
        <v>151</v>
      </c>
      <c r="B30">
        <v>24060124120022</v>
      </c>
      <c r="C30" t="s">
        <v>152</v>
      </c>
      <c r="F30" t="s">
        <v>153</v>
      </c>
      <c r="G30">
        <v>75</v>
      </c>
      <c r="H30">
        <v>79.58</v>
      </c>
      <c r="I30">
        <v>100</v>
      </c>
      <c r="J30">
        <v>9</v>
      </c>
      <c r="K30">
        <v>80</v>
      </c>
      <c r="L30">
        <f t="shared" si="0"/>
        <v>68.715999999999994</v>
      </c>
    </row>
    <row r="31" spans="1:12" x14ac:dyDescent="0.25">
      <c r="A31" t="s">
        <v>156</v>
      </c>
      <c r="B31">
        <v>24060124130057</v>
      </c>
      <c r="C31" t="s">
        <v>157</v>
      </c>
      <c r="F31" t="s">
        <v>158</v>
      </c>
      <c r="G31">
        <v>75</v>
      </c>
      <c r="H31">
        <v>90</v>
      </c>
      <c r="I31">
        <v>100</v>
      </c>
      <c r="J31">
        <v>7.56</v>
      </c>
      <c r="K31">
        <v>80</v>
      </c>
      <c r="L31">
        <f t="shared" si="0"/>
        <v>70.512</v>
      </c>
    </row>
    <row r="32" spans="1:12" x14ac:dyDescent="0.25">
      <c r="A32" t="s">
        <v>161</v>
      </c>
      <c r="B32">
        <v>24060124130058</v>
      </c>
      <c r="C32" t="s">
        <v>162</v>
      </c>
      <c r="F32" t="s">
        <v>163</v>
      </c>
      <c r="G32">
        <v>83.33</v>
      </c>
      <c r="H32">
        <v>80</v>
      </c>
      <c r="I32">
        <v>100</v>
      </c>
      <c r="J32">
        <v>7.78</v>
      </c>
      <c r="K32">
        <v>80</v>
      </c>
      <c r="L32">
        <f t="shared" si="0"/>
        <v>70.221999999999994</v>
      </c>
    </row>
    <row r="33" spans="1:12" x14ac:dyDescent="0.25">
      <c r="A33" t="s">
        <v>166</v>
      </c>
      <c r="B33">
        <v>24060124130096</v>
      </c>
      <c r="C33" t="s">
        <v>167</v>
      </c>
      <c r="F33" t="s">
        <v>168</v>
      </c>
      <c r="G33">
        <v>75</v>
      </c>
      <c r="H33">
        <v>97.5</v>
      </c>
      <c r="I33">
        <v>100</v>
      </c>
      <c r="J33">
        <v>9</v>
      </c>
      <c r="K33">
        <v>95</v>
      </c>
      <c r="L33">
        <f t="shared" si="0"/>
        <v>75.3</v>
      </c>
    </row>
    <row r="34" spans="1:12" x14ac:dyDescent="0.25">
      <c r="A34" t="s">
        <v>171</v>
      </c>
      <c r="B34">
        <v>24060124130102</v>
      </c>
      <c r="C34" t="s">
        <v>172</v>
      </c>
      <c r="F34" t="s">
        <v>173</v>
      </c>
      <c r="G34">
        <v>75</v>
      </c>
      <c r="H34">
        <v>84.58</v>
      </c>
      <c r="I34">
        <v>100</v>
      </c>
      <c r="J34">
        <v>9.33</v>
      </c>
      <c r="K34">
        <v>30</v>
      </c>
      <c r="L34">
        <f t="shared" si="0"/>
        <v>59.781999999999996</v>
      </c>
    </row>
    <row r="35" spans="1:12" x14ac:dyDescent="0.25">
      <c r="A35" t="s">
        <v>176</v>
      </c>
      <c r="B35">
        <v>24060124130117</v>
      </c>
      <c r="C35" t="s">
        <v>177</v>
      </c>
      <c r="F35" t="s">
        <v>178</v>
      </c>
      <c r="G35">
        <v>75</v>
      </c>
      <c r="H35">
        <v>95</v>
      </c>
      <c r="I35">
        <v>100</v>
      </c>
      <c r="J35">
        <v>8</v>
      </c>
      <c r="K35">
        <v>90</v>
      </c>
      <c r="L35">
        <f t="shared" si="0"/>
        <v>73.599999999999994</v>
      </c>
    </row>
    <row r="36" spans="1:12" x14ac:dyDescent="0.25">
      <c r="A36" t="s">
        <v>181</v>
      </c>
      <c r="B36">
        <v>24060124120042</v>
      </c>
      <c r="C36" t="s">
        <v>182</v>
      </c>
      <c r="F36" t="s">
        <v>183</v>
      </c>
      <c r="G36">
        <v>83.33</v>
      </c>
      <c r="H36">
        <v>87.08</v>
      </c>
      <c r="I36">
        <v>100</v>
      </c>
      <c r="J36" t="s">
        <v>48</v>
      </c>
      <c r="K36">
        <v>80</v>
      </c>
      <c r="L36">
        <f t="shared" si="0"/>
        <v>70.081999999999994</v>
      </c>
    </row>
    <row r="37" spans="1:12" x14ac:dyDescent="0.25">
      <c r="A37" t="s">
        <v>186</v>
      </c>
      <c r="B37">
        <v>24060124120045</v>
      </c>
      <c r="C37" t="s">
        <v>187</v>
      </c>
      <c r="F37" t="s">
        <v>188</v>
      </c>
      <c r="G37">
        <v>66.67</v>
      </c>
      <c r="H37">
        <v>100</v>
      </c>
      <c r="I37">
        <v>100</v>
      </c>
      <c r="J37">
        <v>9.33</v>
      </c>
      <c r="K37">
        <v>80</v>
      </c>
      <c r="L37">
        <f t="shared" si="0"/>
        <v>71.2</v>
      </c>
    </row>
    <row r="38" spans="1:12" x14ac:dyDescent="0.25">
      <c r="A38" t="s">
        <v>191</v>
      </c>
      <c r="B38">
        <v>24060124130063</v>
      </c>
      <c r="C38" t="s">
        <v>192</v>
      </c>
      <c r="F38" t="s">
        <v>193</v>
      </c>
      <c r="G38">
        <v>75</v>
      </c>
      <c r="H38">
        <v>100</v>
      </c>
      <c r="I38">
        <v>100</v>
      </c>
      <c r="J38">
        <v>9</v>
      </c>
      <c r="K38">
        <v>70</v>
      </c>
      <c r="L38">
        <f t="shared" si="0"/>
        <v>70.8</v>
      </c>
    </row>
    <row r="39" spans="1:12" x14ac:dyDescent="0.25">
      <c r="A39" t="s">
        <v>196</v>
      </c>
      <c r="B39">
        <v>24060124130087</v>
      </c>
      <c r="C39" t="s">
        <v>197</v>
      </c>
      <c r="F39" t="s">
        <v>198</v>
      </c>
      <c r="G39">
        <v>83.33</v>
      </c>
      <c r="H39">
        <v>51.67</v>
      </c>
      <c r="I39">
        <v>100</v>
      </c>
      <c r="J39">
        <v>8.67</v>
      </c>
      <c r="K39">
        <v>70</v>
      </c>
      <c r="L39">
        <f t="shared" si="0"/>
        <v>62.733999999999995</v>
      </c>
    </row>
    <row r="40" spans="1:12" x14ac:dyDescent="0.25">
      <c r="A40" t="s">
        <v>201</v>
      </c>
      <c r="B40">
        <v>24060124140173</v>
      </c>
      <c r="C40" t="s">
        <v>202</v>
      </c>
      <c r="F40" t="s">
        <v>203</v>
      </c>
      <c r="G40">
        <v>58.33</v>
      </c>
      <c r="H40">
        <v>65</v>
      </c>
      <c r="I40">
        <v>100</v>
      </c>
      <c r="J40" t="s">
        <v>48</v>
      </c>
      <c r="K40">
        <v>65</v>
      </c>
      <c r="L40">
        <f t="shared" si="0"/>
        <v>57.665999999999997</v>
      </c>
    </row>
    <row r="41" spans="1:12" x14ac:dyDescent="0.25">
      <c r="A41" t="s">
        <v>206</v>
      </c>
      <c r="B41">
        <v>24060124120005</v>
      </c>
      <c r="C41" t="s">
        <v>207</v>
      </c>
      <c r="F41" t="s">
        <v>208</v>
      </c>
      <c r="G41">
        <v>75</v>
      </c>
      <c r="H41">
        <v>96.67</v>
      </c>
      <c r="I41">
        <v>100</v>
      </c>
      <c r="J41">
        <v>9</v>
      </c>
      <c r="K41">
        <v>85</v>
      </c>
      <c r="L41">
        <f t="shared" si="0"/>
        <v>73.134</v>
      </c>
    </row>
    <row r="42" spans="1:12" x14ac:dyDescent="0.25">
      <c r="A42" t="s">
        <v>211</v>
      </c>
      <c r="B42">
        <v>24060124130059</v>
      </c>
      <c r="C42" t="s">
        <v>212</v>
      </c>
      <c r="F42" t="s">
        <v>213</v>
      </c>
      <c r="G42">
        <v>58.33</v>
      </c>
      <c r="H42">
        <v>95</v>
      </c>
      <c r="I42">
        <v>100</v>
      </c>
      <c r="J42" t="s">
        <v>48</v>
      </c>
      <c r="K42">
        <v>70</v>
      </c>
      <c r="L42">
        <f t="shared" si="0"/>
        <v>64.665999999999997</v>
      </c>
    </row>
    <row r="43" spans="1:12" x14ac:dyDescent="0.25">
      <c r="A43" t="s">
        <v>216</v>
      </c>
      <c r="B43">
        <v>24060124140168</v>
      </c>
      <c r="C43" t="s">
        <v>217</v>
      </c>
      <c r="F43" t="s">
        <v>218</v>
      </c>
      <c r="G43">
        <v>50</v>
      </c>
      <c r="H43">
        <v>93.75</v>
      </c>
      <c r="I43">
        <v>100</v>
      </c>
      <c r="J43" t="s">
        <v>48</v>
      </c>
      <c r="K43">
        <v>80</v>
      </c>
      <c r="L43">
        <f t="shared" si="0"/>
        <v>64.75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defaultRowHeight="15" x14ac:dyDescent="0.25"/>
  <sheetData>
    <row r="1" spans="1:1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 t="s">
        <v>219</v>
      </c>
      <c r="B2">
        <v>24060121140176</v>
      </c>
      <c r="C2" t="s">
        <v>220</v>
      </c>
      <c r="F2" t="s">
        <v>221</v>
      </c>
      <c r="G2">
        <v>66.67</v>
      </c>
      <c r="H2">
        <v>90</v>
      </c>
      <c r="I2">
        <v>100</v>
      </c>
      <c r="J2">
        <v>8.67</v>
      </c>
      <c r="K2" t="s">
        <v>48</v>
      </c>
      <c r="L2">
        <v>9.4</v>
      </c>
      <c r="M2">
        <v>95</v>
      </c>
      <c r="N2">
        <v>1782746933</v>
      </c>
    </row>
    <row r="3" spans="1:14" x14ac:dyDescent="0.25">
      <c r="A3" t="s">
        <v>222</v>
      </c>
      <c r="B3">
        <v>24060123130049</v>
      </c>
      <c r="C3" t="s">
        <v>223</v>
      </c>
      <c r="F3" t="s">
        <v>224</v>
      </c>
      <c r="G3">
        <v>66.67</v>
      </c>
      <c r="H3">
        <v>93.33</v>
      </c>
      <c r="I3">
        <v>100</v>
      </c>
      <c r="J3">
        <v>8.33</v>
      </c>
      <c r="K3">
        <v>85</v>
      </c>
      <c r="L3" t="s">
        <v>48</v>
      </c>
      <c r="M3">
        <v>92</v>
      </c>
      <c r="N3">
        <v>1782746933</v>
      </c>
    </row>
    <row r="4" spans="1:14" x14ac:dyDescent="0.25">
      <c r="A4" t="s">
        <v>225</v>
      </c>
      <c r="B4">
        <v>24060123130052</v>
      </c>
      <c r="C4" t="s">
        <v>226</v>
      </c>
      <c r="F4" t="s">
        <v>227</v>
      </c>
      <c r="G4">
        <v>83.33</v>
      </c>
      <c r="H4">
        <v>86.67</v>
      </c>
      <c r="I4">
        <v>100</v>
      </c>
      <c r="J4" t="s">
        <v>48</v>
      </c>
      <c r="K4" t="s">
        <v>48</v>
      </c>
      <c r="L4" t="s">
        <v>48</v>
      </c>
      <c r="M4" t="s">
        <v>48</v>
      </c>
      <c r="N4">
        <v>1782746933</v>
      </c>
    </row>
    <row r="5" spans="1:14" x14ac:dyDescent="0.25">
      <c r="A5" t="s">
        <v>228</v>
      </c>
      <c r="B5">
        <v>24060123140121</v>
      </c>
      <c r="C5" t="s">
        <v>229</v>
      </c>
      <c r="F5" t="s">
        <v>230</v>
      </c>
      <c r="G5">
        <v>75</v>
      </c>
      <c r="H5">
        <v>86.67</v>
      </c>
      <c r="I5">
        <v>100</v>
      </c>
      <c r="J5" t="s">
        <v>48</v>
      </c>
      <c r="K5" t="s">
        <v>48</v>
      </c>
      <c r="L5" t="s">
        <v>48</v>
      </c>
      <c r="M5">
        <v>83</v>
      </c>
      <c r="N5">
        <v>1782746933</v>
      </c>
    </row>
    <row r="6" spans="1:14" x14ac:dyDescent="0.25">
      <c r="A6" t="s">
        <v>231</v>
      </c>
      <c r="B6">
        <v>24060123140122</v>
      </c>
      <c r="C6" t="s">
        <v>232</v>
      </c>
      <c r="F6" t="s">
        <v>233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>
        <v>1782746933</v>
      </c>
    </row>
    <row r="7" spans="1:14" x14ac:dyDescent="0.25">
      <c r="A7" t="s">
        <v>234</v>
      </c>
      <c r="B7">
        <v>24060123140164</v>
      </c>
      <c r="C7" t="s">
        <v>235</v>
      </c>
      <c r="F7" t="s">
        <v>236</v>
      </c>
      <c r="G7" t="s">
        <v>48</v>
      </c>
      <c r="H7">
        <v>95</v>
      </c>
      <c r="I7">
        <v>100</v>
      </c>
      <c r="J7">
        <v>8.33</v>
      </c>
      <c r="K7" t="s">
        <v>48</v>
      </c>
      <c r="L7" t="s">
        <v>48</v>
      </c>
      <c r="M7">
        <v>93</v>
      </c>
      <c r="N7">
        <v>1782746933</v>
      </c>
    </row>
    <row r="8" spans="1:14" x14ac:dyDescent="0.25">
      <c r="A8" t="s">
        <v>237</v>
      </c>
      <c r="B8">
        <v>24060123140195</v>
      </c>
      <c r="C8" t="s">
        <v>238</v>
      </c>
      <c r="F8" t="s">
        <v>239</v>
      </c>
      <c r="G8" t="s">
        <v>48</v>
      </c>
      <c r="H8" t="s">
        <v>48</v>
      </c>
      <c r="I8" t="s">
        <v>48</v>
      </c>
      <c r="J8">
        <v>8</v>
      </c>
      <c r="K8" t="s">
        <v>48</v>
      </c>
      <c r="L8" t="s">
        <v>48</v>
      </c>
      <c r="M8" t="s">
        <v>48</v>
      </c>
      <c r="N8">
        <v>1782746933</v>
      </c>
    </row>
    <row r="9" spans="1:14" x14ac:dyDescent="0.25">
      <c r="A9" t="s">
        <v>240</v>
      </c>
      <c r="B9">
        <v>24060123140207</v>
      </c>
      <c r="C9" t="s">
        <v>241</v>
      </c>
      <c r="F9" t="s">
        <v>242</v>
      </c>
      <c r="G9">
        <v>91.67</v>
      </c>
      <c r="H9">
        <v>76.67</v>
      </c>
      <c r="I9">
        <v>80</v>
      </c>
      <c r="J9">
        <v>9.11</v>
      </c>
      <c r="K9">
        <v>95</v>
      </c>
      <c r="L9">
        <v>9.51</v>
      </c>
      <c r="M9">
        <v>94</v>
      </c>
      <c r="N9">
        <v>1782746933</v>
      </c>
    </row>
    <row r="10" spans="1:14" x14ac:dyDescent="0.25">
      <c r="A10" t="s">
        <v>243</v>
      </c>
      <c r="B10">
        <v>24060123140209</v>
      </c>
      <c r="C10" t="s">
        <v>244</v>
      </c>
      <c r="F10" t="s">
        <v>245</v>
      </c>
      <c r="G10">
        <v>66.67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>
        <v>48.5</v>
      </c>
      <c r="N10">
        <v>1782746933</v>
      </c>
    </row>
    <row r="11" spans="1:14" x14ac:dyDescent="0.25">
      <c r="A11" t="s">
        <v>246</v>
      </c>
      <c r="B11">
        <v>24060123140210</v>
      </c>
      <c r="C11" t="s">
        <v>247</v>
      </c>
      <c r="F11" t="s">
        <v>248</v>
      </c>
      <c r="G11">
        <v>75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>
        <v>1782746933</v>
      </c>
    </row>
    <row r="12" spans="1:14" x14ac:dyDescent="0.25">
      <c r="A12" t="s">
        <v>76</v>
      </c>
      <c r="B12">
        <v>24060124120003</v>
      </c>
      <c r="C12" t="s">
        <v>77</v>
      </c>
      <c r="F12" t="s">
        <v>78</v>
      </c>
      <c r="G12">
        <v>91.67</v>
      </c>
      <c r="H12">
        <v>85</v>
      </c>
      <c r="I12">
        <v>100</v>
      </c>
      <c r="J12">
        <v>9</v>
      </c>
      <c r="K12">
        <v>25</v>
      </c>
      <c r="L12">
        <v>9.49</v>
      </c>
      <c r="M12">
        <v>96</v>
      </c>
      <c r="N12">
        <v>1782746933</v>
      </c>
    </row>
    <row r="13" spans="1:14" x14ac:dyDescent="0.25">
      <c r="A13" t="s">
        <v>206</v>
      </c>
      <c r="B13">
        <v>24060124120005</v>
      </c>
      <c r="C13" t="s">
        <v>207</v>
      </c>
      <c r="F13" t="s">
        <v>208</v>
      </c>
      <c r="G13">
        <v>75</v>
      </c>
      <c r="H13">
        <v>96.67</v>
      </c>
      <c r="I13">
        <v>100</v>
      </c>
      <c r="J13">
        <v>9</v>
      </c>
      <c r="K13">
        <v>85</v>
      </c>
      <c r="L13">
        <v>8.7200000000000006</v>
      </c>
      <c r="M13">
        <v>97</v>
      </c>
      <c r="N13">
        <v>1782746933</v>
      </c>
    </row>
    <row r="14" spans="1:14" x14ac:dyDescent="0.25">
      <c r="A14" t="s">
        <v>40</v>
      </c>
      <c r="B14">
        <v>24060124120014</v>
      </c>
      <c r="C14" t="s">
        <v>41</v>
      </c>
      <c r="F14" t="s">
        <v>42</v>
      </c>
      <c r="G14">
        <v>75</v>
      </c>
      <c r="H14">
        <v>56.25</v>
      </c>
      <c r="I14">
        <v>100</v>
      </c>
      <c r="J14">
        <v>9.67</v>
      </c>
      <c r="K14">
        <v>80</v>
      </c>
      <c r="L14">
        <v>9.4</v>
      </c>
      <c r="M14">
        <v>94.25</v>
      </c>
      <c r="N14">
        <v>1782746933</v>
      </c>
    </row>
    <row r="15" spans="1:14" x14ac:dyDescent="0.25">
      <c r="A15" t="s">
        <v>131</v>
      </c>
      <c r="B15">
        <v>24060124120021</v>
      </c>
      <c r="C15" t="s">
        <v>132</v>
      </c>
      <c r="F15" t="s">
        <v>133</v>
      </c>
      <c r="G15">
        <v>83.33</v>
      </c>
      <c r="H15">
        <v>100</v>
      </c>
      <c r="I15">
        <v>100</v>
      </c>
      <c r="J15">
        <v>9</v>
      </c>
      <c r="K15">
        <v>100</v>
      </c>
      <c r="L15">
        <v>9.66</v>
      </c>
      <c r="M15">
        <v>94</v>
      </c>
      <c r="N15">
        <v>1782746933</v>
      </c>
    </row>
    <row r="16" spans="1:14" x14ac:dyDescent="0.25">
      <c r="A16" t="s">
        <v>151</v>
      </c>
      <c r="B16">
        <v>24060124120022</v>
      </c>
      <c r="C16" t="s">
        <v>152</v>
      </c>
      <c r="F16" t="s">
        <v>153</v>
      </c>
      <c r="G16">
        <v>75</v>
      </c>
      <c r="H16">
        <v>79.58</v>
      </c>
      <c r="I16">
        <v>100</v>
      </c>
      <c r="J16">
        <v>9</v>
      </c>
      <c r="K16">
        <v>80</v>
      </c>
      <c r="L16">
        <v>9.15</v>
      </c>
      <c r="M16">
        <v>86</v>
      </c>
      <c r="N16">
        <v>1782746933</v>
      </c>
    </row>
    <row r="17" spans="1:14" x14ac:dyDescent="0.25">
      <c r="A17" t="s">
        <v>136</v>
      </c>
      <c r="B17">
        <v>24060124120023</v>
      </c>
      <c r="C17" t="s">
        <v>137</v>
      </c>
      <c r="F17" t="s">
        <v>138</v>
      </c>
      <c r="G17">
        <v>91.67</v>
      </c>
      <c r="H17">
        <v>100</v>
      </c>
      <c r="I17">
        <v>100</v>
      </c>
      <c r="J17">
        <v>9.67</v>
      </c>
      <c r="K17">
        <v>100</v>
      </c>
      <c r="L17">
        <v>8.9700000000000006</v>
      </c>
      <c r="M17">
        <v>99</v>
      </c>
      <c r="N17">
        <v>1782746933</v>
      </c>
    </row>
    <row r="18" spans="1:14" x14ac:dyDescent="0.25">
      <c r="A18" t="s">
        <v>81</v>
      </c>
      <c r="B18">
        <v>24060124120024</v>
      </c>
      <c r="C18" t="s">
        <v>82</v>
      </c>
      <c r="F18" t="s">
        <v>83</v>
      </c>
      <c r="G18">
        <v>66.67</v>
      </c>
      <c r="H18">
        <v>90</v>
      </c>
      <c r="I18">
        <v>100</v>
      </c>
      <c r="J18">
        <v>8.33</v>
      </c>
      <c r="K18">
        <v>95</v>
      </c>
      <c r="L18">
        <v>3.5</v>
      </c>
      <c r="M18">
        <v>86</v>
      </c>
      <c r="N18">
        <v>1782746933</v>
      </c>
    </row>
    <row r="19" spans="1:14" x14ac:dyDescent="0.25">
      <c r="A19" t="s">
        <v>141</v>
      </c>
      <c r="B19">
        <v>24060124120028</v>
      </c>
      <c r="C19" t="s">
        <v>142</v>
      </c>
      <c r="F19" t="s">
        <v>143</v>
      </c>
      <c r="G19">
        <v>91.67</v>
      </c>
      <c r="H19">
        <v>90</v>
      </c>
      <c r="I19">
        <v>100</v>
      </c>
      <c r="J19" t="s">
        <v>48</v>
      </c>
      <c r="K19">
        <v>25</v>
      </c>
      <c r="L19">
        <v>4.8099999999999996</v>
      </c>
      <c r="M19">
        <v>57</v>
      </c>
      <c r="N19">
        <v>1782746933</v>
      </c>
    </row>
    <row r="20" spans="1:14" x14ac:dyDescent="0.25">
      <c r="A20" t="s">
        <v>181</v>
      </c>
      <c r="B20">
        <v>24060124120042</v>
      </c>
      <c r="C20" t="s">
        <v>182</v>
      </c>
      <c r="F20" t="s">
        <v>183</v>
      </c>
      <c r="G20">
        <v>83.33</v>
      </c>
      <c r="H20">
        <v>87.08</v>
      </c>
      <c r="I20">
        <v>100</v>
      </c>
      <c r="J20" t="s">
        <v>48</v>
      </c>
      <c r="K20">
        <v>80</v>
      </c>
      <c r="L20" t="s">
        <v>48</v>
      </c>
      <c r="M20">
        <v>97</v>
      </c>
      <c r="N20">
        <v>1782746933</v>
      </c>
    </row>
    <row r="21" spans="1:14" x14ac:dyDescent="0.25">
      <c r="A21" t="s">
        <v>186</v>
      </c>
      <c r="B21">
        <v>24060124120045</v>
      </c>
      <c r="C21" t="s">
        <v>187</v>
      </c>
      <c r="F21" t="s">
        <v>188</v>
      </c>
      <c r="G21">
        <v>66.67</v>
      </c>
      <c r="H21">
        <v>100</v>
      </c>
      <c r="I21">
        <v>100</v>
      </c>
      <c r="J21">
        <v>9.33</v>
      </c>
      <c r="K21">
        <v>80</v>
      </c>
      <c r="L21">
        <v>7.52</v>
      </c>
      <c r="M21">
        <v>95</v>
      </c>
      <c r="N21">
        <v>1782746933</v>
      </c>
    </row>
    <row r="22" spans="1:14" x14ac:dyDescent="0.25">
      <c r="A22" t="s">
        <v>156</v>
      </c>
      <c r="B22">
        <v>24060124130057</v>
      </c>
      <c r="C22" t="s">
        <v>157</v>
      </c>
      <c r="F22" t="s">
        <v>158</v>
      </c>
      <c r="G22">
        <v>75</v>
      </c>
      <c r="H22">
        <v>90</v>
      </c>
      <c r="I22">
        <v>100</v>
      </c>
      <c r="J22">
        <v>7.56</v>
      </c>
      <c r="K22">
        <v>80</v>
      </c>
      <c r="L22" t="s">
        <v>48</v>
      </c>
      <c r="M22">
        <v>90</v>
      </c>
      <c r="N22">
        <v>1782746933</v>
      </c>
    </row>
    <row r="23" spans="1:14" x14ac:dyDescent="0.25">
      <c r="A23" t="s">
        <v>161</v>
      </c>
      <c r="B23">
        <v>24060124130058</v>
      </c>
      <c r="C23" t="s">
        <v>162</v>
      </c>
      <c r="F23" t="s">
        <v>163</v>
      </c>
      <c r="G23">
        <v>83.33</v>
      </c>
      <c r="H23">
        <v>80</v>
      </c>
      <c r="I23">
        <v>100</v>
      </c>
      <c r="J23">
        <v>7.78</v>
      </c>
      <c r="K23">
        <v>80</v>
      </c>
      <c r="L23">
        <v>1.45</v>
      </c>
      <c r="M23">
        <v>88.33</v>
      </c>
      <c r="N23">
        <v>1782746933</v>
      </c>
    </row>
    <row r="24" spans="1:14" x14ac:dyDescent="0.25">
      <c r="A24" t="s">
        <v>211</v>
      </c>
      <c r="B24">
        <v>24060124130059</v>
      </c>
      <c r="C24" t="s">
        <v>212</v>
      </c>
      <c r="F24" t="s">
        <v>213</v>
      </c>
      <c r="G24">
        <v>58.33</v>
      </c>
      <c r="H24">
        <v>95</v>
      </c>
      <c r="I24">
        <v>100</v>
      </c>
      <c r="J24" t="s">
        <v>48</v>
      </c>
      <c r="K24">
        <v>70</v>
      </c>
      <c r="L24">
        <v>8.06</v>
      </c>
      <c r="M24" t="s">
        <v>48</v>
      </c>
      <c r="N24">
        <v>1782746933</v>
      </c>
    </row>
    <row r="25" spans="1:14" x14ac:dyDescent="0.25">
      <c r="A25" t="s">
        <v>191</v>
      </c>
      <c r="B25">
        <v>24060124130063</v>
      </c>
      <c r="C25" t="s">
        <v>192</v>
      </c>
      <c r="F25" t="s">
        <v>193</v>
      </c>
      <c r="G25">
        <v>75</v>
      </c>
      <c r="H25">
        <v>100</v>
      </c>
      <c r="I25">
        <v>100</v>
      </c>
      <c r="J25">
        <v>9</v>
      </c>
      <c r="K25">
        <v>70</v>
      </c>
      <c r="L25">
        <v>9.06</v>
      </c>
      <c r="M25">
        <v>93</v>
      </c>
      <c r="N25">
        <v>1782746933</v>
      </c>
    </row>
    <row r="26" spans="1:14" x14ac:dyDescent="0.25">
      <c r="A26" t="s">
        <v>86</v>
      </c>
      <c r="B26">
        <v>24060124130068</v>
      </c>
      <c r="C26" t="s">
        <v>87</v>
      </c>
      <c r="F26" t="s">
        <v>88</v>
      </c>
      <c r="G26">
        <v>91.67</v>
      </c>
      <c r="H26">
        <v>89.17</v>
      </c>
      <c r="I26">
        <v>100</v>
      </c>
      <c r="J26">
        <v>8.67</v>
      </c>
      <c r="K26">
        <v>75</v>
      </c>
      <c r="L26" t="s">
        <v>48</v>
      </c>
      <c r="M26">
        <v>82</v>
      </c>
      <c r="N26">
        <v>1782746933</v>
      </c>
    </row>
    <row r="27" spans="1:14" x14ac:dyDescent="0.25">
      <c r="A27" t="s">
        <v>146</v>
      </c>
      <c r="B27">
        <v>24060124130079</v>
      </c>
      <c r="C27" t="s">
        <v>147</v>
      </c>
      <c r="F27" t="s">
        <v>148</v>
      </c>
      <c r="G27">
        <v>75</v>
      </c>
      <c r="H27">
        <v>95</v>
      </c>
      <c r="I27">
        <v>100</v>
      </c>
      <c r="J27">
        <v>8</v>
      </c>
      <c r="K27">
        <v>95</v>
      </c>
      <c r="L27" t="s">
        <v>48</v>
      </c>
      <c r="M27">
        <v>90</v>
      </c>
      <c r="N27">
        <v>1782746933</v>
      </c>
    </row>
    <row r="28" spans="1:14" x14ac:dyDescent="0.25">
      <c r="A28" t="s">
        <v>91</v>
      </c>
      <c r="B28">
        <v>24060124130080</v>
      </c>
      <c r="C28" t="s">
        <v>92</v>
      </c>
      <c r="F28" t="s">
        <v>93</v>
      </c>
      <c r="G28" t="s">
        <v>48</v>
      </c>
      <c r="H28">
        <v>81.67</v>
      </c>
      <c r="I28">
        <v>100</v>
      </c>
      <c r="J28">
        <v>6.78</v>
      </c>
      <c r="K28" t="s">
        <v>48</v>
      </c>
      <c r="L28" t="s">
        <v>48</v>
      </c>
      <c r="M28">
        <v>92</v>
      </c>
      <c r="N28">
        <v>1782746933</v>
      </c>
    </row>
    <row r="29" spans="1:14" x14ac:dyDescent="0.25">
      <c r="A29" t="s">
        <v>96</v>
      </c>
      <c r="B29">
        <v>24060124130082</v>
      </c>
      <c r="C29" t="s">
        <v>97</v>
      </c>
      <c r="F29" t="s">
        <v>98</v>
      </c>
      <c r="G29">
        <v>50</v>
      </c>
      <c r="H29">
        <v>85.83</v>
      </c>
      <c r="I29">
        <v>100</v>
      </c>
      <c r="J29">
        <v>9</v>
      </c>
      <c r="K29">
        <v>85</v>
      </c>
      <c r="L29">
        <v>3.96</v>
      </c>
      <c r="M29">
        <v>89</v>
      </c>
      <c r="N29">
        <v>1782746933</v>
      </c>
    </row>
    <row r="30" spans="1:14" x14ac:dyDescent="0.25">
      <c r="A30" t="s">
        <v>116</v>
      </c>
      <c r="B30">
        <v>24060124130083</v>
      </c>
      <c r="C30" t="s">
        <v>117</v>
      </c>
      <c r="F30" t="s">
        <v>118</v>
      </c>
      <c r="G30">
        <v>91.67</v>
      </c>
      <c r="H30">
        <v>95</v>
      </c>
      <c r="I30">
        <v>100</v>
      </c>
      <c r="J30">
        <v>8.83</v>
      </c>
      <c r="K30">
        <v>100</v>
      </c>
      <c r="L30">
        <v>9.6300000000000008</v>
      </c>
      <c r="M30">
        <v>98</v>
      </c>
      <c r="N30">
        <v>1782746933</v>
      </c>
    </row>
    <row r="31" spans="1:14" x14ac:dyDescent="0.25">
      <c r="A31" t="s">
        <v>196</v>
      </c>
      <c r="B31">
        <v>24060124130087</v>
      </c>
      <c r="C31" t="s">
        <v>197</v>
      </c>
      <c r="F31" t="s">
        <v>198</v>
      </c>
      <c r="G31">
        <v>83.33</v>
      </c>
      <c r="H31">
        <v>51.67</v>
      </c>
      <c r="I31">
        <v>100</v>
      </c>
      <c r="J31">
        <v>8.67</v>
      </c>
      <c r="K31">
        <v>70</v>
      </c>
      <c r="L31">
        <v>6.58</v>
      </c>
      <c r="M31">
        <v>92</v>
      </c>
      <c r="N31">
        <v>1782746933</v>
      </c>
    </row>
    <row r="32" spans="1:14" x14ac:dyDescent="0.25">
      <c r="A32" t="s">
        <v>101</v>
      </c>
      <c r="B32">
        <v>24060124130088</v>
      </c>
      <c r="C32" t="s">
        <v>102</v>
      </c>
      <c r="F32" t="s">
        <v>103</v>
      </c>
      <c r="G32">
        <v>66.67</v>
      </c>
      <c r="H32">
        <v>81.25</v>
      </c>
      <c r="I32">
        <v>80</v>
      </c>
      <c r="J32" t="s">
        <v>48</v>
      </c>
      <c r="K32">
        <v>95</v>
      </c>
      <c r="L32" t="s">
        <v>48</v>
      </c>
      <c r="M32">
        <v>94</v>
      </c>
      <c r="N32">
        <v>1782746933</v>
      </c>
    </row>
    <row r="33" spans="1:14" x14ac:dyDescent="0.25">
      <c r="A33" t="s">
        <v>166</v>
      </c>
      <c r="B33">
        <v>24060124130096</v>
      </c>
      <c r="C33" t="s">
        <v>167</v>
      </c>
      <c r="F33" t="s">
        <v>168</v>
      </c>
      <c r="G33">
        <v>75</v>
      </c>
      <c r="H33">
        <v>97.5</v>
      </c>
      <c r="I33">
        <v>100</v>
      </c>
      <c r="J33">
        <v>9</v>
      </c>
      <c r="K33">
        <v>95</v>
      </c>
      <c r="L33">
        <v>9.83</v>
      </c>
      <c r="M33">
        <v>100</v>
      </c>
      <c r="N33">
        <v>1782746933</v>
      </c>
    </row>
    <row r="34" spans="1:14" x14ac:dyDescent="0.25">
      <c r="A34" t="s">
        <v>171</v>
      </c>
      <c r="B34">
        <v>24060124130102</v>
      </c>
      <c r="C34" t="s">
        <v>172</v>
      </c>
      <c r="F34" t="s">
        <v>173</v>
      </c>
      <c r="G34">
        <v>75</v>
      </c>
      <c r="H34">
        <v>84.58</v>
      </c>
      <c r="I34">
        <v>100</v>
      </c>
      <c r="J34">
        <v>9.33</v>
      </c>
      <c r="K34">
        <v>30</v>
      </c>
      <c r="L34">
        <v>2.91</v>
      </c>
      <c r="M34">
        <v>90</v>
      </c>
      <c r="N34">
        <v>1782746933</v>
      </c>
    </row>
    <row r="35" spans="1:14" x14ac:dyDescent="0.25">
      <c r="A35" t="s">
        <v>121</v>
      </c>
      <c r="B35">
        <v>24060124130104</v>
      </c>
      <c r="C35" t="s">
        <v>122</v>
      </c>
      <c r="F35" t="s">
        <v>123</v>
      </c>
      <c r="G35">
        <v>75</v>
      </c>
      <c r="H35">
        <v>91.25</v>
      </c>
      <c r="I35">
        <v>100</v>
      </c>
      <c r="J35">
        <v>9.33</v>
      </c>
      <c r="K35">
        <v>50</v>
      </c>
      <c r="L35" t="s">
        <v>48</v>
      </c>
      <c r="M35">
        <v>89</v>
      </c>
      <c r="N35">
        <v>1782746933</v>
      </c>
    </row>
    <row r="36" spans="1:14" x14ac:dyDescent="0.25">
      <c r="A36" t="s">
        <v>45</v>
      </c>
      <c r="B36">
        <v>24060124130110</v>
      </c>
      <c r="C36" t="s">
        <v>46</v>
      </c>
      <c r="F36" t="s">
        <v>47</v>
      </c>
      <c r="G36">
        <v>83.33</v>
      </c>
      <c r="H36">
        <v>100</v>
      </c>
      <c r="I36">
        <v>100</v>
      </c>
      <c r="J36" t="s">
        <v>48</v>
      </c>
      <c r="K36">
        <v>95</v>
      </c>
      <c r="L36" t="s">
        <v>48</v>
      </c>
      <c r="M36">
        <v>92</v>
      </c>
      <c r="N36">
        <v>1782746933</v>
      </c>
    </row>
    <row r="37" spans="1:14" x14ac:dyDescent="0.25">
      <c r="A37" t="s">
        <v>126</v>
      </c>
      <c r="B37">
        <v>24060124130112</v>
      </c>
      <c r="C37" t="s">
        <v>127</v>
      </c>
      <c r="F37" t="s">
        <v>128</v>
      </c>
      <c r="G37">
        <v>66.67</v>
      </c>
      <c r="H37" t="s">
        <v>48</v>
      </c>
      <c r="I37" t="s">
        <v>48</v>
      </c>
      <c r="J37">
        <v>8.33</v>
      </c>
      <c r="K37">
        <v>80</v>
      </c>
      <c r="L37" t="s">
        <v>48</v>
      </c>
      <c r="M37">
        <v>91</v>
      </c>
      <c r="N37">
        <v>1782746933</v>
      </c>
    </row>
    <row r="38" spans="1:14" x14ac:dyDescent="0.25">
      <c r="A38" t="s">
        <v>106</v>
      </c>
      <c r="B38">
        <v>24060124130116</v>
      </c>
      <c r="C38" t="s">
        <v>107</v>
      </c>
      <c r="F38" t="s">
        <v>108</v>
      </c>
      <c r="G38">
        <v>66.67</v>
      </c>
      <c r="H38">
        <v>95</v>
      </c>
      <c r="I38">
        <v>100</v>
      </c>
      <c r="J38">
        <v>9</v>
      </c>
      <c r="K38">
        <v>85</v>
      </c>
      <c r="L38" t="s">
        <v>48</v>
      </c>
      <c r="M38">
        <v>93.33</v>
      </c>
      <c r="N38">
        <v>1782746933</v>
      </c>
    </row>
    <row r="39" spans="1:14" x14ac:dyDescent="0.25">
      <c r="A39" t="s">
        <v>176</v>
      </c>
      <c r="B39">
        <v>24060124130117</v>
      </c>
      <c r="C39" t="s">
        <v>177</v>
      </c>
      <c r="F39" t="s">
        <v>178</v>
      </c>
      <c r="G39">
        <v>75</v>
      </c>
      <c r="H39">
        <v>95</v>
      </c>
      <c r="I39">
        <v>100</v>
      </c>
      <c r="J39">
        <v>8</v>
      </c>
      <c r="K39">
        <v>90</v>
      </c>
      <c r="L39">
        <v>0.09</v>
      </c>
      <c r="M39">
        <v>95.5</v>
      </c>
      <c r="N39">
        <v>1782746933</v>
      </c>
    </row>
    <row r="40" spans="1:14" x14ac:dyDescent="0.25">
      <c r="A40" t="s">
        <v>51</v>
      </c>
      <c r="B40">
        <v>24060124140136</v>
      </c>
      <c r="C40" t="s">
        <v>52</v>
      </c>
      <c r="F40" t="s">
        <v>53</v>
      </c>
      <c r="G40">
        <v>41.67</v>
      </c>
      <c r="H40">
        <v>81.67</v>
      </c>
      <c r="I40">
        <v>80</v>
      </c>
      <c r="J40" t="s">
        <v>48</v>
      </c>
      <c r="K40" t="s">
        <v>48</v>
      </c>
      <c r="L40" t="s">
        <v>48</v>
      </c>
      <c r="M40">
        <v>88</v>
      </c>
      <c r="N40">
        <v>1782746933</v>
      </c>
    </row>
    <row r="41" spans="1:14" x14ac:dyDescent="0.25">
      <c r="A41" t="s">
        <v>56</v>
      </c>
      <c r="B41">
        <v>24060124140143</v>
      </c>
      <c r="C41" t="s">
        <v>57</v>
      </c>
      <c r="F41" t="s">
        <v>58</v>
      </c>
      <c r="G41">
        <v>75</v>
      </c>
      <c r="H41">
        <v>85</v>
      </c>
      <c r="I41">
        <v>100</v>
      </c>
      <c r="J41">
        <v>10</v>
      </c>
      <c r="K41" t="s">
        <v>48</v>
      </c>
      <c r="L41">
        <v>9.15</v>
      </c>
      <c r="M41">
        <v>82</v>
      </c>
      <c r="N41">
        <v>1782746933</v>
      </c>
    </row>
    <row r="42" spans="1:14" x14ac:dyDescent="0.25">
      <c r="A42" t="s">
        <v>216</v>
      </c>
      <c r="B42">
        <v>24060124140168</v>
      </c>
      <c r="C42" t="s">
        <v>217</v>
      </c>
      <c r="F42" t="s">
        <v>218</v>
      </c>
      <c r="G42">
        <v>50</v>
      </c>
      <c r="H42">
        <v>93.75</v>
      </c>
      <c r="I42">
        <v>100</v>
      </c>
      <c r="J42" t="s">
        <v>48</v>
      </c>
      <c r="K42">
        <v>80</v>
      </c>
      <c r="L42" t="s">
        <v>48</v>
      </c>
      <c r="M42">
        <v>82</v>
      </c>
      <c r="N42">
        <v>1782746933</v>
      </c>
    </row>
    <row r="43" spans="1:14" x14ac:dyDescent="0.25">
      <c r="A43" t="s">
        <v>201</v>
      </c>
      <c r="B43">
        <v>24060124140173</v>
      </c>
      <c r="C43" t="s">
        <v>202</v>
      </c>
      <c r="F43" t="s">
        <v>203</v>
      </c>
      <c r="G43">
        <v>58.33</v>
      </c>
      <c r="H43">
        <v>65</v>
      </c>
      <c r="I43">
        <v>100</v>
      </c>
      <c r="J43" t="s">
        <v>48</v>
      </c>
      <c r="K43">
        <v>65</v>
      </c>
      <c r="L43" t="s">
        <v>48</v>
      </c>
      <c r="M43">
        <v>67</v>
      </c>
      <c r="N43">
        <v>1782746933</v>
      </c>
    </row>
    <row r="44" spans="1:14" x14ac:dyDescent="0.25">
      <c r="A44" t="s">
        <v>61</v>
      </c>
      <c r="B44">
        <v>24060124140176</v>
      </c>
      <c r="C44" t="s">
        <v>62</v>
      </c>
      <c r="F44" t="s">
        <v>63</v>
      </c>
      <c r="G44">
        <v>75</v>
      </c>
      <c r="H44">
        <v>90</v>
      </c>
      <c r="I44">
        <v>100</v>
      </c>
      <c r="J44">
        <v>9</v>
      </c>
      <c r="K44">
        <v>40</v>
      </c>
      <c r="L44" t="s">
        <v>48</v>
      </c>
      <c r="M44">
        <v>93.33</v>
      </c>
      <c r="N44">
        <v>1782746933</v>
      </c>
    </row>
    <row r="45" spans="1:14" x14ac:dyDescent="0.25">
      <c r="A45" t="s">
        <v>111</v>
      </c>
      <c r="B45">
        <v>24060124140182</v>
      </c>
      <c r="C45" t="s">
        <v>112</v>
      </c>
      <c r="F45" t="s">
        <v>113</v>
      </c>
      <c r="G45">
        <v>58.33</v>
      </c>
      <c r="H45">
        <v>86.67</v>
      </c>
      <c r="I45">
        <v>100</v>
      </c>
      <c r="J45">
        <v>9.33</v>
      </c>
      <c r="K45">
        <v>45</v>
      </c>
      <c r="L45" t="s">
        <v>48</v>
      </c>
      <c r="M45">
        <v>71</v>
      </c>
      <c r="N45">
        <v>1782746933</v>
      </c>
    </row>
    <row r="46" spans="1:14" x14ac:dyDescent="0.25">
      <c r="A46" t="s">
        <v>249</v>
      </c>
      <c r="B46">
        <v>24060124140184</v>
      </c>
      <c r="C46" t="s">
        <v>250</v>
      </c>
      <c r="F46" t="s">
        <v>251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>
        <v>1782746933</v>
      </c>
    </row>
    <row r="47" spans="1:14" x14ac:dyDescent="0.25">
      <c r="A47" t="s">
        <v>66</v>
      </c>
      <c r="B47">
        <v>24060124140195</v>
      </c>
      <c r="C47" t="s">
        <v>67</v>
      </c>
      <c r="F47" t="s">
        <v>68</v>
      </c>
      <c r="G47">
        <v>75</v>
      </c>
      <c r="H47">
        <v>88.33</v>
      </c>
      <c r="I47">
        <v>80</v>
      </c>
      <c r="J47" t="s">
        <v>48</v>
      </c>
      <c r="K47">
        <v>70</v>
      </c>
      <c r="L47" t="s">
        <v>48</v>
      </c>
      <c r="M47">
        <v>92</v>
      </c>
      <c r="N47">
        <v>1782746933</v>
      </c>
    </row>
    <row r="48" spans="1:14" x14ac:dyDescent="0.25">
      <c r="A48" t="s">
        <v>71</v>
      </c>
      <c r="B48">
        <v>24060124140206</v>
      </c>
      <c r="C48" t="s">
        <v>72</v>
      </c>
      <c r="F48" t="s">
        <v>73</v>
      </c>
      <c r="G48">
        <v>75</v>
      </c>
      <c r="H48">
        <v>65</v>
      </c>
      <c r="I48">
        <v>80</v>
      </c>
      <c r="J48" t="s">
        <v>48</v>
      </c>
      <c r="K48" t="s">
        <v>48</v>
      </c>
      <c r="L48">
        <v>8.89</v>
      </c>
      <c r="M48">
        <v>97</v>
      </c>
      <c r="N48">
        <v>1782746933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252</v>
      </c>
      <c r="B1" t="s">
        <v>253</v>
      </c>
    </row>
    <row r="2" spans="1:2" x14ac:dyDescent="0.25">
      <c r="A2" t="s">
        <v>254</v>
      </c>
      <c r="B2">
        <v>36</v>
      </c>
    </row>
    <row r="3" spans="1:2" x14ac:dyDescent="0.25">
      <c r="A3" t="s">
        <v>255</v>
      </c>
      <c r="B3">
        <v>36</v>
      </c>
    </row>
    <row r="4" spans="1:2" x14ac:dyDescent="0.25">
      <c r="A4" t="s">
        <v>256</v>
      </c>
      <c r="B4">
        <v>0</v>
      </c>
    </row>
    <row r="5" spans="1:2" x14ac:dyDescent="0.25">
      <c r="A5" t="s">
        <v>257</v>
      </c>
      <c r="B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Data_Gabungan</vt:lpstr>
      <vt:lpstr>Ringkasan_Match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HP OHS2021</cp:lastModifiedBy>
  <dcterms:created xsi:type="dcterms:W3CDTF">2026-06-29T15:29:12Z</dcterms:created>
  <dcterms:modified xsi:type="dcterms:W3CDTF">2026-06-29T15:34:31Z</dcterms:modified>
  <cp:category>Test result file</cp:category>
</cp:coreProperties>
</file>