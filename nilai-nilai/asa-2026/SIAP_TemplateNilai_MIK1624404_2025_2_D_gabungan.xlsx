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 VICTUS\Documents\Dropbox\file-penting\ASA\2026\"/>
    </mc:Choice>
  </mc:AlternateContent>
  <xr:revisionPtr revIDLastSave="0" documentId="8_{30462477-7A07-4BA0-802E-8054E6EA7E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  <sheet name="Sheet1" sheetId="4" r:id="rId2"/>
    <sheet name="Data_Gabungan" sheetId="2" r:id="rId3"/>
    <sheet name="Ringkasan_Match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1" l="1"/>
  <c r="K9" i="1" s="1"/>
  <c r="M9" i="1" s="1"/>
  <c r="G10" i="1"/>
  <c r="K10" i="1" s="1"/>
  <c r="L10" i="1" s="1"/>
  <c r="G11" i="1"/>
  <c r="K11" i="1" s="1"/>
  <c r="L11" i="1" s="1"/>
  <c r="G12" i="1"/>
  <c r="K12" i="1" s="1"/>
  <c r="L12" i="1" s="1"/>
  <c r="G13" i="1"/>
  <c r="K13" i="1" s="1"/>
  <c r="M13" i="1" s="1"/>
  <c r="G14" i="1"/>
  <c r="G15" i="1"/>
  <c r="G16" i="1"/>
  <c r="K16" i="1" s="1"/>
  <c r="M16" i="1" s="1"/>
  <c r="G17" i="1"/>
  <c r="G18" i="1"/>
  <c r="G19" i="1"/>
  <c r="G20" i="1"/>
  <c r="G21" i="1"/>
  <c r="G22" i="1"/>
  <c r="G23" i="1"/>
  <c r="G24" i="1"/>
  <c r="G25" i="1"/>
  <c r="G26" i="1"/>
  <c r="K26" i="1" s="1"/>
  <c r="M26" i="1" s="1"/>
  <c r="G27" i="1"/>
  <c r="K27" i="1" s="1"/>
  <c r="M27" i="1" s="1"/>
  <c r="G28" i="1"/>
  <c r="K28" i="1" s="1"/>
  <c r="M28" i="1" s="1"/>
  <c r="G29" i="1"/>
  <c r="K29" i="1" s="1"/>
  <c r="M29" i="1" s="1"/>
  <c r="G30" i="1"/>
  <c r="K30" i="1" s="1"/>
  <c r="M30" i="1" s="1"/>
  <c r="G31" i="1"/>
  <c r="K31" i="1" s="1"/>
  <c r="L31" i="1" s="1"/>
  <c r="G32" i="1"/>
  <c r="K32" i="1" s="1"/>
  <c r="L32" i="1" s="1"/>
  <c r="G33" i="1"/>
  <c r="K33" i="1" s="1"/>
  <c r="M33" i="1" s="1"/>
  <c r="G34" i="1"/>
  <c r="G35" i="1"/>
  <c r="K35" i="1" s="1"/>
  <c r="M35" i="1" s="1"/>
  <c r="G36" i="1"/>
  <c r="K36" i="1" s="1"/>
  <c r="M36" i="1" s="1"/>
  <c r="G37" i="1"/>
  <c r="G38" i="1"/>
  <c r="G39" i="1"/>
  <c r="G40" i="1"/>
  <c r="G41" i="1"/>
  <c r="G42" i="1"/>
  <c r="G43" i="1"/>
  <c r="G44" i="1"/>
  <c r="G45" i="1"/>
  <c r="G8" i="1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9" i="4"/>
  <c r="K8" i="4"/>
  <c r="K45" i="1"/>
  <c r="M45" i="1" s="1"/>
  <c r="K44" i="1"/>
  <c r="M44" i="1" s="1"/>
  <c r="K43" i="1"/>
  <c r="M43" i="1" s="1"/>
  <c r="K42" i="1"/>
  <c r="M42" i="1" s="1"/>
  <c r="K41" i="1"/>
  <c r="M41" i="1" s="1"/>
  <c r="K40" i="1"/>
  <c r="M40" i="1" s="1"/>
  <c r="K39" i="1"/>
  <c r="M39" i="1" s="1"/>
  <c r="K38" i="1"/>
  <c r="M38" i="1" s="1"/>
  <c r="K37" i="1"/>
  <c r="M37" i="1" s="1"/>
  <c r="K34" i="1"/>
  <c r="M34" i="1" s="1"/>
  <c r="K25" i="1"/>
  <c r="M25" i="1" s="1"/>
  <c r="K24" i="1"/>
  <c r="M24" i="1" s="1"/>
  <c r="K23" i="1"/>
  <c r="L23" i="1" s="1"/>
  <c r="K22" i="1"/>
  <c r="M22" i="1" s="1"/>
  <c r="K21" i="1"/>
  <c r="M21" i="1" s="1"/>
  <c r="K20" i="1"/>
  <c r="M20" i="1" s="1"/>
  <c r="K19" i="1"/>
  <c r="L19" i="1" s="1"/>
  <c r="K18" i="1"/>
  <c r="M18" i="1" s="1"/>
  <c r="K17" i="1"/>
  <c r="M17" i="1" s="1"/>
  <c r="K15" i="1"/>
  <c r="M15" i="1" s="1"/>
  <c r="K14" i="1"/>
  <c r="M14" i="1" s="1"/>
  <c r="K8" i="1"/>
  <c r="M8" i="1" s="1"/>
  <c r="L30" i="1" l="1"/>
  <c r="M23" i="1"/>
  <c r="M31" i="1"/>
  <c r="M10" i="1"/>
  <c r="L39" i="1"/>
  <c r="L18" i="1"/>
  <c r="M32" i="1"/>
  <c r="M19" i="1"/>
  <c r="L37" i="1"/>
  <c r="L38" i="1"/>
  <c r="M11" i="1"/>
  <c r="M12" i="1"/>
  <c r="L26" i="1"/>
  <c r="L13" i="1"/>
  <c r="L33" i="1"/>
  <c r="L20" i="1"/>
  <c r="L40" i="1"/>
  <c r="L27" i="1"/>
  <c r="L14" i="1"/>
  <c r="L34" i="1"/>
  <c r="L21" i="1"/>
  <c r="L41" i="1"/>
  <c r="L8" i="1"/>
  <c r="L28" i="1"/>
  <c r="L15" i="1"/>
  <c r="L35" i="1"/>
  <c r="L22" i="1"/>
  <c r="L42" i="1"/>
  <c r="L9" i="1"/>
  <c r="L29" i="1"/>
  <c r="L16" i="1"/>
  <c r="L36" i="1"/>
  <c r="L43" i="1"/>
  <c r="L17" i="1"/>
  <c r="L24" i="1"/>
  <c r="L44" i="1"/>
  <c r="L25" i="1"/>
  <c r="L45" i="1"/>
</calcChain>
</file>

<file path=xl/sharedStrings.xml><?xml version="1.0" encoding="utf-8"?>
<sst xmlns="http://schemas.openxmlformats.org/spreadsheetml/2006/main" count="709" uniqueCount="269">
  <si>
    <t>Mata Kuliah</t>
  </si>
  <si>
    <t>: MIK1624404 - Analisis dan Strategi Algoritma</t>
  </si>
  <si>
    <t>Tahun Ajaran</t>
  </si>
  <si>
    <t>: 2025</t>
  </si>
  <si>
    <t>NDk5NDg0</t>
  </si>
  <si>
    <t>Semester</t>
  </si>
  <si>
    <t>: Genap</t>
  </si>
  <si>
    <t>Kelas</t>
  </si>
  <si>
    <t>: D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</si>
  <si>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</si>
  <si>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</si>
  <si>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</si>
  <si>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</si>
  <si>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</si>
  <si>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</si>
  <si>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</si>
  <si>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</si>
  <si>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</si>
  <si>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</si>
  <si>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</si>
  <si>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</si>
  <si>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</si>
  <si>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</si>
  <si>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First name</t>
  </si>
  <si>
    <t>Last name</t>
  </si>
  <si>
    <t>ID number</t>
  </si>
  <si>
    <t>Institution</t>
  </si>
  <si>
    <t>Department</t>
  </si>
  <si>
    <t>Email address</t>
  </si>
  <si>
    <t>Quiz: Quis 1 (Real)</t>
  </si>
  <si>
    <t>Quiz: Quis 2 (Real)</t>
  </si>
  <si>
    <t>Quiz: Quis 3 (Real)</t>
  </si>
  <si>
    <t>Quiz: Quis 4 (Real)</t>
  </si>
  <si>
    <t>Quiz: quis 5 (Real)</t>
  </si>
  <si>
    <t>Quiz: quis 6 (Real)</t>
  </si>
  <si>
    <t>Quiz: Latihan UTS (Real)</t>
  </si>
  <si>
    <t>Quiz: UTS (Real)</t>
  </si>
  <si>
    <t>Last downloaded from this course</t>
  </si>
  <si>
    <t>24060124140160</t>
  </si>
  <si>
    <t>BASIL AYMAN HARIADI</t>
  </si>
  <si>
    <t>BARU</t>
  </si>
  <si>
    <t>Basil Ayman Hariadi</t>
  </si>
  <si>
    <t>4309fca1-fed8-4433-ba75-91900de5a888</t>
  </si>
  <si>
    <t>basilaymanhariadi@students.undip.ac.id</t>
  </si>
  <si>
    <t>-</t>
  </si>
  <si>
    <t>24060124140161</t>
  </si>
  <si>
    <t>AZKA WAYASY AL HAFIZH</t>
  </si>
  <si>
    <t>Azka Wayasy Al Hafizh</t>
  </si>
  <si>
    <t>f0278eb3-7df4-42ee-be5a-220755de89c7</t>
  </si>
  <si>
    <t>azkawayasy@students.undip.ac.id</t>
  </si>
  <si>
    <t>24060124140192</t>
  </si>
  <si>
    <t>ARYO PASYA RAMADHAN (&lt; 75%)</t>
  </si>
  <si>
    <t>24060124130065</t>
  </si>
  <si>
    <t>ELZA KHOIRISMA CARRYNDA</t>
  </si>
  <si>
    <t>Elza Khoirisma Carrynda</t>
  </si>
  <si>
    <t>6a8316c9-b945-4e83-9fa3-dcc848edd692</t>
  </si>
  <si>
    <t>elzakcarrynda@students.undip.ac.id</t>
  </si>
  <si>
    <t>24060124140145</t>
  </si>
  <si>
    <t>FERDY PRASETYA PUTRA</t>
  </si>
  <si>
    <t>Ferdy Prasetya Putra</t>
  </si>
  <si>
    <t>b6bee28b-5cf4-4906-9186-ce21a3fcf69d</t>
  </si>
  <si>
    <t>ferdyprasetyaputra@students.undip.ac.id</t>
  </si>
  <si>
    <t>24060124140171</t>
  </si>
  <si>
    <t>GHATFAN MUHAMMAD ATIWIAR</t>
  </si>
  <si>
    <t>Ghatfan Muhammad Atiwiar</t>
  </si>
  <si>
    <t>dc1d53a3-d395-4a9c-a99f-69bc6cf75626</t>
  </si>
  <si>
    <t>ghatfanmuhammad@students.undip.ac.id</t>
  </si>
  <si>
    <t>24060124130054</t>
  </si>
  <si>
    <t>RAFFIE ADITYA AKBAR</t>
  </si>
  <si>
    <t>Raffie Aditya Akbar</t>
  </si>
  <si>
    <t>e9c1fd54-37f0-49ff-9c68-2cfb38f1f140</t>
  </si>
  <si>
    <t>raffieadityaakbar@students.undip.ac.id</t>
  </si>
  <si>
    <t>24060124130092</t>
  </si>
  <si>
    <t>SYURAIH UMAR KHOTTHOB</t>
  </si>
  <si>
    <t>Syuraih Umar Khotthob</t>
  </si>
  <si>
    <t>9f72db65-607a-4f09-bd5e-b989b218ff7e</t>
  </si>
  <si>
    <t>syuraihumar@students.undip.ac.id</t>
  </si>
  <si>
    <t>24060124130095</t>
  </si>
  <si>
    <t>ZULFA NABILAH</t>
  </si>
  <si>
    <t>Zulfa Nabilah</t>
  </si>
  <si>
    <t>21c0cc7a-c842-4d12-a243-aeebea27708a</t>
  </si>
  <si>
    <t>bila150@students.undip.ac.id</t>
  </si>
  <si>
    <t>24060124140172</t>
  </si>
  <si>
    <t>SYAIR ADHARIAN</t>
  </si>
  <si>
    <t>Syair Adharian</t>
  </si>
  <si>
    <t>e6cfbd90-c182-488e-9bdb-f0d3ae8f17e4</t>
  </si>
  <si>
    <t>adharian@students.undip.ac.id</t>
  </si>
  <si>
    <t>24060124140196</t>
  </si>
  <si>
    <t>SABURO RAFQI HIDAYAT</t>
  </si>
  <si>
    <t>Saburo Rafqi Hidayat</t>
  </si>
  <si>
    <t>589d74b7-3934-4e27-a0bd-404c2cf21100</t>
  </si>
  <si>
    <t>saburorafqh@students.undip.ac.id</t>
  </si>
  <si>
    <t>24060124120036</t>
  </si>
  <si>
    <t>MARCHELLA ARKHINA RATUNESIA</t>
  </si>
  <si>
    <t>Marchella Arkhina Ratunesia</t>
  </si>
  <si>
    <t>8af6d3d5-6602-4daf-af10-b4025ef4ac1e</t>
  </si>
  <si>
    <t>marchellakhina@students.undip.ac.id</t>
  </si>
  <si>
    <t>24060124140138</t>
  </si>
  <si>
    <t>MENZA ISAIAH TAMPUBOLON</t>
  </si>
  <si>
    <t>Menza Isaiah Tampubolon</t>
  </si>
  <si>
    <t>de34b32c-c652-44a0-a0cb-5bbaa8a5f5c0</t>
  </si>
  <si>
    <t>menzatampubolon@students.undip.ac.id</t>
  </si>
  <si>
    <t>24060124140190</t>
  </si>
  <si>
    <t>MOHAMMAD ANDHIKA RAMADHAN</t>
  </si>
  <si>
    <t>Mohammad Andhika Ramadhan</t>
  </si>
  <si>
    <t>977687db-5101-4f56-8c79-6e3fe32e76a1</t>
  </si>
  <si>
    <t>mohammadandhika@students.undip.ac.id</t>
  </si>
  <si>
    <t>24060124120004</t>
  </si>
  <si>
    <t>KAYLA FEBRINA LAURA AYU</t>
  </si>
  <si>
    <t>Kayla Febrina Laura Ayu</t>
  </si>
  <si>
    <t>01bcf907-b093-4145-a921-f1c23ef1af29</t>
  </si>
  <si>
    <t>kaylafebrinalauraayu@students.undip.ac.id</t>
  </si>
  <si>
    <t>24060124120039</t>
  </si>
  <si>
    <t>IZZATU KHOIRUL FATA</t>
  </si>
  <si>
    <t>Izzatu Khoirul Fata</t>
  </si>
  <si>
    <t>966ae3f4-c38c-4287-bb5a-e4d892ce4894</t>
  </si>
  <si>
    <t>izzatukhoirulfata@students.undip.ac.id</t>
  </si>
  <si>
    <t>24060124130119</t>
  </si>
  <si>
    <t>HASTA PUTRA WILDANTARA</t>
  </si>
  <si>
    <t>Hasta Putra Wildantara</t>
  </si>
  <si>
    <t>40a9ab64-108c-4fa5-8e2a-46322c797db6</t>
  </si>
  <si>
    <t>hastaputrawildantara@students.undip.ac.id</t>
  </si>
  <si>
    <t>24060124140183</t>
  </si>
  <si>
    <t>HANIF IHSANUL HUDA</t>
  </si>
  <si>
    <t>Hanif Ihsanul Huda</t>
  </si>
  <si>
    <t>70148679-8919-40e5-99e6-834e8712fb2d</t>
  </si>
  <si>
    <t>hanifihsan@students.undip.ac.id</t>
  </si>
  <si>
    <t>24060124140202</t>
  </si>
  <si>
    <t>IKRAR MAHESWARA RABBANI WIBOWO</t>
  </si>
  <si>
    <t>Ikrar Maheswara Rabbani Wibowo</t>
  </si>
  <si>
    <t>59fae672-0391-4355-b2a2-9866d7ba0644</t>
  </si>
  <si>
    <t>ikrarmahes@students.undip.ac.id</t>
  </si>
  <si>
    <t>24060124130056</t>
  </si>
  <si>
    <t>MUHAMMAD KAMAL HAMZAH</t>
  </si>
  <si>
    <t>Muhammad Kamal Hamzah</t>
  </si>
  <si>
    <t>333800a5-176b-4d7c-8e05-fa50d0464abc</t>
  </si>
  <si>
    <t>kamal@students.undip.ac.id</t>
  </si>
  <si>
    <t>24060124130075</t>
  </si>
  <si>
    <t>NAUFAL DWI YUSMAWAN</t>
  </si>
  <si>
    <t>Naufal Dwi Yusmawan</t>
  </si>
  <si>
    <t>5b38e6e7-f634-4beb-a304-87a9be5d1bee</t>
  </si>
  <si>
    <t>naufaldwi@students.undip.ac.id</t>
  </si>
  <si>
    <t>24060124130107</t>
  </si>
  <si>
    <t>MUHAMMAD FIRDAUS ARGIFARI</t>
  </si>
  <si>
    <t>Muhammad Firdaus Argifari</t>
  </si>
  <si>
    <t>d9caee04-3e98-4c85-86ee-3c7dc194dc73</t>
  </si>
  <si>
    <t>muhammadfirdausargif@students.undip.ac.id</t>
  </si>
  <si>
    <t>24060124140133</t>
  </si>
  <si>
    <t>MUHAMMAD HAFIDH AL-GHIFARI</t>
  </si>
  <si>
    <t>Muhammad Hafidh Al-ghifari</t>
  </si>
  <si>
    <t>8907df08-b1ec-4d27-bfd3-4c4feab64520</t>
  </si>
  <si>
    <t>hafidhalghifari@students.undip.ac.id</t>
  </si>
  <si>
    <t>24060124140150</t>
  </si>
  <si>
    <t>NASHWA ALDEBARAN</t>
  </si>
  <si>
    <t>Nashwa Aldebaran</t>
  </si>
  <si>
    <t>5f23b718-af86-4d68-8ebd-59d02541b192</t>
  </si>
  <si>
    <t>nashwaaldebaran@students.undip.ac.id</t>
  </si>
  <si>
    <t>24060124140164</t>
  </si>
  <si>
    <t>MUHAMMAD HAFIDH ZUFAR DEWANTARA</t>
  </si>
  <si>
    <t>Muhammad Hafidh Zufar Dewantara</t>
  </si>
  <si>
    <t>ec02c72b-9698-436f-a5d1-ba552dac4826</t>
  </si>
  <si>
    <t>hafidhzufar@students.undip.ac.id</t>
  </si>
  <si>
    <t>24060124140197</t>
  </si>
  <si>
    <t>MUHAMMAD LUTFI FEBRIANSYAH</t>
  </si>
  <si>
    <t>Muhammad Lutfi Febriansyah</t>
  </si>
  <si>
    <t>68178da4-a73f-4ee7-9b8e-aee61d62a652</t>
  </si>
  <si>
    <t>lutfifebriansyah@students.undip.ac.id</t>
  </si>
  <si>
    <t>24060124120008</t>
  </si>
  <si>
    <t>AMELIA ARISTIANTI</t>
  </si>
  <si>
    <t>Amelia Aristianti</t>
  </si>
  <si>
    <t>675b47ff-e0ac-4015-80e5-4923eef281e3</t>
  </si>
  <si>
    <t>amelilie@students.undip.ac.id</t>
  </si>
  <si>
    <t>24060124120030</t>
  </si>
  <si>
    <t>AN AL RIVALDI</t>
  </si>
  <si>
    <t>An Al Rivaldi</t>
  </si>
  <si>
    <t>66c3f55e-11cb-4861-87ea-602774550e18</t>
  </si>
  <si>
    <t>analrivaldi@students.undip.ac.id</t>
  </si>
  <si>
    <t>24060124130072</t>
  </si>
  <si>
    <t>ALI MASKAN FERRY PURWANTO</t>
  </si>
  <si>
    <t>Ali Maskan Ferry Purwanto</t>
  </si>
  <si>
    <t>32c3209e-6a2d-42a3-a855-a98d40a917f0</t>
  </si>
  <si>
    <t>ferry845@students.undip.ac.id</t>
  </si>
  <si>
    <t>24060124140186</t>
  </si>
  <si>
    <t>ADEFRITZ EINAR SINAGA</t>
  </si>
  <si>
    <t>Adefritz Einar Sinaga</t>
  </si>
  <si>
    <t>8ff66111-127f-4ddb-be59-291f0665251a</t>
  </si>
  <si>
    <t>fritzeinar18@students.undip.ac.id</t>
  </si>
  <si>
    <t>24060124140126</t>
  </si>
  <si>
    <t>RAFA AZLAN</t>
  </si>
  <si>
    <t>Rafa Azlan</t>
  </si>
  <si>
    <t>c2fa2584-d4ed-45c5-b04f-cd4cabbc865b</t>
  </si>
  <si>
    <t>rafaazlan@students.undip.ac.id</t>
  </si>
  <si>
    <t>24060124140170</t>
  </si>
  <si>
    <t>NAUFAL RAYAN ATTALLAH</t>
  </si>
  <si>
    <t>Naufal Rayan Attallah</t>
  </si>
  <si>
    <t>25ae0b10-cdf0-42d6-994a-ee44e30da7b5</t>
  </si>
  <si>
    <t>nray@students.undip.ac.id</t>
  </si>
  <si>
    <t>24060124140174</t>
  </si>
  <si>
    <t>NOVELYA CHERINA</t>
  </si>
  <si>
    <t>Novelya Cherina</t>
  </si>
  <si>
    <t>7c579b19-6754-4810-b17b-9ff05c118050</t>
  </si>
  <si>
    <t>novelyacherina@students.undip.ac.id</t>
  </si>
  <si>
    <t>24060124120051</t>
  </si>
  <si>
    <t>CAESAR FERDIANA SUWANDI</t>
  </si>
  <si>
    <t>Caesar Ferdiana Suwandi</t>
  </si>
  <si>
    <t>e0e50038-dd5d-41e6-8737-b599c9471a78</t>
  </si>
  <si>
    <t>caesarferdiana@students.undip.ac.id</t>
  </si>
  <si>
    <t>24060124130118</t>
  </si>
  <si>
    <t>DEWANGGA RAMADHAN HALIM</t>
  </si>
  <si>
    <t>Dewangga Ramadhan Halim</t>
  </si>
  <si>
    <t>8d8c0859-3958-49d2-8cd3-b73d5d891616</t>
  </si>
  <si>
    <t>dewanggarh@students.undip.ac.id</t>
  </si>
  <si>
    <t>24060124140130</t>
  </si>
  <si>
    <t>CRYSTIANO BAYU SATYA ALVES</t>
  </si>
  <si>
    <t>Crystiano Bayu Satya Alves</t>
  </si>
  <si>
    <t>aa258e9a-175d-4bbd-8742-8fe3dc6e2203</t>
  </si>
  <si>
    <t>bayualves28@students.undip.ac.id</t>
  </si>
  <si>
    <t>24060124140149</t>
  </si>
  <si>
    <t>DEVANO TRESTANTO</t>
  </si>
  <si>
    <t>Devano Trestanto</t>
  </si>
  <si>
    <t>59e539b9-ac09-4590-b97d-6863958d4c3f</t>
  </si>
  <si>
    <t>devanotrestanto@students.undip.ac.id</t>
  </si>
  <si>
    <t>24060124140165</t>
  </si>
  <si>
    <t>DINDA ISYARIANI</t>
  </si>
  <si>
    <t>Dinda Isyariani</t>
  </si>
  <si>
    <t>b886a4d2-e882-4700-9adf-38f6e0be0083</t>
  </si>
  <si>
    <t>dindaisyrn@students.undip.ac.id</t>
  </si>
  <si>
    <t>M. Ghani Aryasuta</t>
  </si>
  <si>
    <t>a3efe021-6767-4861-9db6-385903a5121b</t>
  </si>
  <si>
    <t>muslikbertopeng@students.undip.ac.id</t>
  </si>
  <si>
    <t>Ahmad Danun Hanani</t>
  </si>
  <si>
    <t>59fd032c-08ac-4463-890a-cd91130d9286</t>
  </si>
  <si>
    <t>ahmaddanunhanani@students.undip.ac.id</t>
  </si>
  <si>
    <t>Nindya Kirana</t>
  </si>
  <si>
    <t>25c5a7ec-04d0-425b-a3ff-d219c86eb43d</t>
  </si>
  <si>
    <t>nindyakirana@students.undip.ac.id</t>
  </si>
  <si>
    <t>Dewi Larasati Mumpuni</t>
  </si>
  <si>
    <t>453a66d0-2c28-4166-8fe5-d18b70c9f129</t>
  </si>
  <si>
    <t>dewilarasatimumpuni@students.undip.ac.id</t>
  </si>
  <si>
    <t>Ratu Sekar Ayu Nisa</t>
  </si>
  <si>
    <t>e6e740e8-e36f-4394-8d43-e28d3355539c</t>
  </si>
  <si>
    <t>ratusekarayunisa@students.undip.ac.id</t>
  </si>
  <si>
    <t>Mutiara Ayu Pramono</t>
  </si>
  <si>
    <t>c081338a-3923-401f-b56d-601e77c18f32</t>
  </si>
  <si>
    <t>mutiaraayupramono@students.undip.ac.id</t>
  </si>
  <si>
    <t>Noval Putra Barliyanda</t>
  </si>
  <si>
    <t>056eea64-c03a-4361-933c-54bee0b611fc</t>
  </si>
  <si>
    <t>novalbarli@students.undip.ac.id</t>
  </si>
  <si>
    <t>Raditya Saputra</t>
  </si>
  <si>
    <t>743829d4-35cb-4935-adf6-a7ae3253ca13</t>
  </si>
  <si>
    <t>radityasaputr@students.undip.ac.id</t>
  </si>
  <si>
    <t>Muhammad Iman Sasongko</t>
  </si>
  <si>
    <t>571d55f8-a0e6-4b2f-ac50-785ab2df22b2</t>
  </si>
  <si>
    <t>muhammadimansasongko@students.undip.ac.id</t>
  </si>
  <si>
    <t>Duta Adi Pamungkas</t>
  </si>
  <si>
    <t>d7c894e1-7ec8-4fa5-9d4a-05b5dc5d00f5</t>
  </si>
  <si>
    <t>dutaadip@students.undip.ac.id</t>
  </si>
  <si>
    <t>Muhammad Kievlan Hakim</t>
  </si>
  <si>
    <t>0103299d-a236-4797-8bc7-2f464029cf80</t>
  </si>
  <si>
    <t>muhammadkievlanhakim@students.undip.ac.id</t>
  </si>
  <si>
    <t>Aryo Pasya Ramadhan</t>
  </si>
  <si>
    <t>a1855cd2-3cee-44f7-8717-710a0c6a2961</t>
  </si>
  <si>
    <t>aryopasyaramadhan@students.undip.ac.id</t>
  </si>
  <si>
    <t>Metric</t>
  </si>
  <si>
    <t>Value</t>
  </si>
  <si>
    <t>Template</t>
  </si>
  <si>
    <t>Berhasil cocok</t>
  </si>
  <si>
    <t>Tidak cocok</t>
  </si>
  <si>
    <t>Data awal tidak ada di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</si>
</sst>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5"/>
  <sheetViews>
    <sheetView tabSelected="1" topLeftCell="A5" workbookViewId="0">
      <selection activeCell="F19" sqref="F19"/>
    </sheetView>
  </sheetViews>
  <sheetFormatPr defaultRowHeight="15" x14ac:dyDescent="0.25"/>
  <cols>
    <col min="1" max="1" width="17.5703125" bestFit="1" customWidth="1"/>
    <col min="2" max="2" width="55.28515625" bestFit="1" customWidth="1"/>
    <col min="3" max="3" width="10.5703125" bestFit="1" customWidth="1"/>
    <col min="4" max="4" width="8.140625" bestFit="1" customWidth="1"/>
    <col min="5" max="5" width="57.7109375" bestFit="1" customWidth="1"/>
    <col min="6" max="6" width="45.85546875" bestFit="1" customWidth="1"/>
    <col min="7" max="7" width="36.42578125" bestFit="1" customWidth="1"/>
    <col min="8" max="9" width="35.28515625" bestFit="1" customWidth="1"/>
    <col min="10" max="10" width="31.7109375" bestFit="1" customWidth="1"/>
    <col min="11" max="11" width="37.7109375" bestFit="1" customWidth="1"/>
    <col min="12" max="12" width="35.28515625" bestFit="1" customWidth="1"/>
    <col min="13" max="13" width="21.140625" bestFit="1" customWidth="1"/>
  </cols>
  <sheetData>
    <row r="1" spans="1:28" x14ac:dyDescent="0.25">
      <c r="A1" t="s">
        <v>0</v>
      </c>
      <c r="B1" t="s">
        <v>1</v>
      </c>
    </row>
    <row r="2" spans="1:28" x14ac:dyDescent="0.25">
      <c r="A2" t="s">
        <v>2</v>
      </c>
      <c r="B2" t="s">
        <v>3</v>
      </c>
      <c r="I2" s="1" t="s">
        <v>4</v>
      </c>
    </row>
    <row r="3" spans="1:28" x14ac:dyDescent="0.25">
      <c r="A3" t="s">
        <v>5</v>
      </c>
      <c r="B3" t="s">
        <v>6</v>
      </c>
    </row>
    <row r="4" spans="1:28" x14ac:dyDescent="0.25">
      <c r="A4" t="s">
        <v>7</v>
      </c>
      <c r="B4" t="s">
        <v>8</v>
      </c>
    </row>
    <row r="5" spans="1:28" x14ac:dyDescent="0.25">
      <c r="A5" t="s">
        <v>9</v>
      </c>
      <c r="B5" t="s">
        <v>10</v>
      </c>
    </row>
    <row r="7" spans="1:28" x14ac:dyDescent="0.25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  <c r="N7" t="s">
        <v>23</v>
      </c>
      <c r="O7" t="s">
        <v>24</v>
      </c>
      <c r="P7" t="s">
        <v>25</v>
      </c>
      <c r="Q7" t="s">
        <v>26</v>
      </c>
      <c r="R7" t="s">
        <v>27</v>
      </c>
      <c r="S7" t="s">
        <v>28</v>
      </c>
      <c r="T7" t="s">
        <v>29</v>
      </c>
      <c r="U7" t="s">
        <v>30</v>
      </c>
      <c r="V7" t="s">
        <v>31</v>
      </c>
      <c r="W7" t="s">
        <v>32</v>
      </c>
      <c r="X7" t="s">
        <v>33</v>
      </c>
      <c r="Y7" t="s">
        <v>34</v>
      </c>
      <c r="Z7" t="s">
        <v>35</v>
      </c>
      <c r="AA7" t="s">
        <v>36</v>
      </c>
      <c r="AB7" t="s">
        <v>37</v>
      </c>
    </row>
    <row r="8" spans="1:28" x14ac:dyDescent="0.25">
      <c r="A8" t="s">
        <v>38</v>
      </c>
      <c r="B8" t="s">
        <v>39</v>
      </c>
      <c r="C8">
        <v>4</v>
      </c>
      <c r="D8" t="s">
        <v>40</v>
      </c>
      <c r="E8" s="3">
        <v>93</v>
      </c>
      <c r="F8" s="3"/>
      <c r="G8" s="3">
        <f>(E8*0.8)+(H8*0.2)</f>
        <v>87.993000000000009</v>
      </c>
      <c r="H8" s="3">
        <v>67.965000000000003</v>
      </c>
      <c r="I8" s="3"/>
      <c r="J8" s="3"/>
      <c r="K8" s="2">
        <f t="shared" ref="K8:K45" si="0">ROUND( ((E8*10+F8*40+G8*5+H8*5+I8*20+J8*20) / 100), 2)</f>
        <v>17.100000000000001</v>
      </c>
      <c r="L8" s="2" t="str">
        <f t="shared" ref="L8:L45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5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  <c r="N8" t="s">
        <v>41</v>
      </c>
      <c r="O8">
        <v>24060124140160</v>
      </c>
      <c r="P8" t="s">
        <v>42</v>
      </c>
      <c r="S8" t="s">
        <v>43</v>
      </c>
      <c r="T8">
        <v>58.33</v>
      </c>
      <c r="U8">
        <v>72.099999999999994</v>
      </c>
      <c r="V8">
        <v>71.430000000000007</v>
      </c>
      <c r="W8" t="s">
        <v>44</v>
      </c>
      <c r="X8">
        <v>5.5</v>
      </c>
      <c r="Y8">
        <v>70</v>
      </c>
      <c r="Z8">
        <v>8.8699999999999992</v>
      </c>
      <c r="AA8">
        <v>93</v>
      </c>
      <c r="AB8">
        <v>1782747465</v>
      </c>
    </row>
    <row r="9" spans="1:28" x14ac:dyDescent="0.25">
      <c r="A9" t="s">
        <v>45</v>
      </c>
      <c r="B9" t="s">
        <v>46</v>
      </c>
      <c r="C9">
        <v>4</v>
      </c>
      <c r="D9" t="s">
        <v>40</v>
      </c>
      <c r="E9" s="3">
        <v>81</v>
      </c>
      <c r="F9" s="3"/>
      <c r="G9" s="3">
        <f t="shared" ref="G9:G45" si="3">(E9*0.8)+(H9*0.2)</f>
        <v>78.577500000000001</v>
      </c>
      <c r="H9" s="3">
        <v>68.887500000000003</v>
      </c>
      <c r="I9" s="3"/>
      <c r="J9" s="3"/>
      <c r="K9" s="2">
        <f t="shared" si="0"/>
        <v>15.47</v>
      </c>
      <c r="L9" s="2" t="str">
        <f t="shared" si="1"/>
        <v>E</v>
      </c>
      <c r="M9" t="str">
        <f t="shared" si="2"/>
        <v>0</v>
      </c>
      <c r="N9" t="s">
        <v>47</v>
      </c>
      <c r="O9">
        <v>24060124140161</v>
      </c>
      <c r="P9" t="s">
        <v>48</v>
      </c>
      <c r="S9" t="s">
        <v>49</v>
      </c>
      <c r="T9">
        <v>50</v>
      </c>
      <c r="U9">
        <v>88.41</v>
      </c>
      <c r="V9">
        <v>57.14</v>
      </c>
      <c r="W9" t="s">
        <v>44</v>
      </c>
      <c r="X9">
        <v>5.5</v>
      </c>
      <c r="Y9">
        <v>80</v>
      </c>
      <c r="Z9" t="s">
        <v>44</v>
      </c>
      <c r="AA9">
        <v>81</v>
      </c>
      <c r="AB9">
        <v>1782747465</v>
      </c>
    </row>
    <row r="10" spans="1:28" x14ac:dyDescent="0.25">
      <c r="A10" t="s">
        <v>50</v>
      </c>
      <c r="B10" t="s">
        <v>51</v>
      </c>
      <c r="C10">
        <v>4</v>
      </c>
      <c r="D10" t="s">
        <v>40</v>
      </c>
      <c r="E10" s="3"/>
      <c r="F10" s="3"/>
      <c r="G10" s="3">
        <f t="shared" si="3"/>
        <v>0</v>
      </c>
      <c r="H10" s="3">
        <v>0</v>
      </c>
      <c r="I10" s="3"/>
      <c r="J10" s="2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28" x14ac:dyDescent="0.25">
      <c r="A11" t="s">
        <v>52</v>
      </c>
      <c r="B11" t="s">
        <v>53</v>
      </c>
      <c r="C11">
        <v>4</v>
      </c>
      <c r="D11" t="s">
        <v>40</v>
      </c>
      <c r="E11" s="3">
        <v>96</v>
      </c>
      <c r="F11" s="3"/>
      <c r="G11" s="3">
        <f t="shared" si="3"/>
        <v>94.998500000000007</v>
      </c>
      <c r="H11" s="3">
        <v>90.992499999999993</v>
      </c>
      <c r="I11" s="3"/>
      <c r="J11" s="3"/>
      <c r="K11" s="2">
        <f t="shared" si="0"/>
        <v>18.899999999999999</v>
      </c>
      <c r="L11" s="2" t="str">
        <f t="shared" si="1"/>
        <v>E</v>
      </c>
      <c r="M11" t="str">
        <f t="shared" si="2"/>
        <v>0</v>
      </c>
      <c r="N11" t="s">
        <v>54</v>
      </c>
      <c r="O11">
        <v>24060124130065</v>
      </c>
      <c r="P11" t="s">
        <v>55</v>
      </c>
      <c r="S11" t="s">
        <v>56</v>
      </c>
      <c r="T11">
        <v>83.33</v>
      </c>
      <c r="U11">
        <v>94.93</v>
      </c>
      <c r="V11">
        <v>85.71</v>
      </c>
      <c r="W11" t="s">
        <v>44</v>
      </c>
      <c r="X11">
        <v>9</v>
      </c>
      <c r="Y11">
        <v>100</v>
      </c>
      <c r="Z11" t="s">
        <v>44</v>
      </c>
      <c r="AA11">
        <v>96</v>
      </c>
      <c r="AB11">
        <v>1782747465</v>
      </c>
    </row>
    <row r="12" spans="1:28" x14ac:dyDescent="0.25">
      <c r="A12" t="s">
        <v>57</v>
      </c>
      <c r="B12" t="s">
        <v>58</v>
      </c>
      <c r="C12">
        <v>4</v>
      </c>
      <c r="D12" t="s">
        <v>40</v>
      </c>
      <c r="E12" s="3">
        <v>85.33</v>
      </c>
      <c r="F12" s="3"/>
      <c r="G12" s="3">
        <f t="shared" si="3"/>
        <v>84.499499999999998</v>
      </c>
      <c r="H12" s="3">
        <v>81.177499999999995</v>
      </c>
      <c r="I12" s="3"/>
      <c r="J12" s="3"/>
      <c r="K12" s="2">
        <f t="shared" si="0"/>
        <v>16.82</v>
      </c>
      <c r="L12" s="2" t="str">
        <f t="shared" si="1"/>
        <v>E</v>
      </c>
      <c r="M12" t="str">
        <f t="shared" si="2"/>
        <v>0</v>
      </c>
      <c r="N12" t="s">
        <v>59</v>
      </c>
      <c r="O12">
        <v>24060124140145</v>
      </c>
      <c r="P12" t="s">
        <v>60</v>
      </c>
      <c r="S12" t="s">
        <v>61</v>
      </c>
      <c r="T12">
        <v>50</v>
      </c>
      <c r="U12">
        <v>79.709999999999994</v>
      </c>
      <c r="V12">
        <v>100</v>
      </c>
      <c r="W12" t="s">
        <v>44</v>
      </c>
      <c r="X12">
        <v>5.5</v>
      </c>
      <c r="Y12">
        <v>95</v>
      </c>
      <c r="Z12">
        <v>8.2100000000000009</v>
      </c>
      <c r="AA12">
        <v>85.33</v>
      </c>
      <c r="AB12">
        <v>1782747465</v>
      </c>
    </row>
    <row r="13" spans="1:28" x14ac:dyDescent="0.25">
      <c r="A13" t="s">
        <v>62</v>
      </c>
      <c r="B13" t="s">
        <v>63</v>
      </c>
      <c r="C13">
        <v>4</v>
      </c>
      <c r="D13" t="s">
        <v>40</v>
      </c>
      <c r="E13" s="3">
        <v>89.33</v>
      </c>
      <c r="F13" s="3"/>
      <c r="G13" s="3">
        <f t="shared" si="3"/>
        <v>82.726500000000001</v>
      </c>
      <c r="H13" s="3">
        <v>56.3125</v>
      </c>
      <c r="I13" s="3"/>
      <c r="J13" s="3"/>
      <c r="K13" s="2">
        <f t="shared" si="0"/>
        <v>15.88</v>
      </c>
      <c r="L13" s="2" t="str">
        <f t="shared" si="1"/>
        <v>E</v>
      </c>
      <c r="M13" t="str">
        <f t="shared" si="2"/>
        <v>0</v>
      </c>
      <c r="N13" t="s">
        <v>64</v>
      </c>
      <c r="O13">
        <v>24060124140171</v>
      </c>
      <c r="P13" t="s">
        <v>65</v>
      </c>
      <c r="S13" t="s">
        <v>66</v>
      </c>
      <c r="T13">
        <v>33.33</v>
      </c>
      <c r="U13">
        <v>34.78</v>
      </c>
      <c r="V13">
        <v>57.14</v>
      </c>
      <c r="W13" t="s">
        <v>44</v>
      </c>
      <c r="X13">
        <v>8.5</v>
      </c>
      <c r="Y13">
        <v>100</v>
      </c>
      <c r="Z13">
        <v>0.62</v>
      </c>
      <c r="AA13">
        <v>89.33</v>
      </c>
      <c r="AB13">
        <v>1782747465</v>
      </c>
    </row>
    <row r="14" spans="1:28" x14ac:dyDescent="0.25">
      <c r="A14" t="s">
        <v>67</v>
      </c>
      <c r="B14" t="s">
        <v>68</v>
      </c>
      <c r="C14">
        <v>4</v>
      </c>
      <c r="D14" t="s">
        <v>40</v>
      </c>
      <c r="E14" s="3">
        <v>94.33</v>
      </c>
      <c r="F14" s="3"/>
      <c r="G14" s="3">
        <f t="shared" si="3"/>
        <v>91.752499999999998</v>
      </c>
      <c r="H14" s="3">
        <v>81.442499999999995</v>
      </c>
      <c r="I14" s="3"/>
      <c r="J14" s="3"/>
      <c r="K14" s="2">
        <f t="shared" si="0"/>
        <v>18.09</v>
      </c>
      <c r="L14" s="2" t="str">
        <f t="shared" si="1"/>
        <v>E</v>
      </c>
      <c r="M14" t="str">
        <f t="shared" si="2"/>
        <v>0</v>
      </c>
      <c r="N14" t="s">
        <v>69</v>
      </c>
      <c r="O14">
        <v>24060124130054</v>
      </c>
      <c r="P14" t="s">
        <v>70</v>
      </c>
      <c r="S14" t="s">
        <v>71</v>
      </c>
      <c r="T14">
        <v>91.67</v>
      </c>
      <c r="U14">
        <v>86.96</v>
      </c>
      <c r="V14">
        <v>57.14</v>
      </c>
      <c r="W14" t="s">
        <v>44</v>
      </c>
      <c r="X14" t="s">
        <v>44</v>
      </c>
      <c r="Y14">
        <v>90</v>
      </c>
      <c r="Z14" t="s">
        <v>44</v>
      </c>
      <c r="AA14">
        <v>94.33</v>
      </c>
      <c r="AB14">
        <v>1782747465</v>
      </c>
    </row>
    <row r="15" spans="1:28" x14ac:dyDescent="0.25">
      <c r="A15" t="s">
        <v>72</v>
      </c>
      <c r="B15" t="s">
        <v>73</v>
      </c>
      <c r="C15">
        <v>4</v>
      </c>
      <c r="D15" t="s">
        <v>40</v>
      </c>
      <c r="E15" s="3">
        <v>97</v>
      </c>
      <c r="F15" s="3"/>
      <c r="G15" s="3">
        <f t="shared" si="3"/>
        <v>94.508500000000012</v>
      </c>
      <c r="H15" s="3">
        <v>84.54249999999999</v>
      </c>
      <c r="I15" s="3"/>
      <c r="J15" s="3"/>
      <c r="K15" s="2">
        <f t="shared" si="0"/>
        <v>18.649999999999999</v>
      </c>
      <c r="L15" s="2" t="str">
        <f t="shared" si="1"/>
        <v>E</v>
      </c>
      <c r="M15" t="str">
        <f t="shared" si="2"/>
        <v>0</v>
      </c>
      <c r="N15" t="s">
        <v>74</v>
      </c>
      <c r="O15">
        <v>24060124130092</v>
      </c>
      <c r="P15" t="s">
        <v>75</v>
      </c>
      <c r="S15" t="s">
        <v>76</v>
      </c>
      <c r="T15">
        <v>83.33</v>
      </c>
      <c r="U15">
        <v>89.13</v>
      </c>
      <c r="V15">
        <v>85.71</v>
      </c>
      <c r="W15" t="s">
        <v>44</v>
      </c>
      <c r="X15">
        <v>8</v>
      </c>
      <c r="Y15">
        <v>80</v>
      </c>
      <c r="Z15">
        <v>8.4499999999999993</v>
      </c>
      <c r="AA15">
        <v>97</v>
      </c>
      <c r="AB15">
        <v>1782747465</v>
      </c>
    </row>
    <row r="16" spans="1:28" x14ac:dyDescent="0.25">
      <c r="A16" t="s">
        <v>77</v>
      </c>
      <c r="B16" t="s">
        <v>78</v>
      </c>
      <c r="C16">
        <v>4</v>
      </c>
      <c r="D16" t="s">
        <v>40</v>
      </c>
      <c r="E16" s="3">
        <v>95</v>
      </c>
      <c r="F16" s="3"/>
      <c r="G16" s="3">
        <f t="shared" si="3"/>
        <v>91.457999999999998</v>
      </c>
      <c r="H16" s="3">
        <v>77.290000000000006</v>
      </c>
      <c r="I16" s="3"/>
      <c r="J16" s="3"/>
      <c r="K16" s="2">
        <f t="shared" si="0"/>
        <v>17.940000000000001</v>
      </c>
      <c r="L16" s="2" t="str">
        <f t="shared" si="1"/>
        <v>E</v>
      </c>
      <c r="M16" t="str">
        <f t="shared" si="2"/>
        <v>0</v>
      </c>
      <c r="N16" t="s">
        <v>79</v>
      </c>
      <c r="O16">
        <v>24060124130095</v>
      </c>
      <c r="P16" t="s">
        <v>80</v>
      </c>
      <c r="S16" t="s">
        <v>81</v>
      </c>
      <c r="T16">
        <v>75</v>
      </c>
      <c r="U16">
        <v>91.3</v>
      </c>
      <c r="V16">
        <v>42.86</v>
      </c>
      <c r="W16" t="s">
        <v>44</v>
      </c>
      <c r="X16">
        <v>9</v>
      </c>
      <c r="Y16">
        <v>100</v>
      </c>
      <c r="Z16" t="s">
        <v>44</v>
      </c>
      <c r="AA16">
        <v>95</v>
      </c>
      <c r="AB16">
        <v>1782747465</v>
      </c>
    </row>
    <row r="17" spans="1:28" x14ac:dyDescent="0.25">
      <c r="A17" t="s">
        <v>82</v>
      </c>
      <c r="B17" t="s">
        <v>83</v>
      </c>
      <c r="C17">
        <v>4</v>
      </c>
      <c r="D17" t="s">
        <v>40</v>
      </c>
      <c r="E17" s="3">
        <v>0</v>
      </c>
      <c r="F17" s="3"/>
      <c r="G17" s="3">
        <f t="shared" si="3"/>
        <v>9.722999999999999</v>
      </c>
      <c r="H17" s="3">
        <v>48.614999999999995</v>
      </c>
      <c r="I17" s="3"/>
      <c r="J17" s="3"/>
      <c r="K17" s="2">
        <f t="shared" si="0"/>
        <v>2.92</v>
      </c>
      <c r="L17" s="2" t="str">
        <f t="shared" si="1"/>
        <v>E</v>
      </c>
      <c r="M17" t="str">
        <f t="shared" si="2"/>
        <v>0</v>
      </c>
      <c r="N17" t="s">
        <v>84</v>
      </c>
      <c r="O17">
        <v>24060124140172</v>
      </c>
      <c r="P17" t="s">
        <v>85</v>
      </c>
      <c r="S17" t="s">
        <v>86</v>
      </c>
      <c r="T17">
        <v>75</v>
      </c>
      <c r="U17">
        <v>62.32</v>
      </c>
      <c r="V17">
        <v>57.14</v>
      </c>
      <c r="W17" t="s">
        <v>44</v>
      </c>
      <c r="X17" t="s">
        <v>44</v>
      </c>
      <c r="Y17" t="s">
        <v>44</v>
      </c>
      <c r="Z17" t="s">
        <v>44</v>
      </c>
      <c r="AA17" t="s">
        <v>44</v>
      </c>
      <c r="AB17">
        <v>1782747465</v>
      </c>
    </row>
    <row r="18" spans="1:28" x14ac:dyDescent="0.25">
      <c r="A18" t="s">
        <v>87</v>
      </c>
      <c r="B18" t="s">
        <v>88</v>
      </c>
      <c r="C18">
        <v>4</v>
      </c>
      <c r="D18" t="s">
        <v>40</v>
      </c>
      <c r="E18" s="3">
        <v>97.5</v>
      </c>
      <c r="F18" s="3"/>
      <c r="G18" s="3">
        <f t="shared" si="3"/>
        <v>90.682500000000005</v>
      </c>
      <c r="H18" s="3">
        <v>63.412499999999994</v>
      </c>
      <c r="I18" s="3"/>
      <c r="J18" s="3"/>
      <c r="K18" s="2">
        <f t="shared" si="0"/>
        <v>17.45</v>
      </c>
      <c r="L18" s="2" t="str">
        <f t="shared" si="1"/>
        <v>E</v>
      </c>
      <c r="M18" t="str">
        <f t="shared" si="2"/>
        <v>0</v>
      </c>
      <c r="N18" t="s">
        <v>89</v>
      </c>
      <c r="O18">
        <v>24060124140196</v>
      </c>
      <c r="P18" t="s">
        <v>90</v>
      </c>
      <c r="S18" t="s">
        <v>91</v>
      </c>
      <c r="T18">
        <v>66.67</v>
      </c>
      <c r="U18">
        <v>88.41</v>
      </c>
      <c r="V18">
        <v>28.57</v>
      </c>
      <c r="W18" t="s">
        <v>44</v>
      </c>
      <c r="X18">
        <v>7.5</v>
      </c>
      <c r="Y18">
        <v>70</v>
      </c>
      <c r="Z18">
        <v>9.2799999999999994</v>
      </c>
      <c r="AA18">
        <v>97.5</v>
      </c>
      <c r="AB18">
        <v>1782747465</v>
      </c>
    </row>
    <row r="19" spans="1:28" x14ac:dyDescent="0.25">
      <c r="A19" t="s">
        <v>92</v>
      </c>
      <c r="B19" t="s">
        <v>93</v>
      </c>
      <c r="C19">
        <v>4</v>
      </c>
      <c r="D19" t="s">
        <v>40</v>
      </c>
      <c r="E19" s="3">
        <v>93.67</v>
      </c>
      <c r="F19" s="3"/>
      <c r="G19" s="3">
        <f t="shared" si="3"/>
        <v>89.19550000000001</v>
      </c>
      <c r="H19" s="3">
        <v>71.297499999999999</v>
      </c>
      <c r="I19" s="3"/>
      <c r="J19" s="3"/>
      <c r="K19" s="2">
        <f t="shared" si="0"/>
        <v>17.39</v>
      </c>
      <c r="L19" s="2" t="str">
        <f t="shared" si="1"/>
        <v>E</v>
      </c>
      <c r="M19" t="str">
        <f t="shared" si="2"/>
        <v>0</v>
      </c>
      <c r="N19" t="s">
        <v>94</v>
      </c>
      <c r="O19">
        <v>24060124120036</v>
      </c>
      <c r="P19" t="s">
        <v>95</v>
      </c>
      <c r="S19" t="s">
        <v>96</v>
      </c>
      <c r="T19">
        <v>83.33</v>
      </c>
      <c r="U19">
        <v>80.430000000000007</v>
      </c>
      <c r="V19">
        <v>71.430000000000007</v>
      </c>
      <c r="W19" t="s">
        <v>44</v>
      </c>
      <c r="X19">
        <v>9</v>
      </c>
      <c r="Y19">
        <v>50</v>
      </c>
      <c r="Z19" t="s">
        <v>44</v>
      </c>
      <c r="AA19">
        <v>93.67</v>
      </c>
      <c r="AB19">
        <v>1782747465</v>
      </c>
    </row>
    <row r="20" spans="1:28" x14ac:dyDescent="0.25">
      <c r="A20" t="s">
        <v>97</v>
      </c>
      <c r="B20" t="s">
        <v>98</v>
      </c>
      <c r="C20">
        <v>4</v>
      </c>
      <c r="D20" t="s">
        <v>40</v>
      </c>
      <c r="E20" s="3">
        <v>89</v>
      </c>
      <c r="F20" s="3"/>
      <c r="G20" s="3">
        <f t="shared" si="3"/>
        <v>82.948000000000008</v>
      </c>
      <c r="H20" s="3">
        <v>58.739999999999995</v>
      </c>
      <c r="I20" s="3"/>
      <c r="J20" s="3"/>
      <c r="K20" s="2">
        <f t="shared" si="0"/>
        <v>15.98</v>
      </c>
      <c r="L20" s="2" t="str">
        <f t="shared" si="1"/>
        <v>E</v>
      </c>
      <c r="M20" t="str">
        <f t="shared" si="2"/>
        <v>0</v>
      </c>
      <c r="N20" t="s">
        <v>99</v>
      </c>
      <c r="O20">
        <v>24060124140138</v>
      </c>
      <c r="P20" t="s">
        <v>100</v>
      </c>
      <c r="S20" t="s">
        <v>101</v>
      </c>
      <c r="T20">
        <v>58.33</v>
      </c>
      <c r="U20">
        <v>63.77</v>
      </c>
      <c r="V20">
        <v>42.86</v>
      </c>
      <c r="W20" t="s">
        <v>44</v>
      </c>
      <c r="X20">
        <v>10</v>
      </c>
      <c r="Y20">
        <v>70</v>
      </c>
      <c r="Z20">
        <v>5.36</v>
      </c>
      <c r="AA20">
        <v>89</v>
      </c>
      <c r="AB20">
        <v>1782747465</v>
      </c>
    </row>
    <row r="21" spans="1:28" x14ac:dyDescent="0.25">
      <c r="A21" t="s">
        <v>102</v>
      </c>
      <c r="B21" t="s">
        <v>103</v>
      </c>
      <c r="C21">
        <v>4</v>
      </c>
      <c r="D21" t="s">
        <v>40</v>
      </c>
      <c r="E21" s="3">
        <v>80</v>
      </c>
      <c r="F21" s="3"/>
      <c r="G21" s="3">
        <f t="shared" si="3"/>
        <v>76.168000000000006</v>
      </c>
      <c r="H21" s="3">
        <v>60.84</v>
      </c>
      <c r="I21" s="3"/>
      <c r="J21" s="3"/>
      <c r="K21" s="2">
        <f t="shared" si="0"/>
        <v>14.85</v>
      </c>
      <c r="L21" s="2" t="str">
        <f t="shared" si="1"/>
        <v>E</v>
      </c>
      <c r="M21" t="str">
        <f t="shared" si="2"/>
        <v>0</v>
      </c>
      <c r="N21" t="s">
        <v>104</v>
      </c>
      <c r="O21">
        <v>24060124140190</v>
      </c>
      <c r="P21" t="s">
        <v>105</v>
      </c>
      <c r="S21" t="s">
        <v>106</v>
      </c>
      <c r="T21">
        <v>83.33</v>
      </c>
      <c r="U21">
        <v>52.17</v>
      </c>
      <c r="V21">
        <v>42.86</v>
      </c>
      <c r="W21" t="s">
        <v>44</v>
      </c>
      <c r="X21">
        <v>8</v>
      </c>
      <c r="Y21">
        <v>65</v>
      </c>
      <c r="Z21" t="s">
        <v>44</v>
      </c>
      <c r="AA21">
        <v>80</v>
      </c>
      <c r="AB21">
        <v>1782747465</v>
      </c>
    </row>
    <row r="22" spans="1:28" x14ac:dyDescent="0.25">
      <c r="A22" t="s">
        <v>107</v>
      </c>
      <c r="B22" t="s">
        <v>108</v>
      </c>
      <c r="C22">
        <v>4</v>
      </c>
      <c r="D22" t="s">
        <v>40</v>
      </c>
      <c r="E22" s="3">
        <v>88</v>
      </c>
      <c r="F22" s="3"/>
      <c r="G22" s="3">
        <f t="shared" si="3"/>
        <v>88.407000000000011</v>
      </c>
      <c r="H22" s="3">
        <v>90.034999999999997</v>
      </c>
      <c r="I22" s="3"/>
      <c r="J22" s="3"/>
      <c r="K22" s="2">
        <f t="shared" si="0"/>
        <v>17.72</v>
      </c>
      <c r="L22" s="2" t="str">
        <f t="shared" si="1"/>
        <v>E</v>
      </c>
      <c r="M22" t="str">
        <f t="shared" si="2"/>
        <v>0</v>
      </c>
      <c r="N22" t="s">
        <v>109</v>
      </c>
      <c r="O22">
        <v>24060124120004</v>
      </c>
      <c r="P22" t="s">
        <v>110</v>
      </c>
      <c r="S22" t="s">
        <v>111</v>
      </c>
      <c r="T22">
        <v>83.33</v>
      </c>
      <c r="U22">
        <v>76.81</v>
      </c>
      <c r="V22">
        <v>100</v>
      </c>
      <c r="W22" t="s">
        <v>44</v>
      </c>
      <c r="X22">
        <v>9.5</v>
      </c>
      <c r="Y22">
        <v>100</v>
      </c>
      <c r="Z22">
        <v>9.2799999999999994</v>
      </c>
      <c r="AA22">
        <v>88</v>
      </c>
      <c r="AB22">
        <v>1782747465</v>
      </c>
    </row>
    <row r="23" spans="1:28" x14ac:dyDescent="0.25">
      <c r="A23" t="s">
        <v>112</v>
      </c>
      <c r="B23" t="s">
        <v>113</v>
      </c>
      <c r="C23">
        <v>4</v>
      </c>
      <c r="D23" t="s">
        <v>40</v>
      </c>
      <c r="E23" s="3">
        <v>94</v>
      </c>
      <c r="F23" s="3"/>
      <c r="G23" s="3">
        <f t="shared" si="3"/>
        <v>89.829499999999996</v>
      </c>
      <c r="H23" s="3">
        <v>73.147499999999994</v>
      </c>
      <c r="I23" s="3"/>
      <c r="J23" s="3"/>
      <c r="K23" s="2">
        <f t="shared" si="0"/>
        <v>17.55</v>
      </c>
      <c r="L23" s="2" t="str">
        <f t="shared" si="1"/>
        <v>E</v>
      </c>
      <c r="M23" t="str">
        <f t="shared" si="2"/>
        <v>0</v>
      </c>
      <c r="N23" t="s">
        <v>114</v>
      </c>
      <c r="O23">
        <v>24060124120039</v>
      </c>
      <c r="P23" t="s">
        <v>115</v>
      </c>
      <c r="S23" t="s">
        <v>116</v>
      </c>
      <c r="T23">
        <v>50</v>
      </c>
      <c r="U23">
        <v>81.88</v>
      </c>
      <c r="V23">
        <v>85.71</v>
      </c>
      <c r="W23" t="s">
        <v>44</v>
      </c>
      <c r="X23">
        <v>8.5</v>
      </c>
      <c r="Y23">
        <v>75</v>
      </c>
      <c r="Z23">
        <v>9.3800000000000008</v>
      </c>
      <c r="AA23">
        <v>94</v>
      </c>
      <c r="AB23">
        <v>1782747465</v>
      </c>
    </row>
    <row r="24" spans="1:28" x14ac:dyDescent="0.25">
      <c r="A24" t="s">
        <v>117</v>
      </c>
      <c r="B24" t="s">
        <v>118</v>
      </c>
      <c r="C24">
        <v>4</v>
      </c>
      <c r="D24" t="s">
        <v>40</v>
      </c>
      <c r="E24" s="3">
        <v>95</v>
      </c>
      <c r="F24" s="3"/>
      <c r="G24" s="3">
        <f t="shared" si="3"/>
        <v>83.145499999999998</v>
      </c>
      <c r="H24" s="3">
        <v>35.727499999999999</v>
      </c>
      <c r="I24" s="3"/>
      <c r="J24" s="3"/>
      <c r="K24" s="2">
        <f t="shared" si="0"/>
        <v>15.44</v>
      </c>
      <c r="L24" s="2" t="str">
        <f t="shared" si="1"/>
        <v>E</v>
      </c>
      <c r="M24" t="str">
        <f t="shared" si="2"/>
        <v>0</v>
      </c>
      <c r="N24" t="s">
        <v>119</v>
      </c>
      <c r="O24">
        <v>24060124130119</v>
      </c>
      <c r="P24" t="s">
        <v>120</v>
      </c>
      <c r="S24" t="s">
        <v>121</v>
      </c>
      <c r="T24">
        <v>75</v>
      </c>
      <c r="U24">
        <v>53.62</v>
      </c>
      <c r="V24">
        <v>14.29</v>
      </c>
      <c r="W24" t="s">
        <v>44</v>
      </c>
      <c r="X24">
        <v>9.5</v>
      </c>
      <c r="Y24" t="s">
        <v>44</v>
      </c>
      <c r="Z24">
        <v>9.18</v>
      </c>
      <c r="AA24">
        <v>95</v>
      </c>
      <c r="AB24">
        <v>1782747465</v>
      </c>
    </row>
    <row r="25" spans="1:28" x14ac:dyDescent="0.25">
      <c r="A25" t="s">
        <v>122</v>
      </c>
      <c r="B25" t="s">
        <v>123</v>
      </c>
      <c r="C25">
        <v>4</v>
      </c>
      <c r="D25" t="s">
        <v>40</v>
      </c>
      <c r="E25" s="3">
        <v>86.33</v>
      </c>
      <c r="F25" s="3"/>
      <c r="G25" s="3">
        <f t="shared" si="3"/>
        <v>82.562500000000014</v>
      </c>
      <c r="H25" s="3">
        <v>67.492500000000007</v>
      </c>
      <c r="I25" s="3"/>
      <c r="J25" s="3"/>
      <c r="K25" s="2">
        <f t="shared" si="0"/>
        <v>16.14</v>
      </c>
      <c r="L25" s="2" t="str">
        <f t="shared" si="1"/>
        <v>E</v>
      </c>
      <c r="M25" t="str">
        <f t="shared" si="2"/>
        <v>0</v>
      </c>
      <c r="N25" t="s">
        <v>124</v>
      </c>
      <c r="O25">
        <v>24060124140183</v>
      </c>
      <c r="P25" t="s">
        <v>125</v>
      </c>
      <c r="S25" t="s">
        <v>126</v>
      </c>
      <c r="T25">
        <v>41.67</v>
      </c>
      <c r="U25">
        <v>81.16</v>
      </c>
      <c r="V25">
        <v>57.14</v>
      </c>
      <c r="W25" t="s">
        <v>44</v>
      </c>
      <c r="X25" t="s">
        <v>44</v>
      </c>
      <c r="Y25">
        <v>90</v>
      </c>
      <c r="Z25" t="s">
        <v>44</v>
      </c>
      <c r="AA25">
        <v>86.33</v>
      </c>
      <c r="AB25">
        <v>1782747465</v>
      </c>
    </row>
    <row r="26" spans="1:28" x14ac:dyDescent="0.25">
      <c r="A26" t="s">
        <v>127</v>
      </c>
      <c r="B26" t="s">
        <v>128</v>
      </c>
      <c r="C26">
        <v>4</v>
      </c>
      <c r="D26" t="s">
        <v>40</v>
      </c>
      <c r="E26" s="3">
        <v>92</v>
      </c>
      <c r="F26" s="3"/>
      <c r="G26" s="3">
        <f t="shared" si="3"/>
        <v>88.435000000000002</v>
      </c>
      <c r="H26" s="3">
        <v>74.174999999999997</v>
      </c>
      <c r="I26" s="3"/>
      <c r="J26" s="3"/>
      <c r="K26" s="2">
        <f t="shared" si="0"/>
        <v>17.329999999999998</v>
      </c>
      <c r="L26" s="2" t="str">
        <f t="shared" si="1"/>
        <v>E</v>
      </c>
      <c r="M26" t="str">
        <f t="shared" si="2"/>
        <v>0</v>
      </c>
      <c r="N26" t="s">
        <v>129</v>
      </c>
      <c r="O26">
        <v>24060124140202</v>
      </c>
      <c r="P26" t="s">
        <v>130</v>
      </c>
      <c r="S26" t="s">
        <v>131</v>
      </c>
      <c r="T26">
        <v>58.33</v>
      </c>
      <c r="U26">
        <v>86.23</v>
      </c>
      <c r="V26">
        <v>57.14</v>
      </c>
      <c r="W26" t="s">
        <v>44</v>
      </c>
      <c r="X26">
        <v>7.5</v>
      </c>
      <c r="Y26">
        <v>95</v>
      </c>
      <c r="Z26">
        <v>8.9700000000000006</v>
      </c>
      <c r="AA26">
        <v>92</v>
      </c>
      <c r="AB26">
        <v>1782747465</v>
      </c>
    </row>
    <row r="27" spans="1:28" x14ac:dyDescent="0.25">
      <c r="A27" t="s">
        <v>132</v>
      </c>
      <c r="B27" t="s">
        <v>133</v>
      </c>
      <c r="C27">
        <v>4</v>
      </c>
      <c r="D27" t="s">
        <v>40</v>
      </c>
      <c r="E27" s="3">
        <v>98</v>
      </c>
      <c r="F27" s="3"/>
      <c r="G27" s="3">
        <f t="shared" si="3"/>
        <v>93.27600000000001</v>
      </c>
      <c r="H27" s="3">
        <v>74.38</v>
      </c>
      <c r="I27" s="3"/>
      <c r="J27" s="3"/>
      <c r="K27" s="2">
        <f t="shared" si="0"/>
        <v>18.18</v>
      </c>
      <c r="L27" s="2" t="str">
        <f t="shared" si="1"/>
        <v>E</v>
      </c>
      <c r="M27" t="str">
        <f t="shared" si="2"/>
        <v>0</v>
      </c>
      <c r="N27" t="s">
        <v>134</v>
      </c>
      <c r="O27">
        <v>24060124130056</v>
      </c>
      <c r="P27" t="s">
        <v>135</v>
      </c>
      <c r="S27" t="s">
        <v>136</v>
      </c>
      <c r="T27">
        <v>50</v>
      </c>
      <c r="U27">
        <v>76.81</v>
      </c>
      <c r="V27">
        <v>85.71</v>
      </c>
      <c r="W27" t="s">
        <v>44</v>
      </c>
      <c r="X27" t="s">
        <v>44</v>
      </c>
      <c r="Y27">
        <v>85</v>
      </c>
      <c r="Z27">
        <v>1.24</v>
      </c>
      <c r="AA27">
        <v>98</v>
      </c>
      <c r="AB27">
        <v>1782747465</v>
      </c>
    </row>
    <row r="28" spans="1:28" x14ac:dyDescent="0.25">
      <c r="A28" t="s">
        <v>137</v>
      </c>
      <c r="B28" t="s">
        <v>138</v>
      </c>
      <c r="C28">
        <v>4</v>
      </c>
      <c r="D28" t="s">
        <v>40</v>
      </c>
      <c r="E28" s="3">
        <v>98</v>
      </c>
      <c r="F28" s="3"/>
      <c r="G28" s="3">
        <f t="shared" si="3"/>
        <v>93.613</v>
      </c>
      <c r="H28" s="3">
        <v>76.064999999999998</v>
      </c>
      <c r="I28" s="3"/>
      <c r="J28" s="3"/>
      <c r="K28" s="2">
        <f t="shared" si="0"/>
        <v>18.28</v>
      </c>
      <c r="L28" s="2" t="str">
        <f t="shared" si="1"/>
        <v>E</v>
      </c>
      <c r="M28" t="str">
        <f t="shared" si="2"/>
        <v>0</v>
      </c>
      <c r="N28" t="s">
        <v>139</v>
      </c>
      <c r="O28">
        <v>24060124130075</v>
      </c>
      <c r="P28" t="s">
        <v>140</v>
      </c>
      <c r="S28" t="s">
        <v>141</v>
      </c>
      <c r="T28">
        <v>83.33</v>
      </c>
      <c r="U28">
        <v>65.22</v>
      </c>
      <c r="V28">
        <v>85.71</v>
      </c>
      <c r="W28" t="s">
        <v>44</v>
      </c>
      <c r="X28">
        <v>9</v>
      </c>
      <c r="Y28">
        <v>70</v>
      </c>
      <c r="Z28">
        <v>5.05</v>
      </c>
      <c r="AA28">
        <v>98</v>
      </c>
      <c r="AB28">
        <v>1782747465</v>
      </c>
    </row>
    <row r="29" spans="1:28" x14ac:dyDescent="0.25">
      <c r="A29" t="s">
        <v>142</v>
      </c>
      <c r="B29" t="s">
        <v>143</v>
      </c>
      <c r="C29">
        <v>4</v>
      </c>
      <c r="D29" t="s">
        <v>40</v>
      </c>
      <c r="E29" s="3">
        <v>92</v>
      </c>
      <c r="F29" s="3"/>
      <c r="G29" s="3">
        <f t="shared" si="3"/>
        <v>90.940500000000014</v>
      </c>
      <c r="H29" s="3">
        <v>86.702500000000001</v>
      </c>
      <c r="I29" s="3"/>
      <c r="J29" s="3"/>
      <c r="K29" s="2">
        <f t="shared" si="0"/>
        <v>18.079999999999998</v>
      </c>
      <c r="L29" s="2" t="str">
        <f t="shared" si="1"/>
        <v>E</v>
      </c>
      <c r="M29" t="str">
        <f t="shared" si="2"/>
        <v>0</v>
      </c>
      <c r="N29" t="s">
        <v>144</v>
      </c>
      <c r="O29">
        <v>24060124130107</v>
      </c>
      <c r="P29" t="s">
        <v>145</v>
      </c>
      <c r="S29" t="s">
        <v>146</v>
      </c>
      <c r="T29">
        <v>58.33</v>
      </c>
      <c r="U29">
        <v>93.48</v>
      </c>
      <c r="V29">
        <v>100</v>
      </c>
      <c r="W29" t="s">
        <v>44</v>
      </c>
      <c r="X29">
        <v>9.5</v>
      </c>
      <c r="Y29">
        <v>95</v>
      </c>
      <c r="Z29">
        <v>0.41</v>
      </c>
      <c r="AA29">
        <v>92</v>
      </c>
      <c r="AB29">
        <v>1782747465</v>
      </c>
    </row>
    <row r="30" spans="1:28" x14ac:dyDescent="0.25">
      <c r="A30" t="s">
        <v>147</v>
      </c>
      <c r="B30" t="s">
        <v>148</v>
      </c>
      <c r="C30">
        <v>4</v>
      </c>
      <c r="D30" t="s">
        <v>40</v>
      </c>
      <c r="E30" s="3">
        <v>92</v>
      </c>
      <c r="F30" s="3"/>
      <c r="G30" s="3">
        <f t="shared" si="3"/>
        <v>86.432500000000005</v>
      </c>
      <c r="H30" s="3">
        <v>64.162499999999994</v>
      </c>
      <c r="I30" s="3"/>
      <c r="J30" s="3"/>
      <c r="K30" s="2">
        <f t="shared" si="0"/>
        <v>16.73</v>
      </c>
      <c r="L30" s="2" t="str">
        <f t="shared" si="1"/>
        <v>E</v>
      </c>
      <c r="M30" t="str">
        <f t="shared" si="2"/>
        <v>0</v>
      </c>
      <c r="N30" t="s">
        <v>149</v>
      </c>
      <c r="O30">
        <v>24060124140133</v>
      </c>
      <c r="P30" t="s">
        <v>150</v>
      </c>
      <c r="S30" t="s">
        <v>151</v>
      </c>
      <c r="T30">
        <v>25</v>
      </c>
      <c r="U30">
        <v>65.94</v>
      </c>
      <c r="V30">
        <v>85.71</v>
      </c>
      <c r="W30" t="s">
        <v>44</v>
      </c>
      <c r="X30">
        <v>8</v>
      </c>
      <c r="Y30">
        <v>80</v>
      </c>
      <c r="Z30">
        <v>9.2799999999999994</v>
      </c>
      <c r="AA30">
        <v>92</v>
      </c>
      <c r="AB30">
        <v>1782747465</v>
      </c>
    </row>
    <row r="31" spans="1:28" x14ac:dyDescent="0.25">
      <c r="A31" t="s">
        <v>152</v>
      </c>
      <c r="B31" t="s">
        <v>153</v>
      </c>
      <c r="C31">
        <v>4</v>
      </c>
      <c r="D31" t="s">
        <v>40</v>
      </c>
      <c r="E31" s="3">
        <v>67</v>
      </c>
      <c r="F31" s="3"/>
      <c r="G31" s="3">
        <f t="shared" si="3"/>
        <v>69.826999999999998</v>
      </c>
      <c r="H31" s="3">
        <v>81.135000000000005</v>
      </c>
      <c r="I31" s="3"/>
      <c r="J31" s="3"/>
      <c r="K31" s="2">
        <f t="shared" si="0"/>
        <v>14.25</v>
      </c>
      <c r="L31" s="2" t="str">
        <f t="shared" si="1"/>
        <v>E</v>
      </c>
      <c r="M31" t="str">
        <f t="shared" si="2"/>
        <v>0</v>
      </c>
      <c r="N31" t="s">
        <v>154</v>
      </c>
      <c r="O31">
        <v>24060124140150</v>
      </c>
      <c r="P31" t="s">
        <v>155</v>
      </c>
      <c r="S31" t="s">
        <v>156</v>
      </c>
      <c r="T31">
        <v>83.33</v>
      </c>
      <c r="U31">
        <v>84.78</v>
      </c>
      <c r="V31">
        <v>71.430000000000007</v>
      </c>
      <c r="W31" t="s">
        <v>44</v>
      </c>
      <c r="X31">
        <v>9.5</v>
      </c>
      <c r="Y31">
        <v>85</v>
      </c>
      <c r="Z31">
        <v>8.59</v>
      </c>
      <c r="AA31">
        <v>67</v>
      </c>
      <c r="AB31">
        <v>1782747465</v>
      </c>
    </row>
    <row r="32" spans="1:28" x14ac:dyDescent="0.25">
      <c r="A32" t="s">
        <v>157</v>
      </c>
      <c r="B32" t="s">
        <v>158</v>
      </c>
      <c r="C32">
        <v>4</v>
      </c>
      <c r="D32" t="s">
        <v>40</v>
      </c>
      <c r="E32" s="3">
        <v>84</v>
      </c>
      <c r="F32" s="3"/>
      <c r="G32" s="3">
        <f t="shared" si="3"/>
        <v>80.539500000000004</v>
      </c>
      <c r="H32" s="3">
        <v>66.697500000000005</v>
      </c>
      <c r="I32" s="3"/>
      <c r="J32" s="3"/>
      <c r="K32" s="2">
        <f t="shared" si="0"/>
        <v>15.76</v>
      </c>
      <c r="L32" s="2" t="str">
        <f t="shared" si="1"/>
        <v>E</v>
      </c>
      <c r="M32" t="str">
        <f t="shared" si="2"/>
        <v>0</v>
      </c>
      <c r="N32" t="s">
        <v>159</v>
      </c>
      <c r="O32">
        <v>24060124140164</v>
      </c>
      <c r="P32" t="s">
        <v>160</v>
      </c>
      <c r="S32" t="s">
        <v>161</v>
      </c>
      <c r="T32">
        <v>50</v>
      </c>
      <c r="U32">
        <v>75.36</v>
      </c>
      <c r="V32">
        <v>71.430000000000007</v>
      </c>
      <c r="W32" t="s">
        <v>44</v>
      </c>
      <c r="X32">
        <v>10</v>
      </c>
      <c r="Y32">
        <v>70</v>
      </c>
      <c r="Z32" t="s">
        <v>44</v>
      </c>
      <c r="AA32">
        <v>84</v>
      </c>
      <c r="AB32">
        <v>1782747465</v>
      </c>
    </row>
    <row r="33" spans="1:28" x14ac:dyDescent="0.25">
      <c r="A33" t="s">
        <v>162</v>
      </c>
      <c r="B33" t="s">
        <v>163</v>
      </c>
      <c r="C33">
        <v>4</v>
      </c>
      <c r="D33" t="s">
        <v>40</v>
      </c>
      <c r="E33" s="3">
        <v>86.17</v>
      </c>
      <c r="F33" s="3"/>
      <c r="G33" s="3">
        <f t="shared" si="3"/>
        <v>72.436000000000007</v>
      </c>
      <c r="H33" s="3">
        <v>17.5</v>
      </c>
      <c r="I33" s="3"/>
      <c r="J33" s="3"/>
      <c r="K33" s="2">
        <f t="shared" si="0"/>
        <v>13.11</v>
      </c>
      <c r="L33" s="2" t="str">
        <f t="shared" si="1"/>
        <v>E</v>
      </c>
      <c r="M33" t="str">
        <f t="shared" si="2"/>
        <v>0</v>
      </c>
      <c r="N33" t="s">
        <v>164</v>
      </c>
      <c r="O33">
        <v>24060124140197</v>
      </c>
      <c r="P33" t="s">
        <v>165</v>
      </c>
      <c r="S33" t="s">
        <v>166</v>
      </c>
      <c r="T33">
        <v>50</v>
      </c>
      <c r="U33" t="s">
        <v>44</v>
      </c>
      <c r="V33" t="s">
        <v>44</v>
      </c>
      <c r="W33" t="s">
        <v>44</v>
      </c>
      <c r="X33">
        <v>7</v>
      </c>
      <c r="Y33">
        <v>20</v>
      </c>
      <c r="Z33" t="s">
        <v>44</v>
      </c>
      <c r="AA33">
        <v>86.17</v>
      </c>
      <c r="AB33">
        <v>1782747465</v>
      </c>
    </row>
    <row r="34" spans="1:28" x14ac:dyDescent="0.25">
      <c r="A34" t="s">
        <v>167</v>
      </c>
      <c r="B34" t="s">
        <v>168</v>
      </c>
      <c r="C34">
        <v>4</v>
      </c>
      <c r="D34" t="s">
        <v>40</v>
      </c>
      <c r="E34" s="3">
        <v>96</v>
      </c>
      <c r="F34" s="3"/>
      <c r="G34" s="3">
        <f t="shared" si="3"/>
        <v>95.419000000000011</v>
      </c>
      <c r="H34" s="3">
        <v>93.094999999999999</v>
      </c>
      <c r="I34" s="3"/>
      <c r="J34" s="3"/>
      <c r="K34" s="2">
        <f t="shared" si="0"/>
        <v>19.03</v>
      </c>
      <c r="L34" s="2" t="str">
        <f t="shared" si="1"/>
        <v>E</v>
      </c>
      <c r="M34" t="str">
        <f t="shared" si="2"/>
        <v>0</v>
      </c>
      <c r="N34" t="s">
        <v>169</v>
      </c>
      <c r="O34">
        <v>24060124120008</v>
      </c>
      <c r="P34" t="s">
        <v>170</v>
      </c>
      <c r="S34" t="s">
        <v>171</v>
      </c>
      <c r="T34">
        <v>91.67</v>
      </c>
      <c r="U34">
        <v>100</v>
      </c>
      <c r="V34">
        <v>85.71</v>
      </c>
      <c r="W34" t="s">
        <v>44</v>
      </c>
      <c r="X34">
        <v>9.5</v>
      </c>
      <c r="Y34">
        <v>95</v>
      </c>
      <c r="Z34" t="s">
        <v>44</v>
      </c>
      <c r="AA34">
        <v>96</v>
      </c>
      <c r="AB34">
        <v>1782747465</v>
      </c>
    </row>
    <row r="35" spans="1:28" x14ac:dyDescent="0.25">
      <c r="A35" t="s">
        <v>172</v>
      </c>
      <c r="B35" t="s">
        <v>173</v>
      </c>
      <c r="C35">
        <v>4</v>
      </c>
      <c r="D35" t="s">
        <v>40</v>
      </c>
      <c r="E35" s="3">
        <v>96</v>
      </c>
      <c r="F35" s="3"/>
      <c r="G35" s="3">
        <f t="shared" si="3"/>
        <v>95.321500000000015</v>
      </c>
      <c r="H35" s="3">
        <v>92.607500000000002</v>
      </c>
      <c r="I35" s="3"/>
      <c r="J35" s="3"/>
      <c r="K35" s="2">
        <f t="shared" si="0"/>
        <v>19</v>
      </c>
      <c r="L35" s="2" t="str">
        <f t="shared" si="1"/>
        <v>E</v>
      </c>
      <c r="M35" t="str">
        <f t="shared" si="2"/>
        <v>0</v>
      </c>
      <c r="N35" t="s">
        <v>174</v>
      </c>
      <c r="O35">
        <v>24060124120030</v>
      </c>
      <c r="P35" t="s">
        <v>175</v>
      </c>
      <c r="S35" t="s">
        <v>176</v>
      </c>
      <c r="T35">
        <v>83.33</v>
      </c>
      <c r="U35">
        <v>97.1</v>
      </c>
      <c r="V35">
        <v>100</v>
      </c>
      <c r="W35" t="s">
        <v>44</v>
      </c>
      <c r="X35">
        <v>9</v>
      </c>
      <c r="Y35">
        <v>90</v>
      </c>
      <c r="Z35" t="s">
        <v>44</v>
      </c>
      <c r="AA35">
        <v>96</v>
      </c>
      <c r="AB35">
        <v>1782747465</v>
      </c>
    </row>
    <row r="36" spans="1:28" x14ac:dyDescent="0.25">
      <c r="A36" t="s">
        <v>177</v>
      </c>
      <c r="B36" t="s">
        <v>178</v>
      </c>
      <c r="C36">
        <v>4</v>
      </c>
      <c r="D36" t="s">
        <v>40</v>
      </c>
      <c r="E36" s="3">
        <v>95</v>
      </c>
      <c r="F36" s="3"/>
      <c r="G36" s="3">
        <f t="shared" si="3"/>
        <v>93.920500000000004</v>
      </c>
      <c r="H36" s="3">
        <v>89.602499999999992</v>
      </c>
      <c r="I36" s="3"/>
      <c r="J36" s="3"/>
      <c r="K36" s="2">
        <f t="shared" si="0"/>
        <v>18.68</v>
      </c>
      <c r="L36" s="2" t="str">
        <f t="shared" si="1"/>
        <v>E</v>
      </c>
      <c r="M36" t="str">
        <f t="shared" si="2"/>
        <v>0</v>
      </c>
      <c r="N36" t="s">
        <v>179</v>
      </c>
      <c r="O36">
        <v>24060124130072</v>
      </c>
      <c r="P36" t="s">
        <v>180</v>
      </c>
      <c r="S36" t="s">
        <v>181</v>
      </c>
      <c r="T36">
        <v>75</v>
      </c>
      <c r="U36">
        <v>88.41</v>
      </c>
      <c r="V36">
        <v>100</v>
      </c>
      <c r="W36" t="s">
        <v>44</v>
      </c>
      <c r="X36">
        <v>9.5</v>
      </c>
      <c r="Y36">
        <v>95</v>
      </c>
      <c r="Z36">
        <v>9.24</v>
      </c>
      <c r="AA36">
        <v>95</v>
      </c>
      <c r="AB36">
        <v>1782747465</v>
      </c>
    </row>
    <row r="37" spans="1:28" x14ac:dyDescent="0.25">
      <c r="A37" t="s">
        <v>182</v>
      </c>
      <c r="B37" t="s">
        <v>183</v>
      </c>
      <c r="C37">
        <v>4</v>
      </c>
      <c r="D37" t="s">
        <v>40</v>
      </c>
      <c r="E37" s="3">
        <v>86.67</v>
      </c>
      <c r="F37" s="3"/>
      <c r="G37" s="3">
        <f t="shared" si="3"/>
        <v>81.088499999999996</v>
      </c>
      <c r="H37" s="3">
        <v>58.762500000000003</v>
      </c>
      <c r="I37" s="3"/>
      <c r="J37" s="3"/>
      <c r="K37" s="2">
        <f t="shared" si="0"/>
        <v>15.66</v>
      </c>
      <c r="L37" s="2" t="str">
        <f t="shared" si="1"/>
        <v>E</v>
      </c>
      <c r="M37" t="str">
        <f t="shared" si="2"/>
        <v>0</v>
      </c>
      <c r="N37" t="s">
        <v>184</v>
      </c>
      <c r="O37">
        <v>24060124140186</v>
      </c>
      <c r="P37" t="s">
        <v>185</v>
      </c>
      <c r="S37" t="s">
        <v>186</v>
      </c>
      <c r="T37">
        <v>25</v>
      </c>
      <c r="U37">
        <v>53.62</v>
      </c>
      <c r="V37">
        <v>71.430000000000007</v>
      </c>
      <c r="W37" t="s">
        <v>44</v>
      </c>
      <c r="X37">
        <v>8</v>
      </c>
      <c r="Y37">
        <v>85</v>
      </c>
      <c r="Z37" t="s">
        <v>44</v>
      </c>
      <c r="AA37">
        <v>86.67</v>
      </c>
      <c r="AB37">
        <v>1782747465</v>
      </c>
    </row>
    <row r="38" spans="1:28" x14ac:dyDescent="0.25">
      <c r="A38" t="s">
        <v>187</v>
      </c>
      <c r="B38" t="s">
        <v>188</v>
      </c>
      <c r="C38">
        <v>4</v>
      </c>
      <c r="D38" t="s">
        <v>40</v>
      </c>
      <c r="E38" s="3">
        <v>92.33</v>
      </c>
      <c r="F38" s="3"/>
      <c r="G38" s="3">
        <f t="shared" si="3"/>
        <v>90.48</v>
      </c>
      <c r="H38" s="3">
        <v>83.08</v>
      </c>
      <c r="I38" s="3"/>
      <c r="J38" s="3"/>
      <c r="K38" s="2">
        <f t="shared" si="0"/>
        <v>17.91</v>
      </c>
      <c r="L38" s="2" t="str">
        <f t="shared" si="1"/>
        <v>E</v>
      </c>
      <c r="M38" t="str">
        <f t="shared" si="2"/>
        <v>0</v>
      </c>
      <c r="N38" t="s">
        <v>189</v>
      </c>
      <c r="O38">
        <v>24060124140126</v>
      </c>
      <c r="P38" t="s">
        <v>190</v>
      </c>
      <c r="S38" t="s">
        <v>191</v>
      </c>
      <c r="T38">
        <v>75</v>
      </c>
      <c r="U38">
        <v>62.32</v>
      </c>
      <c r="V38">
        <v>100</v>
      </c>
      <c r="W38" t="s">
        <v>44</v>
      </c>
      <c r="X38">
        <v>9.5</v>
      </c>
      <c r="Y38">
        <v>95</v>
      </c>
      <c r="Z38">
        <v>0.1</v>
      </c>
      <c r="AA38">
        <v>92.33</v>
      </c>
      <c r="AB38">
        <v>1782747465</v>
      </c>
    </row>
    <row r="39" spans="1:28" x14ac:dyDescent="0.25">
      <c r="A39" t="s">
        <v>192</v>
      </c>
      <c r="B39" t="s">
        <v>193</v>
      </c>
      <c r="C39">
        <v>4</v>
      </c>
      <c r="D39" t="s">
        <v>40</v>
      </c>
      <c r="E39" s="3">
        <v>81</v>
      </c>
      <c r="F39" s="3"/>
      <c r="G39" s="3">
        <f t="shared" si="3"/>
        <v>73.48</v>
      </c>
      <c r="H39" s="3">
        <v>43.400000000000006</v>
      </c>
      <c r="I39" s="3"/>
      <c r="J39" s="3"/>
      <c r="K39" s="2">
        <f t="shared" si="0"/>
        <v>13.94</v>
      </c>
      <c r="L39" s="2" t="str">
        <f t="shared" si="1"/>
        <v>E</v>
      </c>
      <c r="M39" t="str">
        <f t="shared" si="2"/>
        <v>0</v>
      </c>
      <c r="N39" t="s">
        <v>194</v>
      </c>
      <c r="O39">
        <v>24060124140170</v>
      </c>
      <c r="P39" t="s">
        <v>195</v>
      </c>
      <c r="S39" t="s">
        <v>196</v>
      </c>
      <c r="T39">
        <v>25</v>
      </c>
      <c r="U39">
        <v>52.17</v>
      </c>
      <c r="V39">
        <v>71.430000000000007</v>
      </c>
      <c r="W39" t="s">
        <v>44</v>
      </c>
      <c r="X39">
        <v>5.5</v>
      </c>
      <c r="Y39">
        <v>25</v>
      </c>
      <c r="Z39">
        <v>1.24</v>
      </c>
      <c r="AA39">
        <v>81</v>
      </c>
      <c r="AB39">
        <v>1782747465</v>
      </c>
    </row>
    <row r="40" spans="1:28" x14ac:dyDescent="0.25">
      <c r="A40" t="s">
        <v>197</v>
      </c>
      <c r="B40" t="s">
        <v>198</v>
      </c>
      <c r="C40">
        <v>4</v>
      </c>
      <c r="D40" t="s">
        <v>40</v>
      </c>
      <c r="E40" s="3">
        <v>96</v>
      </c>
      <c r="F40" s="3"/>
      <c r="G40" s="3">
        <f t="shared" si="3"/>
        <v>95.00200000000001</v>
      </c>
      <c r="H40" s="3">
        <v>91.009999999999991</v>
      </c>
      <c r="I40" s="3"/>
      <c r="J40" s="3"/>
      <c r="K40" s="2">
        <f t="shared" si="0"/>
        <v>18.899999999999999</v>
      </c>
      <c r="L40" s="2" t="str">
        <f t="shared" si="1"/>
        <v>E</v>
      </c>
      <c r="M40" t="str">
        <f t="shared" si="2"/>
        <v>0</v>
      </c>
      <c r="N40" t="s">
        <v>199</v>
      </c>
      <c r="O40">
        <v>24060124140174</v>
      </c>
      <c r="P40" t="s">
        <v>200</v>
      </c>
      <c r="S40" t="s">
        <v>201</v>
      </c>
      <c r="T40">
        <v>83.33</v>
      </c>
      <c r="U40">
        <v>100</v>
      </c>
      <c r="V40">
        <v>85.71</v>
      </c>
      <c r="W40" t="s">
        <v>44</v>
      </c>
      <c r="X40">
        <v>8.5</v>
      </c>
      <c r="Y40">
        <v>95</v>
      </c>
      <c r="Z40" t="s">
        <v>44</v>
      </c>
      <c r="AA40">
        <v>96</v>
      </c>
      <c r="AB40">
        <v>1782747465</v>
      </c>
    </row>
    <row r="41" spans="1:28" x14ac:dyDescent="0.25">
      <c r="A41" t="s">
        <v>202</v>
      </c>
      <c r="B41" t="s">
        <v>203</v>
      </c>
      <c r="C41">
        <v>4</v>
      </c>
      <c r="D41" t="s">
        <v>40</v>
      </c>
      <c r="E41" s="3">
        <v>97</v>
      </c>
      <c r="F41" s="3"/>
      <c r="G41" s="3">
        <f t="shared" si="3"/>
        <v>92.426000000000016</v>
      </c>
      <c r="H41" s="3">
        <v>74.13</v>
      </c>
      <c r="I41" s="3"/>
      <c r="J41" s="3"/>
      <c r="K41" s="2">
        <f t="shared" si="0"/>
        <v>18.03</v>
      </c>
      <c r="L41" s="2" t="str">
        <f t="shared" si="1"/>
        <v>E</v>
      </c>
      <c r="M41" t="str">
        <f t="shared" si="2"/>
        <v>0</v>
      </c>
      <c r="N41" t="s">
        <v>204</v>
      </c>
      <c r="O41">
        <v>24060124120051</v>
      </c>
      <c r="P41" t="s">
        <v>205</v>
      </c>
      <c r="S41" t="s">
        <v>206</v>
      </c>
      <c r="T41">
        <v>50</v>
      </c>
      <c r="U41">
        <v>56.52</v>
      </c>
      <c r="V41">
        <v>100</v>
      </c>
      <c r="W41" t="s">
        <v>44</v>
      </c>
      <c r="X41">
        <v>8.5</v>
      </c>
      <c r="Y41">
        <v>90</v>
      </c>
      <c r="Z41">
        <v>9.48</v>
      </c>
      <c r="AA41">
        <v>97</v>
      </c>
      <c r="AB41">
        <v>1782747465</v>
      </c>
    </row>
    <row r="42" spans="1:28" x14ac:dyDescent="0.25">
      <c r="A42" t="s">
        <v>207</v>
      </c>
      <c r="B42" t="s">
        <v>208</v>
      </c>
      <c r="C42">
        <v>4</v>
      </c>
      <c r="D42" t="s">
        <v>40</v>
      </c>
      <c r="E42" s="3">
        <v>95</v>
      </c>
      <c r="F42" s="3"/>
      <c r="G42" s="3">
        <f t="shared" si="3"/>
        <v>90.712999999999994</v>
      </c>
      <c r="H42" s="3">
        <v>73.564999999999998</v>
      </c>
      <c r="I42" s="3"/>
      <c r="J42" s="3"/>
      <c r="K42" s="2">
        <f t="shared" si="0"/>
        <v>17.71</v>
      </c>
      <c r="L42" s="2" t="str">
        <f t="shared" si="1"/>
        <v>E</v>
      </c>
      <c r="M42" t="str">
        <f t="shared" si="2"/>
        <v>0</v>
      </c>
      <c r="N42" t="s">
        <v>209</v>
      </c>
      <c r="O42">
        <v>24060124130118</v>
      </c>
      <c r="P42" t="s">
        <v>210</v>
      </c>
      <c r="S42" t="s">
        <v>211</v>
      </c>
      <c r="T42">
        <v>41.67</v>
      </c>
      <c r="U42">
        <v>81.88</v>
      </c>
      <c r="V42">
        <v>85.71</v>
      </c>
      <c r="W42" t="s">
        <v>44</v>
      </c>
      <c r="X42">
        <v>9.5</v>
      </c>
      <c r="Y42">
        <v>85</v>
      </c>
      <c r="Z42">
        <v>9.3800000000000008</v>
      </c>
      <c r="AA42">
        <v>95</v>
      </c>
      <c r="AB42">
        <v>1782747465</v>
      </c>
    </row>
    <row r="43" spans="1:28" x14ac:dyDescent="0.25">
      <c r="A43" t="s">
        <v>212</v>
      </c>
      <c r="B43" t="s">
        <v>213</v>
      </c>
      <c r="C43">
        <v>4</v>
      </c>
      <c r="D43" t="s">
        <v>40</v>
      </c>
      <c r="E43" s="3">
        <v>91</v>
      </c>
      <c r="F43" s="3"/>
      <c r="G43" s="3">
        <f t="shared" si="3"/>
        <v>85.947500000000005</v>
      </c>
      <c r="H43" s="3">
        <v>65.737500000000011</v>
      </c>
      <c r="I43" s="3"/>
      <c r="J43" s="3"/>
      <c r="K43" s="2">
        <f t="shared" si="0"/>
        <v>16.68</v>
      </c>
      <c r="L43" s="2" t="str">
        <f t="shared" si="1"/>
        <v>E</v>
      </c>
      <c r="M43" t="str">
        <f t="shared" si="2"/>
        <v>0</v>
      </c>
      <c r="N43" t="s">
        <v>214</v>
      </c>
      <c r="O43">
        <v>24060124140130</v>
      </c>
      <c r="P43" t="s">
        <v>215</v>
      </c>
      <c r="S43" t="s">
        <v>216</v>
      </c>
      <c r="T43">
        <v>75</v>
      </c>
      <c r="U43">
        <v>56.52</v>
      </c>
      <c r="V43">
        <v>71.430000000000007</v>
      </c>
      <c r="W43" t="s">
        <v>44</v>
      </c>
      <c r="X43">
        <v>10</v>
      </c>
      <c r="Y43">
        <v>60</v>
      </c>
      <c r="Z43">
        <v>7.63</v>
      </c>
      <c r="AA43">
        <v>91</v>
      </c>
      <c r="AB43">
        <v>1782747465</v>
      </c>
    </row>
    <row r="44" spans="1:28" x14ac:dyDescent="0.25">
      <c r="A44" t="s">
        <v>217</v>
      </c>
      <c r="B44" t="s">
        <v>218</v>
      </c>
      <c r="C44">
        <v>4</v>
      </c>
      <c r="D44" t="s">
        <v>40</v>
      </c>
      <c r="E44" s="3">
        <v>91</v>
      </c>
      <c r="F44" s="3"/>
      <c r="G44" s="3">
        <f t="shared" si="3"/>
        <v>85.994</v>
      </c>
      <c r="H44" s="3">
        <v>65.97</v>
      </c>
      <c r="I44" s="3"/>
      <c r="J44" s="3"/>
      <c r="K44" s="2">
        <f t="shared" si="0"/>
        <v>16.7</v>
      </c>
      <c r="L44" s="2" t="str">
        <f t="shared" si="1"/>
        <v>E</v>
      </c>
      <c r="M44" t="str">
        <f t="shared" si="2"/>
        <v>0</v>
      </c>
      <c r="N44" t="s">
        <v>219</v>
      </c>
      <c r="O44">
        <v>24060124140149</v>
      </c>
      <c r="P44" t="s">
        <v>220</v>
      </c>
      <c r="S44" t="s">
        <v>221</v>
      </c>
      <c r="T44">
        <v>58.33</v>
      </c>
      <c r="U44">
        <v>88.41</v>
      </c>
      <c r="V44">
        <v>57.14</v>
      </c>
      <c r="W44" t="s">
        <v>44</v>
      </c>
      <c r="X44">
        <v>9.5</v>
      </c>
      <c r="Y44">
        <v>60</v>
      </c>
      <c r="Z44">
        <v>9</v>
      </c>
      <c r="AA44">
        <v>91</v>
      </c>
      <c r="AB44">
        <v>1782747465</v>
      </c>
    </row>
    <row r="45" spans="1:28" x14ac:dyDescent="0.25">
      <c r="A45" t="s">
        <v>222</v>
      </c>
      <c r="B45" t="s">
        <v>223</v>
      </c>
      <c r="C45">
        <v>4</v>
      </c>
      <c r="D45" t="s">
        <v>40</v>
      </c>
      <c r="E45" s="3">
        <v>99</v>
      </c>
      <c r="F45" s="3"/>
      <c r="G45" s="3">
        <f t="shared" si="3"/>
        <v>97.319000000000003</v>
      </c>
      <c r="H45" s="3">
        <v>90.594999999999999</v>
      </c>
      <c r="I45" s="3"/>
      <c r="J45" s="3"/>
      <c r="K45" s="2">
        <f t="shared" si="0"/>
        <v>19.3</v>
      </c>
      <c r="L45" s="2" t="str">
        <f t="shared" si="1"/>
        <v>E</v>
      </c>
      <c r="M45" t="str">
        <f t="shared" si="2"/>
        <v>0</v>
      </c>
      <c r="N45" t="s">
        <v>224</v>
      </c>
      <c r="O45">
        <v>24060124140165</v>
      </c>
      <c r="P45" t="s">
        <v>225</v>
      </c>
      <c r="S45" t="s">
        <v>226</v>
      </c>
      <c r="T45">
        <v>91.67</v>
      </c>
      <c r="U45">
        <v>100</v>
      </c>
      <c r="V45">
        <v>85.71</v>
      </c>
      <c r="W45" t="s">
        <v>44</v>
      </c>
      <c r="X45">
        <v>10</v>
      </c>
      <c r="Y45">
        <v>85</v>
      </c>
      <c r="Z45">
        <v>9.9</v>
      </c>
      <c r="AA45">
        <v>99</v>
      </c>
      <c r="AB45">
        <v>1782747465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1017-4479-4C21-8418-E592C04D262C}">
  <dimension ref="A7:K45"/>
  <sheetViews>
    <sheetView topLeftCell="A29" workbookViewId="0">
      <selection activeCell="K8" sqref="K8:K45"/>
    </sheetView>
  </sheetViews>
  <sheetFormatPr defaultRowHeight="15" x14ac:dyDescent="0.25"/>
  <sheetData>
    <row r="7" spans="1:11" x14ac:dyDescent="0.25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31</v>
      </c>
      <c r="J7" t="s">
        <v>34</v>
      </c>
    </row>
    <row r="8" spans="1:11" x14ac:dyDescent="0.25">
      <c r="A8" t="s">
        <v>41</v>
      </c>
      <c r="B8">
        <v>24060124140160</v>
      </c>
      <c r="C8" t="s">
        <v>42</v>
      </c>
      <c r="F8" t="s">
        <v>43</v>
      </c>
      <c r="G8">
        <v>58.33</v>
      </c>
      <c r="H8">
        <v>72.099999999999994</v>
      </c>
      <c r="I8">
        <v>71.430000000000007</v>
      </c>
      <c r="J8">
        <v>70</v>
      </c>
      <c r="K8">
        <f>SUM(G8:J8)/4</f>
        <v>67.965000000000003</v>
      </c>
    </row>
    <row r="9" spans="1:11" x14ac:dyDescent="0.25">
      <c r="A9" t="s">
        <v>47</v>
      </c>
      <c r="B9">
        <v>24060124140161</v>
      </c>
      <c r="C9" t="s">
        <v>48</v>
      </c>
      <c r="F9" t="s">
        <v>49</v>
      </c>
      <c r="G9">
        <v>50</v>
      </c>
      <c r="H9">
        <v>88.41</v>
      </c>
      <c r="I9">
        <v>57.14</v>
      </c>
      <c r="J9">
        <v>80</v>
      </c>
      <c r="K9">
        <f>SUM(G9:J9)/4</f>
        <v>68.887500000000003</v>
      </c>
    </row>
    <row r="10" spans="1:11" x14ac:dyDescent="0.25">
      <c r="K10">
        <f t="shared" ref="K10:K45" si="0">SUM(G10:J10)/4</f>
        <v>0</v>
      </c>
    </row>
    <row r="11" spans="1:11" x14ac:dyDescent="0.25">
      <c r="A11" t="s">
        <v>54</v>
      </c>
      <c r="B11">
        <v>24060124130065</v>
      </c>
      <c r="C11" t="s">
        <v>55</v>
      </c>
      <c r="F11" t="s">
        <v>56</v>
      </c>
      <c r="G11">
        <v>83.33</v>
      </c>
      <c r="H11">
        <v>94.93</v>
      </c>
      <c r="I11">
        <v>85.71</v>
      </c>
      <c r="J11">
        <v>100</v>
      </c>
      <c r="K11">
        <f t="shared" si="0"/>
        <v>90.992499999999993</v>
      </c>
    </row>
    <row r="12" spans="1:11" x14ac:dyDescent="0.25">
      <c r="A12" t="s">
        <v>59</v>
      </c>
      <c r="B12">
        <v>24060124140145</v>
      </c>
      <c r="C12" t="s">
        <v>60</v>
      </c>
      <c r="F12" t="s">
        <v>61</v>
      </c>
      <c r="G12">
        <v>50</v>
      </c>
      <c r="H12">
        <v>79.709999999999994</v>
      </c>
      <c r="I12">
        <v>100</v>
      </c>
      <c r="J12">
        <v>95</v>
      </c>
      <c r="K12">
        <f t="shared" si="0"/>
        <v>81.177499999999995</v>
      </c>
    </row>
    <row r="13" spans="1:11" x14ac:dyDescent="0.25">
      <c r="A13" t="s">
        <v>64</v>
      </c>
      <c r="B13">
        <v>24060124140171</v>
      </c>
      <c r="C13" t="s">
        <v>65</v>
      </c>
      <c r="F13" t="s">
        <v>66</v>
      </c>
      <c r="G13">
        <v>33.33</v>
      </c>
      <c r="H13">
        <v>34.78</v>
      </c>
      <c r="I13">
        <v>57.14</v>
      </c>
      <c r="J13">
        <v>100</v>
      </c>
      <c r="K13">
        <f t="shared" si="0"/>
        <v>56.3125</v>
      </c>
    </row>
    <row r="14" spans="1:11" x14ac:dyDescent="0.25">
      <c r="A14" t="s">
        <v>69</v>
      </c>
      <c r="B14">
        <v>24060124130054</v>
      </c>
      <c r="C14" t="s">
        <v>70</v>
      </c>
      <c r="F14" t="s">
        <v>71</v>
      </c>
      <c r="G14">
        <v>91.67</v>
      </c>
      <c r="H14">
        <v>86.96</v>
      </c>
      <c r="I14">
        <v>57.14</v>
      </c>
      <c r="J14">
        <v>90</v>
      </c>
      <c r="K14">
        <f t="shared" si="0"/>
        <v>81.442499999999995</v>
      </c>
    </row>
    <row r="15" spans="1:11" x14ac:dyDescent="0.25">
      <c r="A15" t="s">
        <v>74</v>
      </c>
      <c r="B15">
        <v>24060124130092</v>
      </c>
      <c r="C15" t="s">
        <v>75</v>
      </c>
      <c r="F15" t="s">
        <v>76</v>
      </c>
      <c r="G15">
        <v>83.33</v>
      </c>
      <c r="H15">
        <v>89.13</v>
      </c>
      <c r="I15">
        <v>85.71</v>
      </c>
      <c r="J15">
        <v>80</v>
      </c>
      <c r="K15">
        <f t="shared" si="0"/>
        <v>84.54249999999999</v>
      </c>
    </row>
    <row r="16" spans="1:11" x14ac:dyDescent="0.25">
      <c r="A16" t="s">
        <v>79</v>
      </c>
      <c r="B16">
        <v>24060124130095</v>
      </c>
      <c r="C16" t="s">
        <v>80</v>
      </c>
      <c r="F16" t="s">
        <v>81</v>
      </c>
      <c r="G16">
        <v>75</v>
      </c>
      <c r="H16">
        <v>91.3</v>
      </c>
      <c r="I16">
        <v>42.86</v>
      </c>
      <c r="J16">
        <v>100</v>
      </c>
      <c r="K16">
        <f t="shared" si="0"/>
        <v>77.290000000000006</v>
      </c>
    </row>
    <row r="17" spans="1:11" x14ac:dyDescent="0.25">
      <c r="A17" t="s">
        <v>84</v>
      </c>
      <c r="B17">
        <v>24060124140172</v>
      </c>
      <c r="C17" t="s">
        <v>85</v>
      </c>
      <c r="F17" t="s">
        <v>86</v>
      </c>
      <c r="G17">
        <v>75</v>
      </c>
      <c r="H17">
        <v>62.32</v>
      </c>
      <c r="I17">
        <v>57.14</v>
      </c>
      <c r="J17" t="s">
        <v>44</v>
      </c>
      <c r="K17">
        <f t="shared" si="0"/>
        <v>48.614999999999995</v>
      </c>
    </row>
    <row r="18" spans="1:11" x14ac:dyDescent="0.25">
      <c r="A18" t="s">
        <v>89</v>
      </c>
      <c r="B18">
        <v>24060124140196</v>
      </c>
      <c r="C18" t="s">
        <v>90</v>
      </c>
      <c r="F18" t="s">
        <v>91</v>
      </c>
      <c r="G18">
        <v>66.67</v>
      </c>
      <c r="H18">
        <v>88.41</v>
      </c>
      <c r="I18">
        <v>28.57</v>
      </c>
      <c r="J18">
        <v>70</v>
      </c>
      <c r="K18">
        <f t="shared" si="0"/>
        <v>63.412499999999994</v>
      </c>
    </row>
    <row r="19" spans="1:11" x14ac:dyDescent="0.25">
      <c r="A19" t="s">
        <v>94</v>
      </c>
      <c r="B19">
        <v>24060124120036</v>
      </c>
      <c r="C19" t="s">
        <v>95</v>
      </c>
      <c r="F19" t="s">
        <v>96</v>
      </c>
      <c r="G19">
        <v>83.33</v>
      </c>
      <c r="H19">
        <v>80.430000000000007</v>
      </c>
      <c r="I19">
        <v>71.430000000000007</v>
      </c>
      <c r="J19">
        <v>50</v>
      </c>
      <c r="K19">
        <f t="shared" si="0"/>
        <v>71.297499999999999</v>
      </c>
    </row>
    <row r="20" spans="1:11" x14ac:dyDescent="0.25">
      <c r="A20" t="s">
        <v>99</v>
      </c>
      <c r="B20">
        <v>24060124140138</v>
      </c>
      <c r="C20" t="s">
        <v>100</v>
      </c>
      <c r="F20" t="s">
        <v>101</v>
      </c>
      <c r="G20">
        <v>58.33</v>
      </c>
      <c r="H20">
        <v>63.77</v>
      </c>
      <c r="I20">
        <v>42.86</v>
      </c>
      <c r="J20">
        <v>70</v>
      </c>
      <c r="K20">
        <f t="shared" si="0"/>
        <v>58.739999999999995</v>
      </c>
    </row>
    <row r="21" spans="1:11" x14ac:dyDescent="0.25">
      <c r="A21" t="s">
        <v>104</v>
      </c>
      <c r="B21">
        <v>24060124140190</v>
      </c>
      <c r="C21" t="s">
        <v>105</v>
      </c>
      <c r="F21" t="s">
        <v>106</v>
      </c>
      <c r="G21">
        <v>83.33</v>
      </c>
      <c r="H21">
        <v>52.17</v>
      </c>
      <c r="I21">
        <v>42.86</v>
      </c>
      <c r="J21">
        <v>65</v>
      </c>
      <c r="K21">
        <f t="shared" si="0"/>
        <v>60.84</v>
      </c>
    </row>
    <row r="22" spans="1:11" x14ac:dyDescent="0.25">
      <c r="A22" t="s">
        <v>109</v>
      </c>
      <c r="B22">
        <v>24060124120004</v>
      </c>
      <c r="C22" t="s">
        <v>110</v>
      </c>
      <c r="F22" t="s">
        <v>111</v>
      </c>
      <c r="G22">
        <v>83.33</v>
      </c>
      <c r="H22">
        <v>76.81</v>
      </c>
      <c r="I22">
        <v>100</v>
      </c>
      <c r="J22">
        <v>100</v>
      </c>
      <c r="K22">
        <f t="shared" si="0"/>
        <v>90.034999999999997</v>
      </c>
    </row>
    <row r="23" spans="1:11" x14ac:dyDescent="0.25">
      <c r="A23" t="s">
        <v>114</v>
      </c>
      <c r="B23">
        <v>24060124120039</v>
      </c>
      <c r="C23" t="s">
        <v>115</v>
      </c>
      <c r="F23" t="s">
        <v>116</v>
      </c>
      <c r="G23">
        <v>50</v>
      </c>
      <c r="H23">
        <v>81.88</v>
      </c>
      <c r="I23">
        <v>85.71</v>
      </c>
      <c r="J23">
        <v>75</v>
      </c>
      <c r="K23">
        <f t="shared" si="0"/>
        <v>73.147499999999994</v>
      </c>
    </row>
    <row r="24" spans="1:11" x14ac:dyDescent="0.25">
      <c r="A24" t="s">
        <v>119</v>
      </c>
      <c r="B24">
        <v>24060124130119</v>
      </c>
      <c r="C24" t="s">
        <v>120</v>
      </c>
      <c r="F24" t="s">
        <v>121</v>
      </c>
      <c r="G24">
        <v>75</v>
      </c>
      <c r="H24">
        <v>53.62</v>
      </c>
      <c r="I24">
        <v>14.29</v>
      </c>
      <c r="J24" t="s">
        <v>44</v>
      </c>
      <c r="K24">
        <f t="shared" si="0"/>
        <v>35.727499999999999</v>
      </c>
    </row>
    <row r="25" spans="1:11" x14ac:dyDescent="0.25">
      <c r="A25" t="s">
        <v>124</v>
      </c>
      <c r="B25">
        <v>24060124140183</v>
      </c>
      <c r="C25" t="s">
        <v>125</v>
      </c>
      <c r="F25" t="s">
        <v>126</v>
      </c>
      <c r="G25">
        <v>41.67</v>
      </c>
      <c r="H25">
        <v>81.16</v>
      </c>
      <c r="I25">
        <v>57.14</v>
      </c>
      <c r="J25">
        <v>90</v>
      </c>
      <c r="K25">
        <f t="shared" si="0"/>
        <v>67.492500000000007</v>
      </c>
    </row>
    <row r="26" spans="1:11" x14ac:dyDescent="0.25">
      <c r="A26" t="s">
        <v>129</v>
      </c>
      <c r="B26">
        <v>24060124140202</v>
      </c>
      <c r="C26" t="s">
        <v>130</v>
      </c>
      <c r="F26" t="s">
        <v>131</v>
      </c>
      <c r="G26">
        <v>58.33</v>
      </c>
      <c r="H26">
        <v>86.23</v>
      </c>
      <c r="I26">
        <v>57.14</v>
      </c>
      <c r="J26">
        <v>95</v>
      </c>
      <c r="K26">
        <f t="shared" si="0"/>
        <v>74.174999999999997</v>
      </c>
    </row>
    <row r="27" spans="1:11" x14ac:dyDescent="0.25">
      <c r="A27" t="s">
        <v>134</v>
      </c>
      <c r="B27">
        <v>24060124130056</v>
      </c>
      <c r="C27" t="s">
        <v>135</v>
      </c>
      <c r="F27" t="s">
        <v>136</v>
      </c>
      <c r="G27">
        <v>50</v>
      </c>
      <c r="H27">
        <v>76.81</v>
      </c>
      <c r="I27">
        <v>85.71</v>
      </c>
      <c r="J27">
        <v>85</v>
      </c>
      <c r="K27">
        <f t="shared" si="0"/>
        <v>74.38</v>
      </c>
    </row>
    <row r="28" spans="1:11" x14ac:dyDescent="0.25">
      <c r="A28" t="s">
        <v>139</v>
      </c>
      <c r="B28">
        <v>24060124130075</v>
      </c>
      <c r="C28" t="s">
        <v>140</v>
      </c>
      <c r="F28" t="s">
        <v>141</v>
      </c>
      <c r="G28">
        <v>83.33</v>
      </c>
      <c r="H28">
        <v>65.22</v>
      </c>
      <c r="I28">
        <v>85.71</v>
      </c>
      <c r="J28">
        <v>70</v>
      </c>
      <c r="K28">
        <f t="shared" si="0"/>
        <v>76.064999999999998</v>
      </c>
    </row>
    <row r="29" spans="1:11" x14ac:dyDescent="0.25">
      <c r="A29" t="s">
        <v>144</v>
      </c>
      <c r="B29">
        <v>24060124130107</v>
      </c>
      <c r="C29" t="s">
        <v>145</v>
      </c>
      <c r="F29" t="s">
        <v>146</v>
      </c>
      <c r="G29">
        <v>58.33</v>
      </c>
      <c r="H29">
        <v>93.48</v>
      </c>
      <c r="I29">
        <v>100</v>
      </c>
      <c r="J29">
        <v>95</v>
      </c>
      <c r="K29">
        <f t="shared" si="0"/>
        <v>86.702500000000001</v>
      </c>
    </row>
    <row r="30" spans="1:11" x14ac:dyDescent="0.25">
      <c r="A30" t="s">
        <v>149</v>
      </c>
      <c r="B30">
        <v>24060124140133</v>
      </c>
      <c r="C30" t="s">
        <v>150</v>
      </c>
      <c r="F30" t="s">
        <v>151</v>
      </c>
      <c r="G30">
        <v>25</v>
      </c>
      <c r="H30">
        <v>65.94</v>
      </c>
      <c r="I30">
        <v>85.71</v>
      </c>
      <c r="J30">
        <v>80</v>
      </c>
      <c r="K30">
        <f t="shared" si="0"/>
        <v>64.162499999999994</v>
      </c>
    </row>
    <row r="31" spans="1:11" x14ac:dyDescent="0.25">
      <c r="A31" t="s">
        <v>154</v>
      </c>
      <c r="B31">
        <v>24060124140150</v>
      </c>
      <c r="C31" t="s">
        <v>155</v>
      </c>
      <c r="F31" t="s">
        <v>156</v>
      </c>
      <c r="G31">
        <v>83.33</v>
      </c>
      <c r="H31">
        <v>84.78</v>
      </c>
      <c r="I31">
        <v>71.430000000000007</v>
      </c>
      <c r="J31">
        <v>85</v>
      </c>
      <c r="K31">
        <f t="shared" si="0"/>
        <v>81.135000000000005</v>
      </c>
    </row>
    <row r="32" spans="1:11" x14ac:dyDescent="0.25">
      <c r="A32" t="s">
        <v>159</v>
      </c>
      <c r="B32">
        <v>24060124140164</v>
      </c>
      <c r="C32" t="s">
        <v>160</v>
      </c>
      <c r="F32" t="s">
        <v>161</v>
      </c>
      <c r="G32">
        <v>50</v>
      </c>
      <c r="H32">
        <v>75.36</v>
      </c>
      <c r="I32">
        <v>71.430000000000007</v>
      </c>
      <c r="J32">
        <v>70</v>
      </c>
      <c r="K32">
        <f t="shared" si="0"/>
        <v>66.697500000000005</v>
      </c>
    </row>
    <row r="33" spans="1:11" x14ac:dyDescent="0.25">
      <c r="A33" t="s">
        <v>164</v>
      </c>
      <c r="B33">
        <v>24060124140197</v>
      </c>
      <c r="C33" t="s">
        <v>165</v>
      </c>
      <c r="F33" t="s">
        <v>166</v>
      </c>
      <c r="G33">
        <v>50</v>
      </c>
      <c r="H33" t="s">
        <v>44</v>
      </c>
      <c r="I33" t="s">
        <v>44</v>
      </c>
      <c r="J33">
        <v>20</v>
      </c>
      <c r="K33">
        <f t="shared" si="0"/>
        <v>17.5</v>
      </c>
    </row>
    <row r="34" spans="1:11" x14ac:dyDescent="0.25">
      <c r="A34" t="s">
        <v>169</v>
      </c>
      <c r="B34">
        <v>24060124120008</v>
      </c>
      <c r="C34" t="s">
        <v>170</v>
      </c>
      <c r="F34" t="s">
        <v>171</v>
      </c>
      <c r="G34">
        <v>91.67</v>
      </c>
      <c r="H34">
        <v>100</v>
      </c>
      <c r="I34">
        <v>85.71</v>
      </c>
      <c r="J34">
        <v>95</v>
      </c>
      <c r="K34">
        <f t="shared" si="0"/>
        <v>93.094999999999999</v>
      </c>
    </row>
    <row r="35" spans="1:11" x14ac:dyDescent="0.25">
      <c r="A35" t="s">
        <v>174</v>
      </c>
      <c r="B35">
        <v>24060124120030</v>
      </c>
      <c r="C35" t="s">
        <v>175</v>
      </c>
      <c r="F35" t="s">
        <v>176</v>
      </c>
      <c r="G35">
        <v>83.33</v>
      </c>
      <c r="H35">
        <v>97.1</v>
      </c>
      <c r="I35">
        <v>100</v>
      </c>
      <c r="J35">
        <v>90</v>
      </c>
      <c r="K35">
        <f t="shared" si="0"/>
        <v>92.607500000000002</v>
      </c>
    </row>
    <row r="36" spans="1:11" x14ac:dyDescent="0.25">
      <c r="A36" t="s">
        <v>179</v>
      </c>
      <c r="B36">
        <v>24060124130072</v>
      </c>
      <c r="C36" t="s">
        <v>180</v>
      </c>
      <c r="F36" t="s">
        <v>181</v>
      </c>
      <c r="G36">
        <v>75</v>
      </c>
      <c r="H36">
        <v>88.41</v>
      </c>
      <c r="I36">
        <v>100</v>
      </c>
      <c r="J36">
        <v>95</v>
      </c>
      <c r="K36">
        <f t="shared" si="0"/>
        <v>89.602499999999992</v>
      </c>
    </row>
    <row r="37" spans="1:11" x14ac:dyDescent="0.25">
      <c r="A37" t="s">
        <v>184</v>
      </c>
      <c r="B37">
        <v>24060124140186</v>
      </c>
      <c r="C37" t="s">
        <v>185</v>
      </c>
      <c r="F37" t="s">
        <v>186</v>
      </c>
      <c r="G37">
        <v>25</v>
      </c>
      <c r="H37">
        <v>53.62</v>
      </c>
      <c r="I37">
        <v>71.430000000000007</v>
      </c>
      <c r="J37">
        <v>85</v>
      </c>
      <c r="K37">
        <f t="shared" si="0"/>
        <v>58.762500000000003</v>
      </c>
    </row>
    <row r="38" spans="1:11" x14ac:dyDescent="0.25">
      <c r="A38" t="s">
        <v>189</v>
      </c>
      <c r="B38">
        <v>24060124140126</v>
      </c>
      <c r="C38" t="s">
        <v>190</v>
      </c>
      <c r="F38" t="s">
        <v>191</v>
      </c>
      <c r="G38">
        <v>75</v>
      </c>
      <c r="H38">
        <v>62.32</v>
      </c>
      <c r="I38">
        <v>100</v>
      </c>
      <c r="J38">
        <v>95</v>
      </c>
      <c r="K38">
        <f t="shared" si="0"/>
        <v>83.08</v>
      </c>
    </row>
    <row r="39" spans="1:11" x14ac:dyDescent="0.25">
      <c r="A39" t="s">
        <v>194</v>
      </c>
      <c r="B39">
        <v>24060124140170</v>
      </c>
      <c r="C39" t="s">
        <v>195</v>
      </c>
      <c r="F39" t="s">
        <v>196</v>
      </c>
      <c r="G39">
        <v>25</v>
      </c>
      <c r="H39">
        <v>52.17</v>
      </c>
      <c r="I39">
        <v>71.430000000000007</v>
      </c>
      <c r="J39">
        <v>25</v>
      </c>
      <c r="K39">
        <f t="shared" si="0"/>
        <v>43.400000000000006</v>
      </c>
    </row>
    <row r="40" spans="1:11" x14ac:dyDescent="0.25">
      <c r="A40" t="s">
        <v>199</v>
      </c>
      <c r="B40">
        <v>24060124140174</v>
      </c>
      <c r="C40" t="s">
        <v>200</v>
      </c>
      <c r="F40" t="s">
        <v>201</v>
      </c>
      <c r="G40">
        <v>83.33</v>
      </c>
      <c r="H40">
        <v>100</v>
      </c>
      <c r="I40">
        <v>85.71</v>
      </c>
      <c r="J40">
        <v>95</v>
      </c>
      <c r="K40">
        <f t="shared" si="0"/>
        <v>91.009999999999991</v>
      </c>
    </row>
    <row r="41" spans="1:11" x14ac:dyDescent="0.25">
      <c r="A41" t="s">
        <v>204</v>
      </c>
      <c r="B41">
        <v>24060124120051</v>
      </c>
      <c r="C41" t="s">
        <v>205</v>
      </c>
      <c r="F41" t="s">
        <v>206</v>
      </c>
      <c r="G41">
        <v>50</v>
      </c>
      <c r="H41">
        <v>56.52</v>
      </c>
      <c r="I41">
        <v>100</v>
      </c>
      <c r="J41">
        <v>90</v>
      </c>
      <c r="K41">
        <f t="shared" si="0"/>
        <v>74.13</v>
      </c>
    </row>
    <row r="42" spans="1:11" x14ac:dyDescent="0.25">
      <c r="A42" t="s">
        <v>209</v>
      </c>
      <c r="B42">
        <v>24060124130118</v>
      </c>
      <c r="C42" t="s">
        <v>210</v>
      </c>
      <c r="F42" t="s">
        <v>211</v>
      </c>
      <c r="G42">
        <v>41.67</v>
      </c>
      <c r="H42">
        <v>81.88</v>
      </c>
      <c r="I42">
        <v>85.71</v>
      </c>
      <c r="J42">
        <v>85</v>
      </c>
      <c r="K42">
        <f t="shared" si="0"/>
        <v>73.564999999999998</v>
      </c>
    </row>
    <row r="43" spans="1:11" x14ac:dyDescent="0.25">
      <c r="A43" t="s">
        <v>214</v>
      </c>
      <c r="B43">
        <v>24060124140130</v>
      </c>
      <c r="C43" t="s">
        <v>215</v>
      </c>
      <c r="F43" t="s">
        <v>216</v>
      </c>
      <c r="G43">
        <v>75</v>
      </c>
      <c r="H43">
        <v>56.52</v>
      </c>
      <c r="I43">
        <v>71.430000000000007</v>
      </c>
      <c r="J43">
        <v>60</v>
      </c>
      <c r="K43">
        <f t="shared" si="0"/>
        <v>65.737500000000011</v>
      </c>
    </row>
    <row r="44" spans="1:11" x14ac:dyDescent="0.25">
      <c r="A44" t="s">
        <v>219</v>
      </c>
      <c r="B44">
        <v>24060124140149</v>
      </c>
      <c r="C44" t="s">
        <v>220</v>
      </c>
      <c r="F44" t="s">
        <v>221</v>
      </c>
      <c r="G44">
        <v>58.33</v>
      </c>
      <c r="H44">
        <v>88.41</v>
      </c>
      <c r="I44">
        <v>57.14</v>
      </c>
      <c r="J44">
        <v>60</v>
      </c>
      <c r="K44">
        <f t="shared" si="0"/>
        <v>65.97</v>
      </c>
    </row>
    <row r="45" spans="1:11" x14ac:dyDescent="0.25">
      <c r="A45" t="s">
        <v>224</v>
      </c>
      <c r="B45">
        <v>24060124140165</v>
      </c>
      <c r="C45" t="s">
        <v>225</v>
      </c>
      <c r="F45" t="s">
        <v>226</v>
      </c>
      <c r="G45">
        <v>91.67</v>
      </c>
      <c r="H45">
        <v>100</v>
      </c>
      <c r="I45">
        <v>85.71</v>
      </c>
      <c r="J45">
        <v>85</v>
      </c>
      <c r="K45">
        <f t="shared" si="0"/>
        <v>90.594999999999999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"/>
  <sheetViews>
    <sheetView workbookViewId="0"/>
  </sheetViews>
  <sheetFormatPr defaultRowHeight="15" x14ac:dyDescent="0.25"/>
  <sheetData>
    <row r="1" spans="1:1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</row>
    <row r="2" spans="1:15" x14ac:dyDescent="0.25">
      <c r="A2" t="s">
        <v>227</v>
      </c>
      <c r="B2">
        <v>24060121120026</v>
      </c>
      <c r="C2" t="s">
        <v>228</v>
      </c>
      <c r="F2" t="s">
        <v>229</v>
      </c>
      <c r="G2">
        <v>58.33</v>
      </c>
      <c r="H2">
        <v>94.2</v>
      </c>
      <c r="I2">
        <v>85.71</v>
      </c>
      <c r="J2" t="s">
        <v>44</v>
      </c>
      <c r="K2">
        <v>10</v>
      </c>
      <c r="L2">
        <v>95</v>
      </c>
      <c r="M2">
        <v>9.9</v>
      </c>
      <c r="N2">
        <v>99</v>
      </c>
      <c r="O2">
        <v>1782747465</v>
      </c>
    </row>
    <row r="3" spans="1:15" x14ac:dyDescent="0.25">
      <c r="A3" t="s">
        <v>230</v>
      </c>
      <c r="B3">
        <v>24060121130059</v>
      </c>
      <c r="C3" t="s">
        <v>231</v>
      </c>
      <c r="F3" t="s">
        <v>232</v>
      </c>
      <c r="G3" t="s">
        <v>44</v>
      </c>
      <c r="H3">
        <v>36.96</v>
      </c>
      <c r="I3">
        <v>100</v>
      </c>
      <c r="J3" t="s">
        <v>44</v>
      </c>
      <c r="K3">
        <v>9</v>
      </c>
      <c r="L3">
        <v>60</v>
      </c>
      <c r="M3">
        <v>9.07</v>
      </c>
      <c r="N3" t="s">
        <v>44</v>
      </c>
      <c r="O3">
        <v>1782747465</v>
      </c>
    </row>
    <row r="4" spans="1:15" x14ac:dyDescent="0.25">
      <c r="A4" t="s">
        <v>233</v>
      </c>
      <c r="B4">
        <v>24060123130067</v>
      </c>
      <c r="C4" t="s">
        <v>234</v>
      </c>
      <c r="F4" t="s">
        <v>235</v>
      </c>
      <c r="G4">
        <v>75</v>
      </c>
      <c r="H4">
        <v>91.3</v>
      </c>
      <c r="I4">
        <v>28.57</v>
      </c>
      <c r="J4" t="s">
        <v>44</v>
      </c>
      <c r="K4">
        <v>10</v>
      </c>
      <c r="L4">
        <v>55</v>
      </c>
      <c r="M4">
        <v>8.8699999999999992</v>
      </c>
      <c r="N4">
        <v>92</v>
      </c>
      <c r="O4">
        <v>1782747465</v>
      </c>
    </row>
    <row r="5" spans="1:15" x14ac:dyDescent="0.25">
      <c r="A5" t="s">
        <v>236</v>
      </c>
      <c r="B5">
        <v>24060123140045</v>
      </c>
      <c r="C5" t="s">
        <v>237</v>
      </c>
      <c r="F5" t="s">
        <v>238</v>
      </c>
      <c r="G5">
        <v>75</v>
      </c>
      <c r="H5">
        <v>86.23</v>
      </c>
      <c r="I5">
        <v>42.86</v>
      </c>
      <c r="J5" t="s">
        <v>44</v>
      </c>
      <c r="K5">
        <v>8</v>
      </c>
      <c r="L5">
        <v>65</v>
      </c>
      <c r="M5">
        <v>9.69</v>
      </c>
      <c r="N5">
        <v>95</v>
      </c>
      <c r="O5">
        <v>1782747465</v>
      </c>
    </row>
    <row r="6" spans="1:15" x14ac:dyDescent="0.25">
      <c r="A6" t="s">
        <v>239</v>
      </c>
      <c r="B6">
        <v>24060123140130</v>
      </c>
      <c r="C6" t="s">
        <v>240</v>
      </c>
      <c r="F6" t="s">
        <v>241</v>
      </c>
      <c r="G6" t="s">
        <v>44</v>
      </c>
      <c r="H6" t="s">
        <v>44</v>
      </c>
      <c r="I6" t="s">
        <v>44</v>
      </c>
      <c r="J6" t="s">
        <v>44</v>
      </c>
      <c r="K6">
        <v>8.5</v>
      </c>
      <c r="L6">
        <v>85</v>
      </c>
      <c r="M6" t="s">
        <v>44</v>
      </c>
      <c r="N6">
        <v>93</v>
      </c>
      <c r="O6">
        <v>1782747465</v>
      </c>
    </row>
    <row r="7" spans="1:15" x14ac:dyDescent="0.25">
      <c r="A7" t="s">
        <v>242</v>
      </c>
      <c r="B7">
        <v>24060123140131</v>
      </c>
      <c r="C7" t="s">
        <v>243</v>
      </c>
      <c r="F7" t="s">
        <v>244</v>
      </c>
      <c r="G7">
        <v>83.33</v>
      </c>
      <c r="H7" t="s">
        <v>44</v>
      </c>
      <c r="I7" t="s">
        <v>44</v>
      </c>
      <c r="J7" t="s">
        <v>44</v>
      </c>
      <c r="K7">
        <v>10</v>
      </c>
      <c r="L7" t="s">
        <v>44</v>
      </c>
      <c r="M7">
        <v>9.69</v>
      </c>
      <c r="N7">
        <v>99</v>
      </c>
      <c r="O7">
        <v>1782747465</v>
      </c>
    </row>
    <row r="8" spans="1:15" x14ac:dyDescent="0.25">
      <c r="A8" t="s">
        <v>245</v>
      </c>
      <c r="B8">
        <v>24060123140137</v>
      </c>
      <c r="C8" t="s">
        <v>246</v>
      </c>
      <c r="F8" t="s">
        <v>247</v>
      </c>
      <c r="G8">
        <v>75</v>
      </c>
      <c r="H8" t="s">
        <v>44</v>
      </c>
      <c r="I8" t="s">
        <v>44</v>
      </c>
      <c r="J8" t="s">
        <v>44</v>
      </c>
      <c r="K8">
        <v>8.5</v>
      </c>
      <c r="L8">
        <v>75</v>
      </c>
      <c r="M8" t="s">
        <v>44</v>
      </c>
      <c r="N8">
        <v>83.92</v>
      </c>
      <c r="O8">
        <v>1782747465</v>
      </c>
    </row>
    <row r="9" spans="1:15" x14ac:dyDescent="0.25">
      <c r="A9" t="s">
        <v>248</v>
      </c>
      <c r="B9">
        <v>24060123140140</v>
      </c>
      <c r="C9" t="s">
        <v>249</v>
      </c>
      <c r="F9" t="s">
        <v>250</v>
      </c>
      <c r="G9" t="s">
        <v>44</v>
      </c>
      <c r="H9" t="s">
        <v>44</v>
      </c>
      <c r="I9" t="s">
        <v>44</v>
      </c>
      <c r="J9" t="s">
        <v>44</v>
      </c>
      <c r="K9">
        <v>9.5</v>
      </c>
      <c r="L9">
        <v>80</v>
      </c>
      <c r="M9" t="s">
        <v>44</v>
      </c>
      <c r="N9">
        <v>93</v>
      </c>
      <c r="O9">
        <v>1782747465</v>
      </c>
    </row>
    <row r="10" spans="1:15" x14ac:dyDescent="0.25">
      <c r="A10" t="s">
        <v>251</v>
      </c>
      <c r="B10">
        <v>24060123140171</v>
      </c>
      <c r="C10" t="s">
        <v>252</v>
      </c>
      <c r="F10" t="s">
        <v>253</v>
      </c>
      <c r="G10">
        <v>83.33</v>
      </c>
      <c r="H10">
        <v>50.36</v>
      </c>
      <c r="I10">
        <v>71.430000000000007</v>
      </c>
      <c r="J10" t="s">
        <v>44</v>
      </c>
      <c r="K10">
        <v>8</v>
      </c>
      <c r="L10">
        <v>45</v>
      </c>
      <c r="M10">
        <v>8.89</v>
      </c>
      <c r="N10">
        <v>95</v>
      </c>
      <c r="O10">
        <v>1782747465</v>
      </c>
    </row>
    <row r="11" spans="1:15" x14ac:dyDescent="0.25">
      <c r="A11" t="s">
        <v>254</v>
      </c>
      <c r="B11">
        <v>24060123140174</v>
      </c>
      <c r="C11" t="s">
        <v>255</v>
      </c>
      <c r="F11" t="s">
        <v>256</v>
      </c>
      <c r="G11">
        <v>66.67</v>
      </c>
      <c r="H11">
        <v>84.06</v>
      </c>
      <c r="I11">
        <v>100</v>
      </c>
      <c r="J11" t="s">
        <v>44</v>
      </c>
      <c r="K11">
        <v>9.5</v>
      </c>
      <c r="L11">
        <v>80</v>
      </c>
      <c r="M11">
        <v>9.59</v>
      </c>
      <c r="N11">
        <v>97</v>
      </c>
      <c r="O11">
        <v>1782747465</v>
      </c>
    </row>
    <row r="12" spans="1:15" x14ac:dyDescent="0.25">
      <c r="A12" t="s">
        <v>257</v>
      </c>
      <c r="B12">
        <v>24060123140184</v>
      </c>
      <c r="C12" t="s">
        <v>258</v>
      </c>
      <c r="F12" t="s">
        <v>259</v>
      </c>
      <c r="G12">
        <v>66.67</v>
      </c>
      <c r="H12">
        <v>88.41</v>
      </c>
      <c r="I12">
        <v>42.86</v>
      </c>
      <c r="J12" t="s">
        <v>44</v>
      </c>
      <c r="K12">
        <v>8.5</v>
      </c>
      <c r="L12">
        <v>90</v>
      </c>
      <c r="M12">
        <v>8.3699999999999992</v>
      </c>
      <c r="N12">
        <v>93</v>
      </c>
      <c r="O12">
        <v>1782747465</v>
      </c>
    </row>
    <row r="13" spans="1:15" x14ac:dyDescent="0.25">
      <c r="A13" t="s">
        <v>109</v>
      </c>
      <c r="B13">
        <v>24060124120004</v>
      </c>
      <c r="C13" t="s">
        <v>110</v>
      </c>
      <c r="F13" t="s">
        <v>111</v>
      </c>
      <c r="G13">
        <v>83.33</v>
      </c>
      <c r="H13">
        <v>76.81</v>
      </c>
      <c r="I13">
        <v>100</v>
      </c>
      <c r="J13" t="s">
        <v>44</v>
      </c>
      <c r="K13">
        <v>9.5</v>
      </c>
      <c r="L13">
        <v>100</v>
      </c>
      <c r="M13">
        <v>9.2799999999999994</v>
      </c>
      <c r="N13">
        <v>88</v>
      </c>
      <c r="O13">
        <v>1782747465</v>
      </c>
    </row>
    <row r="14" spans="1:15" x14ac:dyDescent="0.25">
      <c r="A14" t="s">
        <v>169</v>
      </c>
      <c r="B14">
        <v>24060124120008</v>
      </c>
      <c r="C14" t="s">
        <v>170</v>
      </c>
      <c r="F14" t="s">
        <v>171</v>
      </c>
      <c r="G14">
        <v>91.67</v>
      </c>
      <c r="H14">
        <v>100</v>
      </c>
      <c r="I14">
        <v>85.71</v>
      </c>
      <c r="J14" t="s">
        <v>44</v>
      </c>
      <c r="K14">
        <v>9.5</v>
      </c>
      <c r="L14">
        <v>95</v>
      </c>
      <c r="M14" t="s">
        <v>44</v>
      </c>
      <c r="N14">
        <v>96</v>
      </c>
      <c r="O14">
        <v>1782747465</v>
      </c>
    </row>
    <row r="15" spans="1:15" x14ac:dyDescent="0.25">
      <c r="A15" t="s">
        <v>174</v>
      </c>
      <c r="B15">
        <v>24060124120030</v>
      </c>
      <c r="C15" t="s">
        <v>175</v>
      </c>
      <c r="F15" t="s">
        <v>176</v>
      </c>
      <c r="G15">
        <v>83.33</v>
      </c>
      <c r="H15">
        <v>97.1</v>
      </c>
      <c r="I15">
        <v>100</v>
      </c>
      <c r="J15" t="s">
        <v>44</v>
      </c>
      <c r="K15">
        <v>9</v>
      </c>
      <c r="L15">
        <v>90</v>
      </c>
      <c r="M15" t="s">
        <v>44</v>
      </c>
      <c r="N15">
        <v>96</v>
      </c>
      <c r="O15">
        <v>1782747465</v>
      </c>
    </row>
    <row r="16" spans="1:15" x14ac:dyDescent="0.25">
      <c r="A16" t="s">
        <v>94</v>
      </c>
      <c r="B16">
        <v>24060124120036</v>
      </c>
      <c r="C16" t="s">
        <v>95</v>
      </c>
      <c r="F16" t="s">
        <v>96</v>
      </c>
      <c r="G16">
        <v>83.33</v>
      </c>
      <c r="H16">
        <v>80.430000000000007</v>
      </c>
      <c r="I16">
        <v>71.430000000000007</v>
      </c>
      <c r="J16" t="s">
        <v>44</v>
      </c>
      <c r="K16">
        <v>9</v>
      </c>
      <c r="L16">
        <v>50</v>
      </c>
      <c r="M16" t="s">
        <v>44</v>
      </c>
      <c r="N16">
        <v>93.67</v>
      </c>
      <c r="O16">
        <v>1782747465</v>
      </c>
    </row>
    <row r="17" spans="1:15" x14ac:dyDescent="0.25">
      <c r="A17" t="s">
        <v>114</v>
      </c>
      <c r="B17">
        <v>24060124120039</v>
      </c>
      <c r="C17" t="s">
        <v>115</v>
      </c>
      <c r="F17" t="s">
        <v>116</v>
      </c>
      <c r="G17">
        <v>50</v>
      </c>
      <c r="H17">
        <v>81.88</v>
      </c>
      <c r="I17">
        <v>85.71</v>
      </c>
      <c r="J17" t="s">
        <v>44</v>
      </c>
      <c r="K17">
        <v>8.5</v>
      </c>
      <c r="L17">
        <v>75</v>
      </c>
      <c r="M17">
        <v>9.3800000000000008</v>
      </c>
      <c r="N17">
        <v>94</v>
      </c>
      <c r="O17">
        <v>1782747465</v>
      </c>
    </row>
    <row r="18" spans="1:15" x14ac:dyDescent="0.25">
      <c r="A18" t="s">
        <v>204</v>
      </c>
      <c r="B18">
        <v>24060124120051</v>
      </c>
      <c r="C18" t="s">
        <v>205</v>
      </c>
      <c r="F18" t="s">
        <v>206</v>
      </c>
      <c r="G18">
        <v>50</v>
      </c>
      <c r="H18">
        <v>56.52</v>
      </c>
      <c r="I18">
        <v>100</v>
      </c>
      <c r="J18" t="s">
        <v>44</v>
      </c>
      <c r="K18">
        <v>8.5</v>
      </c>
      <c r="L18">
        <v>90</v>
      </c>
      <c r="M18">
        <v>9.48</v>
      </c>
      <c r="N18">
        <v>97</v>
      </c>
      <c r="O18">
        <v>1782747465</v>
      </c>
    </row>
    <row r="19" spans="1:15" x14ac:dyDescent="0.25">
      <c r="A19" t="s">
        <v>69</v>
      </c>
      <c r="B19">
        <v>24060124130054</v>
      </c>
      <c r="C19" t="s">
        <v>70</v>
      </c>
      <c r="F19" t="s">
        <v>71</v>
      </c>
      <c r="G19">
        <v>91.67</v>
      </c>
      <c r="H19">
        <v>86.96</v>
      </c>
      <c r="I19">
        <v>57.14</v>
      </c>
      <c r="J19" t="s">
        <v>44</v>
      </c>
      <c r="K19" t="s">
        <v>44</v>
      </c>
      <c r="L19">
        <v>90</v>
      </c>
      <c r="M19" t="s">
        <v>44</v>
      </c>
      <c r="N19">
        <v>94.33</v>
      </c>
      <c r="O19">
        <v>1782747465</v>
      </c>
    </row>
    <row r="20" spans="1:15" x14ac:dyDescent="0.25">
      <c r="A20" t="s">
        <v>134</v>
      </c>
      <c r="B20">
        <v>24060124130056</v>
      </c>
      <c r="C20" t="s">
        <v>135</v>
      </c>
      <c r="F20" t="s">
        <v>136</v>
      </c>
      <c r="G20">
        <v>50</v>
      </c>
      <c r="H20">
        <v>76.81</v>
      </c>
      <c r="I20">
        <v>85.71</v>
      </c>
      <c r="J20" t="s">
        <v>44</v>
      </c>
      <c r="K20" t="s">
        <v>44</v>
      </c>
      <c r="L20">
        <v>85</v>
      </c>
      <c r="M20">
        <v>1.24</v>
      </c>
      <c r="N20">
        <v>98</v>
      </c>
      <c r="O20">
        <v>1782747465</v>
      </c>
    </row>
    <row r="21" spans="1:15" x14ac:dyDescent="0.25">
      <c r="A21" t="s">
        <v>54</v>
      </c>
      <c r="B21">
        <v>24060124130065</v>
      </c>
      <c r="C21" t="s">
        <v>55</v>
      </c>
      <c r="F21" t="s">
        <v>56</v>
      </c>
      <c r="G21">
        <v>83.33</v>
      </c>
      <c r="H21">
        <v>94.93</v>
      </c>
      <c r="I21">
        <v>85.71</v>
      </c>
      <c r="J21" t="s">
        <v>44</v>
      </c>
      <c r="K21">
        <v>9</v>
      </c>
      <c r="L21">
        <v>100</v>
      </c>
      <c r="M21" t="s">
        <v>44</v>
      </c>
      <c r="N21">
        <v>96</v>
      </c>
      <c r="O21">
        <v>1782747465</v>
      </c>
    </row>
    <row r="22" spans="1:15" x14ac:dyDescent="0.25">
      <c r="A22" t="s">
        <v>179</v>
      </c>
      <c r="B22">
        <v>24060124130072</v>
      </c>
      <c r="C22" t="s">
        <v>180</v>
      </c>
      <c r="F22" t="s">
        <v>181</v>
      </c>
      <c r="G22">
        <v>75</v>
      </c>
      <c r="H22">
        <v>88.41</v>
      </c>
      <c r="I22">
        <v>100</v>
      </c>
      <c r="J22" t="s">
        <v>44</v>
      </c>
      <c r="K22">
        <v>9.5</v>
      </c>
      <c r="L22">
        <v>95</v>
      </c>
      <c r="M22">
        <v>9.24</v>
      </c>
      <c r="N22">
        <v>95</v>
      </c>
      <c r="O22">
        <v>1782747465</v>
      </c>
    </row>
    <row r="23" spans="1:15" x14ac:dyDescent="0.25">
      <c r="A23" t="s">
        <v>139</v>
      </c>
      <c r="B23">
        <v>24060124130075</v>
      </c>
      <c r="C23" t="s">
        <v>140</v>
      </c>
      <c r="F23" t="s">
        <v>141</v>
      </c>
      <c r="G23">
        <v>83.33</v>
      </c>
      <c r="H23">
        <v>65.22</v>
      </c>
      <c r="I23">
        <v>85.71</v>
      </c>
      <c r="J23" t="s">
        <v>44</v>
      </c>
      <c r="K23">
        <v>9</v>
      </c>
      <c r="L23">
        <v>70</v>
      </c>
      <c r="M23">
        <v>5.05</v>
      </c>
      <c r="N23">
        <v>98</v>
      </c>
      <c r="O23">
        <v>1782747465</v>
      </c>
    </row>
    <row r="24" spans="1:15" x14ac:dyDescent="0.25">
      <c r="A24" t="s">
        <v>74</v>
      </c>
      <c r="B24">
        <v>24060124130092</v>
      </c>
      <c r="C24" t="s">
        <v>75</v>
      </c>
      <c r="F24" t="s">
        <v>76</v>
      </c>
      <c r="G24">
        <v>83.33</v>
      </c>
      <c r="H24">
        <v>89.13</v>
      </c>
      <c r="I24">
        <v>85.71</v>
      </c>
      <c r="J24" t="s">
        <v>44</v>
      </c>
      <c r="K24">
        <v>8</v>
      </c>
      <c r="L24">
        <v>80</v>
      </c>
      <c r="M24">
        <v>8.4499999999999993</v>
      </c>
      <c r="N24">
        <v>97</v>
      </c>
      <c r="O24">
        <v>1782747465</v>
      </c>
    </row>
    <row r="25" spans="1:15" x14ac:dyDescent="0.25">
      <c r="A25" t="s">
        <v>79</v>
      </c>
      <c r="B25">
        <v>24060124130095</v>
      </c>
      <c r="C25" t="s">
        <v>80</v>
      </c>
      <c r="F25" t="s">
        <v>81</v>
      </c>
      <c r="G25">
        <v>75</v>
      </c>
      <c r="H25">
        <v>91.3</v>
      </c>
      <c r="I25">
        <v>42.86</v>
      </c>
      <c r="J25" t="s">
        <v>44</v>
      </c>
      <c r="K25">
        <v>9</v>
      </c>
      <c r="L25">
        <v>100</v>
      </c>
      <c r="M25" t="s">
        <v>44</v>
      </c>
      <c r="N25">
        <v>95</v>
      </c>
      <c r="O25">
        <v>1782747465</v>
      </c>
    </row>
    <row r="26" spans="1:15" x14ac:dyDescent="0.25">
      <c r="A26" t="s">
        <v>144</v>
      </c>
      <c r="B26">
        <v>24060124130107</v>
      </c>
      <c r="C26" t="s">
        <v>145</v>
      </c>
      <c r="F26" t="s">
        <v>146</v>
      </c>
      <c r="G26">
        <v>58.33</v>
      </c>
      <c r="H26">
        <v>93.48</v>
      </c>
      <c r="I26">
        <v>100</v>
      </c>
      <c r="J26" t="s">
        <v>44</v>
      </c>
      <c r="K26">
        <v>9.5</v>
      </c>
      <c r="L26">
        <v>95</v>
      </c>
      <c r="M26">
        <v>0.41</v>
      </c>
      <c r="N26">
        <v>92</v>
      </c>
      <c r="O26">
        <v>1782747465</v>
      </c>
    </row>
    <row r="27" spans="1:15" x14ac:dyDescent="0.25">
      <c r="A27" t="s">
        <v>209</v>
      </c>
      <c r="B27">
        <v>24060124130118</v>
      </c>
      <c r="C27" t="s">
        <v>210</v>
      </c>
      <c r="F27" t="s">
        <v>211</v>
      </c>
      <c r="G27">
        <v>41.67</v>
      </c>
      <c r="H27">
        <v>81.88</v>
      </c>
      <c r="I27">
        <v>85.71</v>
      </c>
      <c r="J27" t="s">
        <v>44</v>
      </c>
      <c r="K27">
        <v>9.5</v>
      </c>
      <c r="L27">
        <v>85</v>
      </c>
      <c r="M27">
        <v>9.3800000000000008</v>
      </c>
      <c r="N27">
        <v>95</v>
      </c>
      <c r="O27">
        <v>1782747465</v>
      </c>
    </row>
    <row r="28" spans="1:15" x14ac:dyDescent="0.25">
      <c r="A28" t="s">
        <v>119</v>
      </c>
      <c r="B28">
        <v>24060124130119</v>
      </c>
      <c r="C28" t="s">
        <v>120</v>
      </c>
      <c r="F28" t="s">
        <v>121</v>
      </c>
      <c r="G28">
        <v>75</v>
      </c>
      <c r="H28">
        <v>53.62</v>
      </c>
      <c r="I28">
        <v>14.29</v>
      </c>
      <c r="J28" t="s">
        <v>44</v>
      </c>
      <c r="K28">
        <v>9.5</v>
      </c>
      <c r="L28" t="s">
        <v>44</v>
      </c>
      <c r="M28">
        <v>9.18</v>
      </c>
      <c r="N28">
        <v>95</v>
      </c>
      <c r="O28">
        <v>1782747465</v>
      </c>
    </row>
    <row r="29" spans="1:15" x14ac:dyDescent="0.25">
      <c r="A29" t="s">
        <v>189</v>
      </c>
      <c r="B29">
        <v>24060124140126</v>
      </c>
      <c r="C29" t="s">
        <v>190</v>
      </c>
      <c r="F29" t="s">
        <v>191</v>
      </c>
      <c r="G29">
        <v>75</v>
      </c>
      <c r="H29">
        <v>62.32</v>
      </c>
      <c r="I29">
        <v>100</v>
      </c>
      <c r="J29" t="s">
        <v>44</v>
      </c>
      <c r="K29">
        <v>9.5</v>
      </c>
      <c r="L29">
        <v>95</v>
      </c>
      <c r="M29">
        <v>0.1</v>
      </c>
      <c r="N29">
        <v>92.33</v>
      </c>
      <c r="O29">
        <v>1782747465</v>
      </c>
    </row>
    <row r="30" spans="1:15" x14ac:dyDescent="0.25">
      <c r="A30" t="s">
        <v>214</v>
      </c>
      <c r="B30">
        <v>24060124140130</v>
      </c>
      <c r="C30" t="s">
        <v>215</v>
      </c>
      <c r="F30" t="s">
        <v>216</v>
      </c>
      <c r="G30">
        <v>75</v>
      </c>
      <c r="H30">
        <v>56.52</v>
      </c>
      <c r="I30">
        <v>71.430000000000007</v>
      </c>
      <c r="J30" t="s">
        <v>44</v>
      </c>
      <c r="K30">
        <v>10</v>
      </c>
      <c r="L30">
        <v>60</v>
      </c>
      <c r="M30">
        <v>7.63</v>
      </c>
      <c r="N30">
        <v>91</v>
      </c>
      <c r="O30">
        <v>1782747465</v>
      </c>
    </row>
    <row r="31" spans="1:15" x14ac:dyDescent="0.25">
      <c r="A31" t="s">
        <v>149</v>
      </c>
      <c r="B31">
        <v>24060124140133</v>
      </c>
      <c r="C31" t="s">
        <v>150</v>
      </c>
      <c r="F31" t="s">
        <v>151</v>
      </c>
      <c r="G31">
        <v>25</v>
      </c>
      <c r="H31">
        <v>65.94</v>
      </c>
      <c r="I31">
        <v>85.71</v>
      </c>
      <c r="J31" t="s">
        <v>44</v>
      </c>
      <c r="K31">
        <v>8</v>
      </c>
      <c r="L31">
        <v>80</v>
      </c>
      <c r="M31">
        <v>9.2799999999999994</v>
      </c>
      <c r="N31">
        <v>92</v>
      </c>
      <c r="O31">
        <v>1782747465</v>
      </c>
    </row>
    <row r="32" spans="1:15" x14ac:dyDescent="0.25">
      <c r="A32" t="s">
        <v>99</v>
      </c>
      <c r="B32">
        <v>24060124140138</v>
      </c>
      <c r="C32" t="s">
        <v>100</v>
      </c>
      <c r="F32" t="s">
        <v>101</v>
      </c>
      <c r="G32">
        <v>58.33</v>
      </c>
      <c r="H32">
        <v>63.77</v>
      </c>
      <c r="I32">
        <v>42.86</v>
      </c>
      <c r="J32" t="s">
        <v>44</v>
      </c>
      <c r="K32">
        <v>10</v>
      </c>
      <c r="L32">
        <v>70</v>
      </c>
      <c r="M32">
        <v>5.36</v>
      </c>
      <c r="N32">
        <v>89</v>
      </c>
      <c r="O32">
        <v>1782747465</v>
      </c>
    </row>
    <row r="33" spans="1:15" x14ac:dyDescent="0.25">
      <c r="A33" t="s">
        <v>59</v>
      </c>
      <c r="B33">
        <v>24060124140145</v>
      </c>
      <c r="C33" t="s">
        <v>60</v>
      </c>
      <c r="F33" t="s">
        <v>61</v>
      </c>
      <c r="G33">
        <v>50</v>
      </c>
      <c r="H33">
        <v>79.709999999999994</v>
      </c>
      <c r="I33">
        <v>100</v>
      </c>
      <c r="J33" t="s">
        <v>44</v>
      </c>
      <c r="K33">
        <v>5.5</v>
      </c>
      <c r="L33">
        <v>95</v>
      </c>
      <c r="M33">
        <v>8.2100000000000009</v>
      </c>
      <c r="N33">
        <v>85.33</v>
      </c>
      <c r="O33">
        <v>1782747465</v>
      </c>
    </row>
    <row r="34" spans="1:15" x14ac:dyDescent="0.25">
      <c r="A34" t="s">
        <v>219</v>
      </c>
      <c r="B34">
        <v>24060124140149</v>
      </c>
      <c r="C34" t="s">
        <v>220</v>
      </c>
      <c r="F34" t="s">
        <v>221</v>
      </c>
      <c r="G34">
        <v>58.33</v>
      </c>
      <c r="H34">
        <v>88.41</v>
      </c>
      <c r="I34">
        <v>57.14</v>
      </c>
      <c r="J34" t="s">
        <v>44</v>
      </c>
      <c r="K34">
        <v>9.5</v>
      </c>
      <c r="L34">
        <v>60</v>
      </c>
      <c r="M34">
        <v>9</v>
      </c>
      <c r="N34">
        <v>91</v>
      </c>
      <c r="O34">
        <v>1782747465</v>
      </c>
    </row>
    <row r="35" spans="1:15" x14ac:dyDescent="0.25">
      <c r="A35" t="s">
        <v>154</v>
      </c>
      <c r="B35">
        <v>24060124140150</v>
      </c>
      <c r="C35" t="s">
        <v>155</v>
      </c>
      <c r="F35" t="s">
        <v>156</v>
      </c>
      <c r="G35">
        <v>83.33</v>
      </c>
      <c r="H35">
        <v>84.78</v>
      </c>
      <c r="I35">
        <v>71.430000000000007</v>
      </c>
      <c r="J35" t="s">
        <v>44</v>
      </c>
      <c r="K35">
        <v>9.5</v>
      </c>
      <c r="L35">
        <v>85</v>
      </c>
      <c r="M35">
        <v>8.59</v>
      </c>
      <c r="N35">
        <v>67</v>
      </c>
      <c r="O35">
        <v>1782747465</v>
      </c>
    </row>
    <row r="36" spans="1:15" x14ac:dyDescent="0.25">
      <c r="A36" t="s">
        <v>41</v>
      </c>
      <c r="B36">
        <v>24060124140160</v>
      </c>
      <c r="C36" t="s">
        <v>42</v>
      </c>
      <c r="F36" t="s">
        <v>43</v>
      </c>
      <c r="G36">
        <v>58.33</v>
      </c>
      <c r="H36">
        <v>72.099999999999994</v>
      </c>
      <c r="I36">
        <v>71.430000000000007</v>
      </c>
      <c r="J36" t="s">
        <v>44</v>
      </c>
      <c r="K36">
        <v>5.5</v>
      </c>
      <c r="L36">
        <v>70</v>
      </c>
      <c r="M36">
        <v>8.8699999999999992</v>
      </c>
      <c r="N36">
        <v>93</v>
      </c>
      <c r="O36">
        <v>1782747465</v>
      </c>
    </row>
    <row r="37" spans="1:15" x14ac:dyDescent="0.25">
      <c r="A37" t="s">
        <v>47</v>
      </c>
      <c r="B37">
        <v>24060124140161</v>
      </c>
      <c r="C37" t="s">
        <v>48</v>
      </c>
      <c r="F37" t="s">
        <v>49</v>
      </c>
      <c r="G37">
        <v>50</v>
      </c>
      <c r="H37">
        <v>88.41</v>
      </c>
      <c r="I37">
        <v>57.14</v>
      </c>
      <c r="J37" t="s">
        <v>44</v>
      </c>
      <c r="K37">
        <v>5.5</v>
      </c>
      <c r="L37">
        <v>80</v>
      </c>
      <c r="M37" t="s">
        <v>44</v>
      </c>
      <c r="N37">
        <v>81</v>
      </c>
      <c r="O37">
        <v>1782747465</v>
      </c>
    </row>
    <row r="38" spans="1:15" x14ac:dyDescent="0.25">
      <c r="A38" t="s">
        <v>159</v>
      </c>
      <c r="B38">
        <v>24060124140164</v>
      </c>
      <c r="C38" t="s">
        <v>160</v>
      </c>
      <c r="F38" t="s">
        <v>161</v>
      </c>
      <c r="G38">
        <v>50</v>
      </c>
      <c r="H38">
        <v>75.36</v>
      </c>
      <c r="I38">
        <v>71.430000000000007</v>
      </c>
      <c r="J38" t="s">
        <v>44</v>
      </c>
      <c r="K38">
        <v>10</v>
      </c>
      <c r="L38">
        <v>70</v>
      </c>
      <c r="M38" t="s">
        <v>44</v>
      </c>
      <c r="N38">
        <v>84</v>
      </c>
      <c r="O38">
        <v>1782747465</v>
      </c>
    </row>
    <row r="39" spans="1:15" x14ac:dyDescent="0.25">
      <c r="A39" t="s">
        <v>224</v>
      </c>
      <c r="B39">
        <v>24060124140165</v>
      </c>
      <c r="C39" t="s">
        <v>225</v>
      </c>
      <c r="F39" t="s">
        <v>226</v>
      </c>
      <c r="G39">
        <v>91.67</v>
      </c>
      <c r="H39">
        <v>100</v>
      </c>
      <c r="I39">
        <v>85.71</v>
      </c>
      <c r="J39" t="s">
        <v>44</v>
      </c>
      <c r="K39">
        <v>10</v>
      </c>
      <c r="L39">
        <v>85</v>
      </c>
      <c r="M39">
        <v>9.9</v>
      </c>
      <c r="N39">
        <v>99</v>
      </c>
      <c r="O39">
        <v>1782747465</v>
      </c>
    </row>
    <row r="40" spans="1:15" x14ac:dyDescent="0.25">
      <c r="A40" t="s">
        <v>194</v>
      </c>
      <c r="B40">
        <v>24060124140170</v>
      </c>
      <c r="C40" t="s">
        <v>195</v>
      </c>
      <c r="F40" t="s">
        <v>196</v>
      </c>
      <c r="G40">
        <v>25</v>
      </c>
      <c r="H40">
        <v>52.17</v>
      </c>
      <c r="I40">
        <v>71.430000000000007</v>
      </c>
      <c r="J40" t="s">
        <v>44</v>
      </c>
      <c r="K40">
        <v>5.5</v>
      </c>
      <c r="L40">
        <v>25</v>
      </c>
      <c r="M40">
        <v>1.24</v>
      </c>
      <c r="N40">
        <v>81</v>
      </c>
      <c r="O40">
        <v>1782747465</v>
      </c>
    </row>
    <row r="41" spans="1:15" x14ac:dyDescent="0.25">
      <c r="A41" t="s">
        <v>64</v>
      </c>
      <c r="B41">
        <v>24060124140171</v>
      </c>
      <c r="C41" t="s">
        <v>65</v>
      </c>
      <c r="F41" t="s">
        <v>66</v>
      </c>
      <c r="G41">
        <v>33.33</v>
      </c>
      <c r="H41">
        <v>34.78</v>
      </c>
      <c r="I41">
        <v>57.14</v>
      </c>
      <c r="J41" t="s">
        <v>44</v>
      </c>
      <c r="K41">
        <v>8.5</v>
      </c>
      <c r="L41">
        <v>100</v>
      </c>
      <c r="M41">
        <v>0.62</v>
      </c>
      <c r="N41">
        <v>89.33</v>
      </c>
      <c r="O41">
        <v>1782747465</v>
      </c>
    </row>
    <row r="42" spans="1:15" x14ac:dyDescent="0.25">
      <c r="A42" t="s">
        <v>84</v>
      </c>
      <c r="B42">
        <v>24060124140172</v>
      </c>
      <c r="C42" t="s">
        <v>85</v>
      </c>
      <c r="F42" t="s">
        <v>86</v>
      </c>
      <c r="G42">
        <v>75</v>
      </c>
      <c r="H42">
        <v>62.32</v>
      </c>
      <c r="I42">
        <v>57.14</v>
      </c>
      <c r="J42" t="s">
        <v>44</v>
      </c>
      <c r="K42" t="s">
        <v>44</v>
      </c>
      <c r="L42" t="s">
        <v>44</v>
      </c>
      <c r="M42" t="s">
        <v>44</v>
      </c>
      <c r="N42" t="s">
        <v>44</v>
      </c>
      <c r="O42">
        <v>1782747465</v>
      </c>
    </row>
    <row r="43" spans="1:15" x14ac:dyDescent="0.25">
      <c r="A43" t="s">
        <v>199</v>
      </c>
      <c r="B43">
        <v>24060124140174</v>
      </c>
      <c r="C43" t="s">
        <v>200</v>
      </c>
      <c r="F43" t="s">
        <v>201</v>
      </c>
      <c r="G43">
        <v>83.33</v>
      </c>
      <c r="H43">
        <v>100</v>
      </c>
      <c r="I43">
        <v>85.71</v>
      </c>
      <c r="J43" t="s">
        <v>44</v>
      </c>
      <c r="K43">
        <v>8.5</v>
      </c>
      <c r="L43">
        <v>95</v>
      </c>
      <c r="M43" t="s">
        <v>44</v>
      </c>
      <c r="N43">
        <v>96</v>
      </c>
      <c r="O43">
        <v>1782747465</v>
      </c>
    </row>
    <row r="44" spans="1:15" x14ac:dyDescent="0.25">
      <c r="A44" t="s">
        <v>124</v>
      </c>
      <c r="B44">
        <v>24060124140183</v>
      </c>
      <c r="C44" t="s">
        <v>125</v>
      </c>
      <c r="F44" t="s">
        <v>126</v>
      </c>
      <c r="G44">
        <v>41.67</v>
      </c>
      <c r="H44">
        <v>81.16</v>
      </c>
      <c r="I44">
        <v>57.14</v>
      </c>
      <c r="J44" t="s">
        <v>44</v>
      </c>
      <c r="K44" t="s">
        <v>44</v>
      </c>
      <c r="L44">
        <v>90</v>
      </c>
      <c r="M44" t="s">
        <v>44</v>
      </c>
      <c r="N44">
        <v>86.33</v>
      </c>
      <c r="O44">
        <v>1782747465</v>
      </c>
    </row>
    <row r="45" spans="1:15" x14ac:dyDescent="0.25">
      <c r="A45" t="s">
        <v>184</v>
      </c>
      <c r="B45">
        <v>24060124140186</v>
      </c>
      <c r="C45" t="s">
        <v>185</v>
      </c>
      <c r="F45" t="s">
        <v>186</v>
      </c>
      <c r="G45">
        <v>25</v>
      </c>
      <c r="H45">
        <v>53.62</v>
      </c>
      <c r="I45">
        <v>71.430000000000007</v>
      </c>
      <c r="J45" t="s">
        <v>44</v>
      </c>
      <c r="K45">
        <v>8</v>
      </c>
      <c r="L45">
        <v>85</v>
      </c>
      <c r="M45" t="s">
        <v>44</v>
      </c>
      <c r="N45">
        <v>86.67</v>
      </c>
      <c r="O45">
        <v>1782747465</v>
      </c>
    </row>
    <row r="46" spans="1:15" x14ac:dyDescent="0.25">
      <c r="A46" t="s">
        <v>104</v>
      </c>
      <c r="B46">
        <v>24060124140190</v>
      </c>
      <c r="C46" t="s">
        <v>105</v>
      </c>
      <c r="F46" t="s">
        <v>106</v>
      </c>
      <c r="G46">
        <v>83.33</v>
      </c>
      <c r="H46">
        <v>52.17</v>
      </c>
      <c r="I46">
        <v>42.86</v>
      </c>
      <c r="J46" t="s">
        <v>44</v>
      </c>
      <c r="K46">
        <v>8</v>
      </c>
      <c r="L46">
        <v>65</v>
      </c>
      <c r="M46" t="s">
        <v>44</v>
      </c>
      <c r="N46">
        <v>80</v>
      </c>
      <c r="O46">
        <v>1782747465</v>
      </c>
    </row>
    <row r="47" spans="1:15" x14ac:dyDescent="0.25">
      <c r="A47" t="s">
        <v>260</v>
      </c>
      <c r="B47">
        <v>24060124140192</v>
      </c>
      <c r="C47" t="s">
        <v>261</v>
      </c>
      <c r="F47" t="s">
        <v>262</v>
      </c>
      <c r="G47">
        <v>50</v>
      </c>
      <c r="H47">
        <v>93.48</v>
      </c>
      <c r="I47">
        <v>71.430000000000007</v>
      </c>
      <c r="J47" t="s">
        <v>44</v>
      </c>
      <c r="K47" t="s">
        <v>44</v>
      </c>
      <c r="L47" t="s">
        <v>44</v>
      </c>
      <c r="M47" t="s">
        <v>44</v>
      </c>
      <c r="N47" t="s">
        <v>44</v>
      </c>
      <c r="O47">
        <v>1782747465</v>
      </c>
    </row>
    <row r="48" spans="1:15" x14ac:dyDescent="0.25">
      <c r="A48" t="s">
        <v>89</v>
      </c>
      <c r="B48">
        <v>24060124140196</v>
      </c>
      <c r="C48" t="s">
        <v>90</v>
      </c>
      <c r="F48" t="s">
        <v>91</v>
      </c>
      <c r="G48">
        <v>66.67</v>
      </c>
      <c r="H48">
        <v>88.41</v>
      </c>
      <c r="I48">
        <v>28.57</v>
      </c>
      <c r="J48" t="s">
        <v>44</v>
      </c>
      <c r="K48">
        <v>7.5</v>
      </c>
      <c r="L48">
        <v>70</v>
      </c>
      <c r="M48">
        <v>9.2799999999999994</v>
      </c>
      <c r="N48">
        <v>97.5</v>
      </c>
      <c r="O48">
        <v>1782747465</v>
      </c>
    </row>
    <row r="49" spans="1:15" x14ac:dyDescent="0.25">
      <c r="A49" t="s">
        <v>164</v>
      </c>
      <c r="B49">
        <v>24060124140197</v>
      </c>
      <c r="C49" t="s">
        <v>165</v>
      </c>
      <c r="F49" t="s">
        <v>166</v>
      </c>
      <c r="G49">
        <v>50</v>
      </c>
      <c r="H49" t="s">
        <v>44</v>
      </c>
      <c r="I49" t="s">
        <v>44</v>
      </c>
      <c r="J49" t="s">
        <v>44</v>
      </c>
      <c r="K49">
        <v>7</v>
      </c>
      <c r="L49">
        <v>20</v>
      </c>
      <c r="M49" t="s">
        <v>44</v>
      </c>
      <c r="N49">
        <v>86.17</v>
      </c>
      <c r="O49">
        <v>1782747465</v>
      </c>
    </row>
    <row r="50" spans="1:15" x14ac:dyDescent="0.25">
      <c r="A50" t="s">
        <v>129</v>
      </c>
      <c r="B50">
        <v>24060124140202</v>
      </c>
      <c r="C50" t="s">
        <v>130</v>
      </c>
      <c r="F50" t="s">
        <v>131</v>
      </c>
      <c r="G50">
        <v>58.33</v>
      </c>
      <c r="H50">
        <v>86.23</v>
      </c>
      <c r="I50">
        <v>57.14</v>
      </c>
      <c r="J50" t="s">
        <v>44</v>
      </c>
      <c r="K50">
        <v>7.5</v>
      </c>
      <c r="L50">
        <v>95</v>
      </c>
      <c r="M50">
        <v>8.9700000000000006</v>
      </c>
      <c r="N50">
        <v>92</v>
      </c>
      <c r="O50">
        <v>1782747465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RowHeight="15" x14ac:dyDescent="0.25"/>
  <sheetData>
    <row r="1" spans="1:2" x14ac:dyDescent="0.25">
      <c r="A1" t="s">
        <v>263</v>
      </c>
      <c r="B1" t="s">
        <v>264</v>
      </c>
    </row>
    <row r="2" spans="1:2" x14ac:dyDescent="0.25">
      <c r="A2" t="s">
        <v>265</v>
      </c>
      <c r="B2">
        <v>38</v>
      </c>
    </row>
    <row r="3" spans="1:2" x14ac:dyDescent="0.25">
      <c r="A3" t="s">
        <v>266</v>
      </c>
      <c r="B3">
        <v>37</v>
      </c>
    </row>
    <row r="4" spans="1:2" x14ac:dyDescent="0.25">
      <c r="A4" t="s">
        <v>267</v>
      </c>
      <c r="B4">
        <v>1</v>
      </c>
    </row>
    <row r="5" spans="1:2" x14ac:dyDescent="0.25">
      <c r="A5" t="s">
        <v>268</v>
      </c>
      <c r="B5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Worksheet</vt:lpstr>
      <vt:lpstr>Sheet1</vt:lpstr>
      <vt:lpstr>Data_Gabungan</vt:lpstr>
      <vt:lpstr>Ringkasan_Match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HP OHS2021</cp:lastModifiedBy>
  <dcterms:created xsi:type="dcterms:W3CDTF">2026-06-29T22:37:06Z</dcterms:created>
  <dcterms:modified xsi:type="dcterms:W3CDTF">2026-06-29T15:52:37Z</dcterms:modified>
  <cp:category>Test result file</cp:category>
</cp:coreProperties>
</file>