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Worksheet" sheetId="1" state="visible" r:id="rId1"/>
    <sheet name="Sheet1" sheetId="2" state="visible" r:id="rId2"/>
    <sheet name="Data_Gabungan" sheetId="3" state="visible" r:id="rId3"/>
    <sheet name="Ringkasan_Matc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color rgb="FF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tabSelected="1" topLeftCell="A5" workbookViewId="0">
      <selection activeCell="F19" sqref="F19"/>
    </sheetView>
  </sheetViews>
  <sheetFormatPr baseColWidth="8" defaultRowHeight="15"/>
  <cols>
    <col width="17.5703125" bestFit="1" customWidth="1" min="1" max="1"/>
    <col width="55.28515625" bestFit="1" customWidth="1" min="2" max="2"/>
    <col width="10.5703125" bestFit="1" customWidth="1" min="3" max="3"/>
    <col width="8.140625" bestFit="1" customWidth="1" min="4" max="4"/>
    <col width="57.7109375" bestFit="1" customWidth="1" min="5" max="5"/>
    <col width="45.85546875" bestFit="1" customWidth="1" min="6" max="6"/>
    <col width="36.42578125" bestFit="1" customWidth="1" min="7" max="7"/>
    <col width="35.28515625" bestFit="1" customWidth="1" min="8" max="9"/>
    <col width="31.7109375" bestFit="1" customWidth="1" min="10" max="10"/>
    <col width="37.7109375" bestFit="1" customWidth="1" min="11" max="11"/>
    <col width="35.28515625" bestFit="1" customWidth="1" min="12" max="12"/>
    <col width="21.140625" bestFit="1" customWidth="1" min="13" max="13"/>
  </cols>
  <sheetData>
    <row r="1">
      <c r="A1" t="inlineStr">
        <is>
          <t>Mata Kuliah</t>
        </is>
      </c>
      <c r="B1" t="inlineStr">
        <is>
          <t>: MIK1624404 - Analisis dan Strategi Algoritma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NDk5NDg0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D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t="inlineStr">
        <is>
          <t>First name</t>
        </is>
      </c>
      <c r="O7" t="inlineStr">
        <is>
          <t>Last name</t>
        </is>
      </c>
      <c r="P7" t="inlineStr">
        <is>
          <t>ID number</t>
        </is>
      </c>
      <c r="Q7" t="inlineStr">
        <is>
          <t>Institution</t>
        </is>
      </c>
      <c r="R7" t="inlineStr">
        <is>
          <t>Department</t>
        </is>
      </c>
      <c r="S7" t="inlineStr">
        <is>
          <t>Email address</t>
        </is>
      </c>
      <c r="T7" t="inlineStr">
        <is>
          <t>Quiz: Quis 1 (Real)</t>
        </is>
      </c>
      <c r="U7" t="inlineStr">
        <is>
          <t>Quiz: Quis 2 (Real)</t>
        </is>
      </c>
      <c r="V7" t="inlineStr">
        <is>
          <t>Quiz: Quis 3 (Real)</t>
        </is>
      </c>
      <c r="W7" t="inlineStr">
        <is>
          <t>Quiz: Quis 4 (Real)</t>
        </is>
      </c>
      <c r="X7" t="inlineStr">
        <is>
          <t>Quiz: quis 5 (Real)</t>
        </is>
      </c>
      <c r="Y7" t="inlineStr">
        <is>
          <t>Quiz: quis 6 (Real)</t>
        </is>
      </c>
      <c r="Z7" t="inlineStr">
        <is>
          <t>Quiz: Latihan UTS (Real)</t>
        </is>
      </c>
      <c r="AA7" t="inlineStr">
        <is>
          <t>Quiz: UTS (Real)</t>
        </is>
      </c>
      <c r="AB7" t="inlineStr">
        <is>
          <t>Last downloaded from this course</t>
        </is>
      </c>
    </row>
    <row r="8">
      <c r="A8" t="inlineStr">
        <is>
          <t>24060124140160</t>
        </is>
      </c>
      <c r="B8" t="inlineStr">
        <is>
          <t>BASIL AYMAN HARIADI</t>
        </is>
      </c>
      <c r="C8" t="n">
        <v>4</v>
      </c>
      <c r="D8" t="inlineStr">
        <is>
          <t>BARU</t>
        </is>
      </c>
      <c r="E8" s="3" t="n">
        <v>93</v>
      </c>
      <c r="F8" s="3" t="n"/>
      <c r="G8" s="3">
        <f>(E8*0.8)+(H8*0.2)</f>
        <v/>
      </c>
      <c r="H8" s="3" t="n">
        <v>67.965</v>
      </c>
      <c r="I8" s="3" t="n">
        <v>76</v>
      </c>
      <c r="J8" s="3" t="n"/>
      <c r="K8" s="2">
        <f>ROUND( ((E8*10+F8*40+G8*5+H8*5+I8*20+J8*20)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  <c r="N8" t="inlineStr">
        <is>
          <t>Basil Ayman Hariadi</t>
        </is>
      </c>
      <c r="O8" t="n">
        <v>24060124140160</v>
      </c>
      <c r="P8" t="inlineStr">
        <is>
          <t>4309fca1-fed8-4433-ba75-91900de5a888</t>
        </is>
      </c>
      <c r="S8" t="inlineStr">
        <is>
          <t>basilaymanhariadi@students.undip.ac.id</t>
        </is>
      </c>
      <c r="T8" t="n">
        <v>58.33</v>
      </c>
      <c r="U8" t="n">
        <v>72.09999999999999</v>
      </c>
      <c r="V8" t="n">
        <v>71.43000000000001</v>
      </c>
      <c r="W8" t="inlineStr">
        <is>
          <t>-</t>
        </is>
      </c>
      <c r="X8" t="n">
        <v>5.5</v>
      </c>
      <c r="Y8" t="n">
        <v>70</v>
      </c>
      <c r="Z8" t="n">
        <v>8.869999999999999</v>
      </c>
      <c r="AA8" t="n">
        <v>93</v>
      </c>
      <c r="AB8" t="n">
        <v>1782747465</v>
      </c>
    </row>
    <row r="9">
      <c r="A9" t="inlineStr">
        <is>
          <t>24060124140161</t>
        </is>
      </c>
      <c r="B9" t="inlineStr">
        <is>
          <t>AZKA WAYASY AL HAFIZH</t>
        </is>
      </c>
      <c r="C9" t="n">
        <v>4</v>
      </c>
      <c r="D9" t="inlineStr">
        <is>
          <t>BARU</t>
        </is>
      </c>
      <c r="E9" s="3" t="n">
        <v>81</v>
      </c>
      <c r="F9" s="3" t="n"/>
      <c r="G9" s="3">
        <f>(E9*0.8)+(H9*0.2)</f>
        <v/>
      </c>
      <c r="H9" s="3" t="n">
        <v>68.8875</v>
      </c>
      <c r="I9" s="3" t="n">
        <v>77</v>
      </c>
      <c r="J9" s="3" t="n"/>
      <c r="K9" s="2">
        <f>ROUND( ((E9*10+F9*40+G9*5+H9*5+I9*20+J9*20)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  <c r="N9" t="inlineStr">
        <is>
          <t>Azka Wayasy Al Hafizh</t>
        </is>
      </c>
      <c r="O9" t="n">
        <v>24060124140161</v>
      </c>
      <c r="P9" t="inlineStr">
        <is>
          <t>f0278eb3-7df4-42ee-be5a-220755de89c7</t>
        </is>
      </c>
      <c r="S9" t="inlineStr">
        <is>
          <t>azkawayasy@students.undip.ac.id</t>
        </is>
      </c>
      <c r="T9" t="n">
        <v>50</v>
      </c>
      <c r="U9" t="n">
        <v>88.41</v>
      </c>
      <c r="V9" t="n">
        <v>57.14</v>
      </c>
      <c r="W9" t="inlineStr">
        <is>
          <t>-</t>
        </is>
      </c>
      <c r="X9" t="n">
        <v>5.5</v>
      </c>
      <c r="Y9" t="n">
        <v>80</v>
      </c>
      <c r="Z9" t="inlineStr">
        <is>
          <t>-</t>
        </is>
      </c>
      <c r="AA9" t="n">
        <v>81</v>
      </c>
      <c r="AB9" t="n">
        <v>1782747465</v>
      </c>
    </row>
    <row r="10">
      <c r="A10" t="inlineStr">
        <is>
          <t>24060124140192</t>
        </is>
      </c>
      <c r="B10" t="inlineStr">
        <is>
          <t>ARYO PASYA RAMADHAN (&lt; 75%)</t>
        </is>
      </c>
      <c r="C10" t="n">
        <v>4</v>
      </c>
      <c r="D10" t="inlineStr">
        <is>
          <t>BARU</t>
        </is>
      </c>
      <c r="E10" s="3" t="n"/>
      <c r="F10" s="3" t="n"/>
      <c r="G10" s="3">
        <f>(E10*0.8)+(H10*0.2)</f>
        <v/>
      </c>
      <c r="H10" s="3" t="n">
        <v>0</v>
      </c>
      <c r="I10" s="3" t="n"/>
      <c r="J10" s="2" t="n"/>
      <c r="K10" s="2">
        <f>ROUND( ((E10*10+F10*40+G10*5+H10*5+I10*20+J10*20)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</row>
    <row r="11">
      <c r="A11" t="inlineStr">
        <is>
          <t>24060124130065</t>
        </is>
      </c>
      <c r="B11" t="inlineStr">
        <is>
          <t>ELZA KHOIRISMA CARRYNDA</t>
        </is>
      </c>
      <c r="C11" t="n">
        <v>4</v>
      </c>
      <c r="D11" t="inlineStr">
        <is>
          <t>BARU</t>
        </is>
      </c>
      <c r="E11" s="3" t="n">
        <v>96</v>
      </c>
      <c r="F11" s="3" t="n"/>
      <c r="G11" s="3">
        <f>(E11*0.8)+(H11*0.2)</f>
        <v/>
      </c>
      <c r="H11" s="3" t="n">
        <v>90.99249999999999</v>
      </c>
      <c r="I11" s="3" t="n">
        <v>79</v>
      </c>
      <c r="J11" s="3" t="n"/>
      <c r="K11" s="2">
        <f>ROUND( ((E11*10+F11*40+G11*5+H11*5+I11*20+J11*20)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  <c r="N11" t="inlineStr">
        <is>
          <t>Elza Khoirisma Carrynda</t>
        </is>
      </c>
      <c r="O11" t="n">
        <v>24060124130065</v>
      </c>
      <c r="P11" t="inlineStr">
        <is>
          <t>6a8316c9-b945-4e83-9fa3-dcc848edd692</t>
        </is>
      </c>
      <c r="S11" t="inlineStr">
        <is>
          <t>elzakcarrynda@students.undip.ac.id</t>
        </is>
      </c>
      <c r="T11" t="n">
        <v>83.33</v>
      </c>
      <c r="U11" t="n">
        <v>94.93000000000001</v>
      </c>
      <c r="V11" t="n">
        <v>85.70999999999999</v>
      </c>
      <c r="W11" t="inlineStr">
        <is>
          <t>-</t>
        </is>
      </c>
      <c r="X11" t="n">
        <v>9</v>
      </c>
      <c r="Y11" t="n">
        <v>100</v>
      </c>
      <c r="Z11" t="inlineStr">
        <is>
          <t>-</t>
        </is>
      </c>
      <c r="AA11" t="n">
        <v>96</v>
      </c>
      <c r="AB11" t="n">
        <v>1782747465</v>
      </c>
    </row>
    <row r="12">
      <c r="A12" t="inlineStr">
        <is>
          <t>24060124140145</t>
        </is>
      </c>
      <c r="B12" t="inlineStr">
        <is>
          <t>FERDY PRASETYA PUTRA</t>
        </is>
      </c>
      <c r="C12" t="n">
        <v>4</v>
      </c>
      <c r="D12" t="inlineStr">
        <is>
          <t>BARU</t>
        </is>
      </c>
      <c r="E12" s="3" t="n">
        <v>85.33</v>
      </c>
      <c r="F12" s="3" t="n"/>
      <c r="G12" s="3">
        <f>(E12*0.8)+(H12*0.2)</f>
        <v/>
      </c>
      <c r="H12" s="3" t="n">
        <v>81.17749999999999</v>
      </c>
      <c r="I12" s="3" t="n">
        <v>83</v>
      </c>
      <c r="J12" s="3" t="n"/>
      <c r="K12" s="2">
        <f>ROUND( ((E12*10+F12*40+G12*5+H12*5+I12*20+J12*20)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  <c r="N12" t="inlineStr">
        <is>
          <t>Ferdy Prasetya Putra</t>
        </is>
      </c>
      <c r="O12" t="n">
        <v>24060124140145</v>
      </c>
      <c r="P12" t="inlineStr">
        <is>
          <t>b6bee28b-5cf4-4906-9186-ce21a3fcf69d</t>
        </is>
      </c>
      <c r="S12" t="inlineStr">
        <is>
          <t>ferdyprasetyaputra@students.undip.ac.id</t>
        </is>
      </c>
      <c r="T12" t="n">
        <v>50</v>
      </c>
      <c r="U12" t="n">
        <v>79.70999999999999</v>
      </c>
      <c r="V12" t="n">
        <v>100</v>
      </c>
      <c r="W12" t="inlineStr">
        <is>
          <t>-</t>
        </is>
      </c>
      <c r="X12" t="n">
        <v>5.5</v>
      </c>
      <c r="Y12" t="n">
        <v>95</v>
      </c>
      <c r="Z12" t="n">
        <v>8.210000000000001</v>
      </c>
      <c r="AA12" t="n">
        <v>85.33</v>
      </c>
      <c r="AB12" t="n">
        <v>1782747465</v>
      </c>
    </row>
    <row r="13">
      <c r="A13" t="inlineStr">
        <is>
          <t>24060124140171</t>
        </is>
      </c>
      <c r="B13" t="inlineStr">
        <is>
          <t>GHATFAN MUHAMMAD ATIWIAR</t>
        </is>
      </c>
      <c r="C13" t="n">
        <v>4</v>
      </c>
      <c r="D13" t="inlineStr">
        <is>
          <t>BARU</t>
        </is>
      </c>
      <c r="E13" s="3" t="n">
        <v>89.33</v>
      </c>
      <c r="F13" s="3" t="n"/>
      <c r="G13" s="3">
        <f>(E13*0.8)+(H13*0.2)</f>
        <v/>
      </c>
      <c r="H13" s="3" t="n">
        <v>56.3125</v>
      </c>
      <c r="I13" s="3" t="n">
        <v>83</v>
      </c>
      <c r="J13" s="3" t="n"/>
      <c r="K13" s="2">
        <f>ROUND( ((E13*10+F13*40+G13*5+H13*5+I13*20+J13*20)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  <c r="N13" t="inlineStr">
        <is>
          <t>Ghatfan Muhammad Atiwiar</t>
        </is>
      </c>
      <c r="O13" t="n">
        <v>24060124140171</v>
      </c>
      <c r="P13" t="inlineStr">
        <is>
          <t>dc1d53a3-d395-4a9c-a99f-69bc6cf75626</t>
        </is>
      </c>
      <c r="S13" t="inlineStr">
        <is>
          <t>ghatfanmuhammad@students.undip.ac.id</t>
        </is>
      </c>
      <c r="T13" t="n">
        <v>33.33</v>
      </c>
      <c r="U13" t="n">
        <v>34.78</v>
      </c>
      <c r="V13" t="n">
        <v>57.14</v>
      </c>
      <c r="W13" t="inlineStr">
        <is>
          <t>-</t>
        </is>
      </c>
      <c r="X13" t="n">
        <v>8.5</v>
      </c>
      <c r="Y13" t="n">
        <v>100</v>
      </c>
      <c r="Z13" t="n">
        <v>0.62</v>
      </c>
      <c r="AA13" t="n">
        <v>89.33</v>
      </c>
      <c r="AB13" t="n">
        <v>1782747465</v>
      </c>
    </row>
    <row r="14">
      <c r="A14" t="inlineStr">
        <is>
          <t>24060124130054</t>
        </is>
      </c>
      <c r="B14" t="inlineStr">
        <is>
          <t>RAFFIE ADITYA AKBAR</t>
        </is>
      </c>
      <c r="C14" t="n">
        <v>4</v>
      </c>
      <c r="D14" t="inlineStr">
        <is>
          <t>BARU</t>
        </is>
      </c>
      <c r="E14" s="3" t="n">
        <v>94.33</v>
      </c>
      <c r="F14" s="3" t="n"/>
      <c r="G14" s="3">
        <f>(E14*0.8)+(H14*0.2)</f>
        <v/>
      </c>
      <c r="H14" s="3" t="n">
        <v>81.4425</v>
      </c>
      <c r="I14" s="3" t="n">
        <v>82</v>
      </c>
      <c r="J14" s="3" t="n"/>
      <c r="K14" s="2">
        <f>ROUND( ((E14*10+F14*40+G14*5+H14*5+I14*20+J14*20)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  <c r="N14" t="inlineStr">
        <is>
          <t>Raffie Aditya Akbar</t>
        </is>
      </c>
      <c r="O14" t="n">
        <v>24060124130054</v>
      </c>
      <c r="P14" t="inlineStr">
        <is>
          <t>e9c1fd54-37f0-49ff-9c68-2cfb38f1f140</t>
        </is>
      </c>
      <c r="S14" t="inlineStr">
        <is>
          <t>raffieadityaakbar@students.undip.ac.id</t>
        </is>
      </c>
      <c r="T14" t="n">
        <v>91.67</v>
      </c>
      <c r="U14" t="n">
        <v>86.95999999999999</v>
      </c>
      <c r="V14" t="n">
        <v>57.14</v>
      </c>
      <c r="W14" t="inlineStr">
        <is>
          <t>-</t>
        </is>
      </c>
      <c r="X14" t="inlineStr">
        <is>
          <t>-</t>
        </is>
      </c>
      <c r="Y14" t="n">
        <v>90</v>
      </c>
      <c r="Z14" t="inlineStr">
        <is>
          <t>-</t>
        </is>
      </c>
      <c r="AA14" t="n">
        <v>94.33</v>
      </c>
      <c r="AB14" t="n">
        <v>1782747465</v>
      </c>
    </row>
    <row r="15">
      <c r="A15" t="inlineStr">
        <is>
          <t>24060124130092</t>
        </is>
      </c>
      <c r="B15" t="inlineStr">
        <is>
          <t>SYURAIH UMAR KHOTTHOB</t>
        </is>
      </c>
      <c r="C15" t="n">
        <v>4</v>
      </c>
      <c r="D15" t="inlineStr">
        <is>
          <t>BARU</t>
        </is>
      </c>
      <c r="E15" s="3" t="n">
        <v>97</v>
      </c>
      <c r="F15" s="3" t="n"/>
      <c r="G15" s="3">
        <f>(E15*0.8)+(H15*0.2)</f>
        <v/>
      </c>
      <c r="H15" s="3" t="n">
        <v>84.54249999999999</v>
      </c>
      <c r="I15" s="3" t="n">
        <v>82</v>
      </c>
      <c r="J15" s="3" t="n"/>
      <c r="K15" s="2">
        <f>ROUND( ((E15*10+F15*40+G15*5+H15*5+I15*20+J15*20)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  <c r="N15" t="inlineStr">
        <is>
          <t>Syuraih Umar Khotthob</t>
        </is>
      </c>
      <c r="O15" t="n">
        <v>24060124130092</v>
      </c>
      <c r="P15" t="inlineStr">
        <is>
          <t>9f72db65-607a-4f09-bd5e-b989b218ff7e</t>
        </is>
      </c>
      <c r="S15" t="inlineStr">
        <is>
          <t>syuraihumar@students.undip.ac.id</t>
        </is>
      </c>
      <c r="T15" t="n">
        <v>83.33</v>
      </c>
      <c r="U15" t="n">
        <v>89.13</v>
      </c>
      <c r="V15" t="n">
        <v>85.70999999999999</v>
      </c>
      <c r="W15" t="inlineStr">
        <is>
          <t>-</t>
        </is>
      </c>
      <c r="X15" t="n">
        <v>8</v>
      </c>
      <c r="Y15" t="n">
        <v>80</v>
      </c>
      <c r="Z15" t="n">
        <v>8.449999999999999</v>
      </c>
      <c r="AA15" t="n">
        <v>97</v>
      </c>
      <c r="AB15" t="n">
        <v>1782747465</v>
      </c>
    </row>
    <row r="16">
      <c r="A16" t="inlineStr">
        <is>
          <t>24060124130095</t>
        </is>
      </c>
      <c r="B16" t="inlineStr">
        <is>
          <t>ZULFA NABILAH</t>
        </is>
      </c>
      <c r="C16" t="n">
        <v>4</v>
      </c>
      <c r="D16" t="inlineStr">
        <is>
          <t>BARU</t>
        </is>
      </c>
      <c r="E16" s="3" t="n">
        <v>95</v>
      </c>
      <c r="F16" s="3" t="n"/>
      <c r="G16" s="3">
        <f>(E16*0.8)+(H16*0.2)</f>
        <v/>
      </c>
      <c r="H16" s="3" t="n">
        <v>77.29000000000001</v>
      </c>
      <c r="I16" s="3" t="n">
        <v>79</v>
      </c>
      <c r="J16" s="3" t="n"/>
      <c r="K16" s="2">
        <f>ROUND( ((E16*10+F16*40+G16*5+H16*5+I16*20+J16*20)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  <c r="N16" t="inlineStr">
        <is>
          <t>Zulfa Nabilah</t>
        </is>
      </c>
      <c r="O16" t="n">
        <v>24060124130095</v>
      </c>
      <c r="P16" t="inlineStr">
        <is>
          <t>21c0cc7a-c842-4d12-a243-aeebea27708a</t>
        </is>
      </c>
      <c r="S16" t="inlineStr">
        <is>
          <t>bila150@students.undip.ac.id</t>
        </is>
      </c>
      <c r="T16" t="n">
        <v>75</v>
      </c>
      <c r="U16" t="n">
        <v>91.3</v>
      </c>
      <c r="V16" t="n">
        <v>42.86</v>
      </c>
      <c r="W16" t="inlineStr">
        <is>
          <t>-</t>
        </is>
      </c>
      <c r="X16" t="n">
        <v>9</v>
      </c>
      <c r="Y16" t="n">
        <v>100</v>
      </c>
      <c r="Z16" t="inlineStr">
        <is>
          <t>-</t>
        </is>
      </c>
      <c r="AA16" t="n">
        <v>95</v>
      </c>
      <c r="AB16" t="n">
        <v>1782747465</v>
      </c>
    </row>
    <row r="17">
      <c r="A17" t="inlineStr">
        <is>
          <t>24060124140172</t>
        </is>
      </c>
      <c r="B17" t="inlineStr">
        <is>
          <t>SYAIR ADHARIAN</t>
        </is>
      </c>
      <c r="C17" t="n">
        <v>4</v>
      </c>
      <c r="D17" t="inlineStr">
        <is>
          <t>BARU</t>
        </is>
      </c>
      <c r="E17" s="3" t="n">
        <v>0</v>
      </c>
      <c r="F17" s="3" t="n"/>
      <c r="G17" s="3">
        <f>(E17*0.8)+(H17*0.2)</f>
        <v/>
      </c>
      <c r="H17" s="3" t="n">
        <v>48.61499999999999</v>
      </c>
      <c r="I17" s="3" t="n"/>
      <c r="J17" s="3" t="n"/>
      <c r="K17" s="2">
        <f>ROUND( ((E17*10+F17*40+G17*5+H17*5+I17*20+J17*20)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  <c r="N17" t="inlineStr">
        <is>
          <t>Syair Adharian</t>
        </is>
      </c>
      <c r="O17" t="n">
        <v>24060124140172</v>
      </c>
      <c r="P17" t="inlineStr">
        <is>
          <t>e6cfbd90-c182-488e-9bdb-f0d3ae8f17e4</t>
        </is>
      </c>
      <c r="S17" t="inlineStr">
        <is>
          <t>adharian@students.undip.ac.id</t>
        </is>
      </c>
      <c r="T17" t="n">
        <v>75</v>
      </c>
      <c r="U17" t="n">
        <v>62.32</v>
      </c>
      <c r="V17" t="n">
        <v>57.14</v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1782747465</v>
      </c>
    </row>
    <row r="18">
      <c r="A18" t="inlineStr">
        <is>
          <t>24060124140196</t>
        </is>
      </c>
      <c r="B18" t="inlineStr">
        <is>
          <t>SABURO RAFQI HIDAYAT</t>
        </is>
      </c>
      <c r="C18" t="n">
        <v>4</v>
      </c>
      <c r="D18" t="inlineStr">
        <is>
          <t>BARU</t>
        </is>
      </c>
      <c r="E18" s="3" t="n">
        <v>97.5</v>
      </c>
      <c r="F18" s="3" t="n"/>
      <c r="G18" s="3">
        <f>(E18*0.8)+(H18*0.2)</f>
        <v/>
      </c>
      <c r="H18" s="3" t="n">
        <v>63.41249999999999</v>
      </c>
      <c r="I18" s="3" t="n">
        <v>82</v>
      </c>
      <c r="J18" s="3" t="n"/>
      <c r="K18" s="2">
        <f>ROUND( ((E18*10+F18*40+G18*5+H18*5+I18*20+J18*20)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  <c r="N18" t="inlineStr">
        <is>
          <t>Saburo Rafqi Hidayat</t>
        </is>
      </c>
      <c r="O18" t="n">
        <v>24060124140196</v>
      </c>
      <c r="P18" t="inlineStr">
        <is>
          <t>589d74b7-3934-4e27-a0bd-404c2cf21100</t>
        </is>
      </c>
      <c r="S18" t="inlineStr">
        <is>
          <t>saburorafqh@students.undip.ac.id</t>
        </is>
      </c>
      <c r="T18" t="n">
        <v>66.67</v>
      </c>
      <c r="U18" t="n">
        <v>88.41</v>
      </c>
      <c r="V18" t="n">
        <v>28.57</v>
      </c>
      <c r="W18" t="inlineStr">
        <is>
          <t>-</t>
        </is>
      </c>
      <c r="X18" t="n">
        <v>7.5</v>
      </c>
      <c r="Y18" t="n">
        <v>70</v>
      </c>
      <c r="Z18" t="n">
        <v>9.279999999999999</v>
      </c>
      <c r="AA18" t="n">
        <v>97.5</v>
      </c>
      <c r="AB18" t="n">
        <v>1782747465</v>
      </c>
    </row>
    <row r="19">
      <c r="A19" t="inlineStr">
        <is>
          <t>24060124120036</t>
        </is>
      </c>
      <c r="B19" t="inlineStr">
        <is>
          <t>MARCHELLA ARKHINA RATUNESIA</t>
        </is>
      </c>
      <c r="C19" t="n">
        <v>4</v>
      </c>
      <c r="D19" t="inlineStr">
        <is>
          <t>BARU</t>
        </is>
      </c>
      <c r="E19" s="3" t="n">
        <v>93.67</v>
      </c>
      <c r="F19" s="3" t="n"/>
      <c r="G19" s="3">
        <f>(E19*0.8)+(H19*0.2)</f>
        <v/>
      </c>
      <c r="H19" s="3" t="n">
        <v>71.2975</v>
      </c>
      <c r="I19" s="3" t="n">
        <v>78</v>
      </c>
      <c r="J19" s="3" t="n"/>
      <c r="K19" s="2">
        <f>ROUND( ((E19*10+F19*40+G19*5+H19*5+I19*20+J19*20)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  <c r="N19" t="inlineStr">
        <is>
          <t>Marchella Arkhina Ratunesia</t>
        </is>
      </c>
      <c r="O19" t="n">
        <v>24060124120036</v>
      </c>
      <c r="P19" t="inlineStr">
        <is>
          <t>8af6d3d5-6602-4daf-af10-b4025ef4ac1e</t>
        </is>
      </c>
      <c r="S19" t="inlineStr">
        <is>
          <t>marchellakhina@students.undip.ac.id</t>
        </is>
      </c>
      <c r="T19" t="n">
        <v>83.33</v>
      </c>
      <c r="U19" t="n">
        <v>80.43000000000001</v>
      </c>
      <c r="V19" t="n">
        <v>71.43000000000001</v>
      </c>
      <c r="W19" t="inlineStr">
        <is>
          <t>-</t>
        </is>
      </c>
      <c r="X19" t="n">
        <v>9</v>
      </c>
      <c r="Y19" t="n">
        <v>50</v>
      </c>
      <c r="Z19" t="inlineStr">
        <is>
          <t>-</t>
        </is>
      </c>
      <c r="AA19" t="n">
        <v>93.67</v>
      </c>
      <c r="AB19" t="n">
        <v>1782747465</v>
      </c>
    </row>
    <row r="20">
      <c r="A20" t="inlineStr">
        <is>
          <t>24060124140138</t>
        </is>
      </c>
      <c r="B20" t="inlineStr">
        <is>
          <t>MENZA ISAIAH TAMPUBOLON</t>
        </is>
      </c>
      <c r="C20" t="n">
        <v>4</v>
      </c>
      <c r="D20" t="inlineStr">
        <is>
          <t>BARU</t>
        </is>
      </c>
      <c r="E20" s="3" t="n">
        <v>89</v>
      </c>
      <c r="F20" s="3" t="n"/>
      <c r="G20" s="3">
        <f>(E20*0.8)+(H20*0.2)</f>
        <v/>
      </c>
      <c r="H20" s="3" t="n">
        <v>58.73999999999999</v>
      </c>
      <c r="I20" s="3" t="n">
        <v>77</v>
      </c>
      <c r="J20" s="3" t="n"/>
      <c r="K20" s="2">
        <f>ROUND( ((E20*10+F20*40+G20*5+H20*5+I20*20+J20*20)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  <c r="N20" t="inlineStr">
        <is>
          <t>Menza Isaiah Tampubolon</t>
        </is>
      </c>
      <c r="O20" t="n">
        <v>24060124140138</v>
      </c>
      <c r="P20" t="inlineStr">
        <is>
          <t>de34b32c-c652-44a0-a0cb-5bbaa8a5f5c0</t>
        </is>
      </c>
      <c r="S20" t="inlineStr">
        <is>
          <t>menzatampubolon@students.undip.ac.id</t>
        </is>
      </c>
      <c r="T20" t="n">
        <v>58.33</v>
      </c>
      <c r="U20" t="n">
        <v>63.77</v>
      </c>
      <c r="V20" t="n">
        <v>42.86</v>
      </c>
      <c r="W20" t="inlineStr">
        <is>
          <t>-</t>
        </is>
      </c>
      <c r="X20" t="n">
        <v>10</v>
      </c>
      <c r="Y20" t="n">
        <v>70</v>
      </c>
      <c r="Z20" t="n">
        <v>5.36</v>
      </c>
      <c r="AA20" t="n">
        <v>89</v>
      </c>
      <c r="AB20" t="n">
        <v>1782747465</v>
      </c>
    </row>
    <row r="21">
      <c r="A21" t="inlineStr">
        <is>
          <t>24060124140190</t>
        </is>
      </c>
      <c r="B21" t="inlineStr">
        <is>
          <t>MOHAMMAD ANDHIKA RAMADHAN</t>
        </is>
      </c>
      <c r="C21" t="n">
        <v>4</v>
      </c>
      <c r="D21" t="inlineStr">
        <is>
          <t>BARU</t>
        </is>
      </c>
      <c r="E21" s="3" t="n">
        <v>80</v>
      </c>
      <c r="F21" s="3" t="n"/>
      <c r="G21" s="3">
        <f>(E21*0.8)+(H21*0.2)</f>
        <v/>
      </c>
      <c r="H21" s="3" t="n">
        <v>60.84</v>
      </c>
      <c r="I21" s="3" t="n">
        <v>81</v>
      </c>
      <c r="J21" s="3" t="n"/>
      <c r="K21" s="2">
        <f>ROUND( ((E21*10+F21*40+G21*5+H21*5+I21*20+J21*20)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  <c r="N21" t="inlineStr">
        <is>
          <t>Mohammad Andhika Ramadhan</t>
        </is>
      </c>
      <c r="O21" t="n">
        <v>24060124140190</v>
      </c>
      <c r="P21" t="inlineStr">
        <is>
          <t>977687db-5101-4f56-8c79-6e3fe32e76a1</t>
        </is>
      </c>
      <c r="S21" t="inlineStr">
        <is>
          <t>mohammadandhika@students.undip.ac.id</t>
        </is>
      </c>
      <c r="T21" t="n">
        <v>83.33</v>
      </c>
      <c r="U21" t="n">
        <v>52.17</v>
      </c>
      <c r="V21" t="n">
        <v>42.86</v>
      </c>
      <c r="W21" t="inlineStr">
        <is>
          <t>-</t>
        </is>
      </c>
      <c r="X21" t="n">
        <v>8</v>
      </c>
      <c r="Y21" t="n">
        <v>65</v>
      </c>
      <c r="Z21" t="inlineStr">
        <is>
          <t>-</t>
        </is>
      </c>
      <c r="AA21" t="n">
        <v>80</v>
      </c>
      <c r="AB21" t="n">
        <v>1782747465</v>
      </c>
    </row>
    <row r="22">
      <c r="A22" t="inlineStr">
        <is>
          <t>24060124120004</t>
        </is>
      </c>
      <c r="B22" t="inlineStr">
        <is>
          <t>KAYLA FEBRINA LAURA AYU</t>
        </is>
      </c>
      <c r="C22" t="n">
        <v>4</v>
      </c>
      <c r="D22" t="inlineStr">
        <is>
          <t>BARU</t>
        </is>
      </c>
      <c r="E22" s="3" t="n">
        <v>88</v>
      </c>
      <c r="F22" s="3" t="n"/>
      <c r="G22" s="3">
        <f>(E22*0.8)+(H22*0.2)</f>
        <v/>
      </c>
      <c r="H22" s="3" t="n">
        <v>90.035</v>
      </c>
      <c r="I22" s="3" t="n">
        <v>78</v>
      </c>
      <c r="J22" s="3" t="n"/>
      <c r="K22" s="2">
        <f>ROUND( ((E22*10+F22*40+G22*5+H22*5+I22*20+J22*20)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  <c r="N22" t="inlineStr">
        <is>
          <t>Kayla Febrina Laura Ayu</t>
        </is>
      </c>
      <c r="O22" t="n">
        <v>24060124120004</v>
      </c>
      <c r="P22" t="inlineStr">
        <is>
          <t>01bcf907-b093-4145-a921-f1c23ef1af29</t>
        </is>
      </c>
      <c r="S22" t="inlineStr">
        <is>
          <t>kaylafebrinalauraayu@students.undip.ac.id</t>
        </is>
      </c>
      <c r="T22" t="n">
        <v>83.33</v>
      </c>
      <c r="U22" t="n">
        <v>76.81</v>
      </c>
      <c r="V22" t="n">
        <v>100</v>
      </c>
      <c r="W22" t="inlineStr">
        <is>
          <t>-</t>
        </is>
      </c>
      <c r="X22" t="n">
        <v>9.5</v>
      </c>
      <c r="Y22" t="n">
        <v>100</v>
      </c>
      <c r="Z22" t="n">
        <v>9.279999999999999</v>
      </c>
      <c r="AA22" t="n">
        <v>88</v>
      </c>
      <c r="AB22" t="n">
        <v>1782747465</v>
      </c>
    </row>
    <row r="23">
      <c r="A23" t="inlineStr">
        <is>
          <t>24060124120039</t>
        </is>
      </c>
      <c r="B23" t="inlineStr">
        <is>
          <t>IZZATU KHOIRUL FATA</t>
        </is>
      </c>
      <c r="C23" t="n">
        <v>4</v>
      </c>
      <c r="D23" t="inlineStr">
        <is>
          <t>BARU</t>
        </is>
      </c>
      <c r="E23" s="3" t="n">
        <v>94</v>
      </c>
      <c r="F23" s="3" t="n"/>
      <c r="G23" s="3">
        <f>(E23*0.8)+(H23*0.2)</f>
        <v/>
      </c>
      <c r="H23" s="3" t="n">
        <v>73.14749999999999</v>
      </c>
      <c r="I23" s="3" t="n">
        <v>89</v>
      </c>
      <c r="J23" s="3" t="n"/>
      <c r="K23" s="2">
        <f>ROUND( ((E23*10+F23*40+G23*5+H23*5+I23*20+J23*20)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  <c r="N23" t="inlineStr">
        <is>
          <t>Izzatu Khoirul Fata</t>
        </is>
      </c>
      <c r="O23" t="n">
        <v>24060124120039</v>
      </c>
      <c r="P23" t="inlineStr">
        <is>
          <t>966ae3f4-c38c-4287-bb5a-e4d892ce4894</t>
        </is>
      </c>
      <c r="S23" t="inlineStr">
        <is>
          <t>izzatukhoirulfata@students.undip.ac.id</t>
        </is>
      </c>
      <c r="T23" t="n">
        <v>50</v>
      </c>
      <c r="U23" t="n">
        <v>81.88</v>
      </c>
      <c r="V23" t="n">
        <v>85.70999999999999</v>
      </c>
      <c r="W23" t="inlineStr">
        <is>
          <t>-</t>
        </is>
      </c>
      <c r="X23" t="n">
        <v>8.5</v>
      </c>
      <c r="Y23" t="n">
        <v>75</v>
      </c>
      <c r="Z23" t="n">
        <v>9.380000000000001</v>
      </c>
      <c r="AA23" t="n">
        <v>94</v>
      </c>
      <c r="AB23" t="n">
        <v>1782747465</v>
      </c>
    </row>
    <row r="24">
      <c r="A24" t="inlineStr">
        <is>
          <t>24060124130119</t>
        </is>
      </c>
      <c r="B24" t="inlineStr">
        <is>
          <t>HASTA PUTRA WILDANTARA</t>
        </is>
      </c>
      <c r="C24" t="n">
        <v>4</v>
      </c>
      <c r="D24" t="inlineStr">
        <is>
          <t>BARU</t>
        </is>
      </c>
      <c r="E24" s="3" t="n">
        <v>95</v>
      </c>
      <c r="F24" s="3" t="n"/>
      <c r="G24" s="3">
        <f>(E24*0.8)+(H24*0.2)</f>
        <v/>
      </c>
      <c r="H24" s="3" t="n">
        <v>35.7275</v>
      </c>
      <c r="I24" s="3" t="n">
        <v>89</v>
      </c>
      <c r="J24" s="3" t="n"/>
      <c r="K24" s="2">
        <f>ROUND( ((E24*10+F24*40+G24*5+H24*5+I24*20+J24*20)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  <c r="N24" t="inlineStr">
        <is>
          <t>Hasta Putra Wildantara</t>
        </is>
      </c>
      <c r="O24" t="n">
        <v>24060124130119</v>
      </c>
      <c r="P24" t="inlineStr">
        <is>
          <t>40a9ab64-108c-4fa5-8e2a-46322c797db6</t>
        </is>
      </c>
      <c r="S24" t="inlineStr">
        <is>
          <t>hastaputrawildantara@students.undip.ac.id</t>
        </is>
      </c>
      <c r="T24" t="n">
        <v>75</v>
      </c>
      <c r="U24" t="n">
        <v>53.62</v>
      </c>
      <c r="V24" t="n">
        <v>14.29</v>
      </c>
      <c r="W24" t="inlineStr">
        <is>
          <t>-</t>
        </is>
      </c>
      <c r="X24" t="n">
        <v>9.5</v>
      </c>
      <c r="Y24" t="inlineStr">
        <is>
          <t>-</t>
        </is>
      </c>
      <c r="Z24" t="n">
        <v>9.18</v>
      </c>
      <c r="AA24" t="n">
        <v>95</v>
      </c>
      <c r="AB24" t="n">
        <v>1782747465</v>
      </c>
    </row>
    <row r="25">
      <c r="A25" t="inlineStr">
        <is>
          <t>24060124140183</t>
        </is>
      </c>
      <c r="B25" t="inlineStr">
        <is>
          <t>HANIF IHSANUL HUDA</t>
        </is>
      </c>
      <c r="C25" t="n">
        <v>4</v>
      </c>
      <c r="D25" t="inlineStr">
        <is>
          <t>BARU</t>
        </is>
      </c>
      <c r="E25" s="3" t="n">
        <v>86.33</v>
      </c>
      <c r="F25" s="3" t="n"/>
      <c r="G25" s="3">
        <f>(E25*0.8)+(H25*0.2)</f>
        <v/>
      </c>
      <c r="H25" s="3" t="n">
        <v>67.49250000000001</v>
      </c>
      <c r="I25" s="3" t="n">
        <v>89</v>
      </c>
      <c r="J25" s="3" t="n"/>
      <c r="K25" s="2">
        <f>ROUND( ((E25*10+F25*40+G25*5+H25*5+I25*20+J25*20)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  <c r="N25" t="inlineStr">
        <is>
          <t>Hanif Ihsanul Huda</t>
        </is>
      </c>
      <c r="O25" t="n">
        <v>24060124140183</v>
      </c>
      <c r="P25" t="inlineStr">
        <is>
          <t>70148679-8919-40e5-99e6-834e8712fb2d</t>
        </is>
      </c>
      <c r="S25" t="inlineStr">
        <is>
          <t>hanifihsan@students.undip.ac.id</t>
        </is>
      </c>
      <c r="T25" t="n">
        <v>41.67</v>
      </c>
      <c r="U25" t="n">
        <v>81.16</v>
      </c>
      <c r="V25" t="n">
        <v>57.14</v>
      </c>
      <c r="W25" t="inlineStr">
        <is>
          <t>-</t>
        </is>
      </c>
      <c r="X25" t="inlineStr">
        <is>
          <t>-</t>
        </is>
      </c>
      <c r="Y25" t="n">
        <v>90</v>
      </c>
      <c r="Z25" t="inlineStr">
        <is>
          <t>-</t>
        </is>
      </c>
      <c r="AA25" t="n">
        <v>86.33</v>
      </c>
      <c r="AB25" t="n">
        <v>1782747465</v>
      </c>
    </row>
    <row r="26">
      <c r="A26" t="inlineStr">
        <is>
          <t>24060124140202</t>
        </is>
      </c>
      <c r="B26" t="inlineStr">
        <is>
          <t>IKRAR MAHESWARA RABBANI WIBOWO</t>
        </is>
      </c>
      <c r="C26" t="n">
        <v>4</v>
      </c>
      <c r="D26" t="inlineStr">
        <is>
          <t>BARU</t>
        </is>
      </c>
      <c r="E26" s="3" t="n">
        <v>92</v>
      </c>
      <c r="F26" s="3" t="n"/>
      <c r="G26" s="3">
        <f>(E26*0.8)+(H26*0.2)</f>
        <v/>
      </c>
      <c r="H26" s="3" t="n">
        <v>74.175</v>
      </c>
      <c r="I26" s="3" t="n">
        <v>77</v>
      </c>
      <c r="J26" s="3" t="n"/>
      <c r="K26" s="2">
        <f>ROUND( ((E26*10+F26*40+G26*5+H26*5+I26*20+J26*20)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  <c r="N26" t="inlineStr">
        <is>
          <t>Ikrar Maheswara Rabbani Wibowo</t>
        </is>
      </c>
      <c r="O26" t="n">
        <v>24060124140202</v>
      </c>
      <c r="P26" t="inlineStr">
        <is>
          <t>59fae672-0391-4355-b2a2-9866d7ba0644</t>
        </is>
      </c>
      <c r="S26" t="inlineStr">
        <is>
          <t>ikrarmahes@students.undip.ac.id</t>
        </is>
      </c>
      <c r="T26" t="n">
        <v>58.33</v>
      </c>
      <c r="U26" t="n">
        <v>86.23</v>
      </c>
      <c r="V26" t="n">
        <v>57.14</v>
      </c>
      <c r="W26" t="inlineStr">
        <is>
          <t>-</t>
        </is>
      </c>
      <c r="X26" t="n">
        <v>7.5</v>
      </c>
      <c r="Y26" t="n">
        <v>95</v>
      </c>
      <c r="Z26" t="n">
        <v>8.970000000000001</v>
      </c>
      <c r="AA26" t="n">
        <v>92</v>
      </c>
      <c r="AB26" t="n">
        <v>1782747465</v>
      </c>
    </row>
    <row r="27">
      <c r="A27" t="inlineStr">
        <is>
          <t>24060124130056</t>
        </is>
      </c>
      <c r="B27" t="inlineStr">
        <is>
          <t>MUHAMMAD KAMAL HAMZAH</t>
        </is>
      </c>
      <c r="C27" t="n">
        <v>4</v>
      </c>
      <c r="D27" t="inlineStr">
        <is>
          <t>BARU</t>
        </is>
      </c>
      <c r="E27" s="3" t="n">
        <v>98</v>
      </c>
      <c r="F27" s="3" t="n"/>
      <c r="G27" s="3">
        <f>(E27*0.8)+(H27*0.2)</f>
        <v/>
      </c>
      <c r="H27" s="3" t="n">
        <v>74.38</v>
      </c>
      <c r="I27" s="3" t="n">
        <v>85</v>
      </c>
      <c r="J27" s="3" t="n"/>
      <c r="K27" s="2">
        <f>ROUND( ((E27*10+F27*40+G27*5+H27*5+I27*20+J27*20)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  <c r="N27" t="inlineStr">
        <is>
          <t>Muhammad Kamal Hamzah</t>
        </is>
      </c>
      <c r="O27" t="n">
        <v>24060124130056</v>
      </c>
      <c r="P27" t="inlineStr">
        <is>
          <t>333800a5-176b-4d7c-8e05-fa50d0464abc</t>
        </is>
      </c>
      <c r="S27" t="inlineStr">
        <is>
          <t>kamal@students.undip.ac.id</t>
        </is>
      </c>
      <c r="T27" t="n">
        <v>50</v>
      </c>
      <c r="U27" t="n">
        <v>76.81</v>
      </c>
      <c r="V27" t="n">
        <v>85.70999999999999</v>
      </c>
      <c r="W27" t="inlineStr">
        <is>
          <t>-</t>
        </is>
      </c>
      <c r="X27" t="inlineStr">
        <is>
          <t>-</t>
        </is>
      </c>
      <c r="Y27" t="n">
        <v>85</v>
      </c>
      <c r="Z27" t="n">
        <v>1.24</v>
      </c>
      <c r="AA27" t="n">
        <v>98</v>
      </c>
      <c r="AB27" t="n">
        <v>1782747465</v>
      </c>
    </row>
    <row r="28">
      <c r="A28" t="inlineStr">
        <is>
          <t>24060124130075</t>
        </is>
      </c>
      <c r="B28" t="inlineStr">
        <is>
          <t>NAUFAL DWI YUSMAWAN</t>
        </is>
      </c>
      <c r="C28" t="n">
        <v>4</v>
      </c>
      <c r="D28" t="inlineStr">
        <is>
          <t>BARU</t>
        </is>
      </c>
      <c r="E28" s="3" t="n">
        <v>98</v>
      </c>
      <c r="F28" s="3" t="n"/>
      <c r="G28" s="3">
        <f>(E28*0.8)+(H28*0.2)</f>
        <v/>
      </c>
      <c r="H28" s="3" t="n">
        <v>76.065</v>
      </c>
      <c r="I28" s="3" t="n">
        <v>85</v>
      </c>
      <c r="J28" s="3" t="n"/>
      <c r="K28" s="2">
        <f>ROUND( ((E28*10+F28*40+G28*5+H28*5+I28*20+J28*20)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  <c r="N28" t="inlineStr">
        <is>
          <t>Naufal Dwi Yusmawan</t>
        </is>
      </c>
      <c r="O28" t="n">
        <v>24060124130075</v>
      </c>
      <c r="P28" t="inlineStr">
        <is>
          <t>5b38e6e7-f634-4beb-a304-87a9be5d1bee</t>
        </is>
      </c>
      <c r="S28" t="inlineStr">
        <is>
          <t>naufaldwi@students.undip.ac.id</t>
        </is>
      </c>
      <c r="T28" t="n">
        <v>83.33</v>
      </c>
      <c r="U28" t="n">
        <v>65.22</v>
      </c>
      <c r="V28" t="n">
        <v>85.70999999999999</v>
      </c>
      <c r="W28" t="inlineStr">
        <is>
          <t>-</t>
        </is>
      </c>
      <c r="X28" t="n">
        <v>9</v>
      </c>
      <c r="Y28" t="n">
        <v>70</v>
      </c>
      <c r="Z28" t="n">
        <v>5.05</v>
      </c>
      <c r="AA28" t="n">
        <v>98</v>
      </c>
      <c r="AB28" t="n">
        <v>1782747465</v>
      </c>
    </row>
    <row r="29">
      <c r="A29" t="inlineStr">
        <is>
          <t>24060124130107</t>
        </is>
      </c>
      <c r="B29" t="inlineStr">
        <is>
          <t>MUHAMMAD FIRDAUS ARGIFARI</t>
        </is>
      </c>
      <c r="C29" t="n">
        <v>4</v>
      </c>
      <c r="D29" t="inlineStr">
        <is>
          <t>BARU</t>
        </is>
      </c>
      <c r="E29" s="3" t="n">
        <v>92</v>
      </c>
      <c r="F29" s="3" t="n"/>
      <c r="G29" s="3">
        <f>(E29*0.8)+(H29*0.2)</f>
        <v/>
      </c>
      <c r="H29" s="3" t="n">
        <v>86.7025</v>
      </c>
      <c r="I29" s="3" t="n">
        <v>76</v>
      </c>
      <c r="J29" s="3" t="n"/>
      <c r="K29" s="2">
        <f>ROUND( ((E29*10+F29*40+G29*5+H29*5+I29*20+J29*20)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  <c r="N29" t="inlineStr">
        <is>
          <t>Muhammad Firdaus Argifari</t>
        </is>
      </c>
      <c r="O29" t="n">
        <v>24060124130107</v>
      </c>
      <c r="P29" t="inlineStr">
        <is>
          <t>d9caee04-3e98-4c85-86ee-3c7dc194dc73</t>
        </is>
      </c>
      <c r="S29" t="inlineStr">
        <is>
          <t>muhammadfirdausargif@students.undip.ac.id</t>
        </is>
      </c>
      <c r="T29" t="n">
        <v>58.33</v>
      </c>
      <c r="U29" t="n">
        <v>93.48</v>
      </c>
      <c r="V29" t="n">
        <v>100</v>
      </c>
      <c r="W29" t="inlineStr">
        <is>
          <t>-</t>
        </is>
      </c>
      <c r="X29" t="n">
        <v>9.5</v>
      </c>
      <c r="Y29" t="n">
        <v>95</v>
      </c>
      <c r="Z29" t="n">
        <v>0.41</v>
      </c>
      <c r="AA29" t="n">
        <v>92</v>
      </c>
      <c r="AB29" t="n">
        <v>1782747465</v>
      </c>
    </row>
    <row r="30">
      <c r="A30" t="inlineStr">
        <is>
          <t>24060124140133</t>
        </is>
      </c>
      <c r="B30" t="inlineStr">
        <is>
          <t>MUHAMMAD HAFIDH AL-GHIFARI</t>
        </is>
      </c>
      <c r="C30" t="n">
        <v>4</v>
      </c>
      <c r="D30" t="inlineStr">
        <is>
          <t>BARU</t>
        </is>
      </c>
      <c r="E30" s="3" t="n">
        <v>92</v>
      </c>
      <c r="F30" s="3" t="n"/>
      <c r="G30" s="3">
        <f>(E30*0.8)+(H30*0.2)</f>
        <v/>
      </c>
      <c r="H30" s="3" t="n">
        <v>64.16249999999999</v>
      </c>
      <c r="I30" s="3" t="n">
        <v>71</v>
      </c>
      <c r="J30" s="3" t="n"/>
      <c r="K30" s="2">
        <f>ROUND( ((E30*10+F30*40+G30*5+H30*5+I30*20+J30*20)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  <c r="N30" t="inlineStr">
        <is>
          <t>Muhammad Hafidh Al-ghifari</t>
        </is>
      </c>
      <c r="O30" t="n">
        <v>24060124140133</v>
      </c>
      <c r="P30" t="inlineStr">
        <is>
          <t>8907df08-b1ec-4d27-bfd3-4c4feab64520</t>
        </is>
      </c>
      <c r="S30" t="inlineStr">
        <is>
          <t>hafidhalghifari@students.undip.ac.id</t>
        </is>
      </c>
      <c r="T30" t="n">
        <v>25</v>
      </c>
      <c r="U30" t="n">
        <v>65.94</v>
      </c>
      <c r="V30" t="n">
        <v>85.70999999999999</v>
      </c>
      <c r="W30" t="inlineStr">
        <is>
          <t>-</t>
        </is>
      </c>
      <c r="X30" t="n">
        <v>8</v>
      </c>
      <c r="Y30" t="n">
        <v>80</v>
      </c>
      <c r="Z30" t="n">
        <v>9.279999999999999</v>
      </c>
      <c r="AA30" t="n">
        <v>92</v>
      </c>
      <c r="AB30" t="n">
        <v>1782747465</v>
      </c>
    </row>
    <row r="31">
      <c r="A31" t="inlineStr">
        <is>
          <t>24060124140150</t>
        </is>
      </c>
      <c r="B31" t="inlineStr">
        <is>
          <t>NASHWA ALDEBARAN</t>
        </is>
      </c>
      <c r="C31" t="n">
        <v>4</v>
      </c>
      <c r="D31" t="inlineStr">
        <is>
          <t>BARU</t>
        </is>
      </c>
      <c r="E31" s="3" t="n">
        <v>67</v>
      </c>
      <c r="F31" s="3" t="n"/>
      <c r="G31" s="3">
        <f>(E31*0.8)+(H31*0.2)</f>
        <v/>
      </c>
      <c r="H31" s="3" t="n">
        <v>81.13500000000001</v>
      </c>
      <c r="I31" s="3" t="n">
        <v>78</v>
      </c>
      <c r="J31" s="3" t="n"/>
      <c r="K31" s="2">
        <f>ROUND( ((E31*10+F31*40+G31*5+H31*5+I31*20+J31*20)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  <c r="N31" t="inlineStr">
        <is>
          <t>Nashwa Aldebaran</t>
        </is>
      </c>
      <c r="O31" t="n">
        <v>24060124140150</v>
      </c>
      <c r="P31" t="inlineStr">
        <is>
          <t>5f23b718-af86-4d68-8ebd-59d02541b192</t>
        </is>
      </c>
      <c r="S31" t="inlineStr">
        <is>
          <t>nashwaaldebaran@students.undip.ac.id</t>
        </is>
      </c>
      <c r="T31" t="n">
        <v>83.33</v>
      </c>
      <c r="U31" t="n">
        <v>84.78</v>
      </c>
      <c r="V31" t="n">
        <v>71.43000000000001</v>
      </c>
      <c r="W31" t="inlineStr">
        <is>
          <t>-</t>
        </is>
      </c>
      <c r="X31" t="n">
        <v>9.5</v>
      </c>
      <c r="Y31" t="n">
        <v>85</v>
      </c>
      <c r="Z31" t="n">
        <v>8.59</v>
      </c>
      <c r="AA31" t="n">
        <v>67</v>
      </c>
      <c r="AB31" t="n">
        <v>1782747465</v>
      </c>
    </row>
    <row r="32">
      <c r="A32" t="inlineStr">
        <is>
          <t>24060124140164</t>
        </is>
      </c>
      <c r="B32" t="inlineStr">
        <is>
          <t>MUHAMMAD HAFIDH ZUFAR DEWANTARA</t>
        </is>
      </c>
      <c r="C32" t="n">
        <v>4</v>
      </c>
      <c r="D32" t="inlineStr">
        <is>
          <t>BARU</t>
        </is>
      </c>
      <c r="E32" s="3" t="n">
        <v>84</v>
      </c>
      <c r="F32" s="3" t="n"/>
      <c r="G32" s="3">
        <f>(E32*0.8)+(H32*0.2)</f>
        <v/>
      </c>
      <c r="H32" s="3" t="n">
        <v>66.69750000000001</v>
      </c>
      <c r="I32" s="3" t="n">
        <v>71</v>
      </c>
      <c r="J32" s="3" t="n"/>
      <c r="K32" s="2">
        <f>ROUND( ((E32*10+F32*40+G32*5+H32*5+I32*20+J32*20)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  <c r="N32" t="inlineStr">
        <is>
          <t>Muhammad Hafidh Zufar Dewantara</t>
        </is>
      </c>
      <c r="O32" t="n">
        <v>24060124140164</v>
      </c>
      <c r="P32" t="inlineStr">
        <is>
          <t>ec02c72b-9698-436f-a5d1-ba552dac4826</t>
        </is>
      </c>
      <c r="S32" t="inlineStr">
        <is>
          <t>hafidhzufar@students.undip.ac.id</t>
        </is>
      </c>
      <c r="T32" t="n">
        <v>50</v>
      </c>
      <c r="U32" t="n">
        <v>75.36</v>
      </c>
      <c r="V32" t="n">
        <v>71.43000000000001</v>
      </c>
      <c r="W32" t="inlineStr">
        <is>
          <t>-</t>
        </is>
      </c>
      <c r="X32" t="n">
        <v>10</v>
      </c>
      <c r="Y32" t="n">
        <v>70</v>
      </c>
      <c r="Z32" t="inlineStr">
        <is>
          <t>-</t>
        </is>
      </c>
      <c r="AA32" t="n">
        <v>84</v>
      </c>
      <c r="AB32" t="n">
        <v>1782747465</v>
      </c>
    </row>
    <row r="33">
      <c r="A33" t="inlineStr">
        <is>
          <t>24060124140197</t>
        </is>
      </c>
      <c r="B33" t="inlineStr">
        <is>
          <t>MUHAMMAD LUTFI FEBRIANSYAH</t>
        </is>
      </c>
      <c r="C33" t="n">
        <v>4</v>
      </c>
      <c r="D33" t="inlineStr">
        <is>
          <t>BARU</t>
        </is>
      </c>
      <c r="E33" s="3" t="n">
        <v>86.17</v>
      </c>
      <c r="F33" s="3" t="n"/>
      <c r="G33" s="3">
        <f>(E33*0.8)+(H33*0.2)</f>
        <v/>
      </c>
      <c r="H33" s="3" t="n">
        <v>17.5</v>
      </c>
      <c r="I33" s="3" t="n">
        <v>71</v>
      </c>
      <c r="J33" s="3" t="n"/>
      <c r="K33" s="2">
        <f>ROUND( ((E33*10+F33*40+G33*5+H33*5+I33*20+J33*20)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  <c r="N33" t="inlineStr">
        <is>
          <t>Muhammad Lutfi Febriansyah</t>
        </is>
      </c>
      <c r="O33" t="n">
        <v>24060124140197</v>
      </c>
      <c r="P33" t="inlineStr">
        <is>
          <t>68178da4-a73f-4ee7-9b8e-aee61d62a652</t>
        </is>
      </c>
      <c r="S33" t="inlineStr">
        <is>
          <t>lutfifebriansyah@students.undip.ac.id</t>
        </is>
      </c>
      <c r="T33" t="n">
        <v>50</v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7</v>
      </c>
      <c r="Y33" t="n">
        <v>20</v>
      </c>
      <c r="Z33" t="inlineStr">
        <is>
          <t>-</t>
        </is>
      </c>
      <c r="AA33" t="n">
        <v>86.17</v>
      </c>
      <c r="AB33" t="n">
        <v>1782747465</v>
      </c>
    </row>
    <row r="34">
      <c r="A34" t="inlineStr">
        <is>
          <t>24060124120008</t>
        </is>
      </c>
      <c r="B34" t="inlineStr">
        <is>
          <t>AMELIA ARISTIANTI</t>
        </is>
      </c>
      <c r="C34" t="n">
        <v>4</v>
      </c>
      <c r="D34" t="inlineStr">
        <is>
          <t>BARU</t>
        </is>
      </c>
      <c r="E34" s="3" t="n">
        <v>96</v>
      </c>
      <c r="F34" s="3" t="n"/>
      <c r="G34" s="3">
        <f>(E34*0.8)+(H34*0.2)</f>
        <v/>
      </c>
      <c r="H34" s="3" t="n">
        <v>93.095</v>
      </c>
      <c r="I34" s="3" t="n">
        <v>81</v>
      </c>
      <c r="J34" s="3" t="n"/>
      <c r="K34" s="2">
        <f>ROUND( ((E34*10+F34*40+G34*5+H34*5+I34*20+J34*20)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  <c r="N34" t="inlineStr">
        <is>
          <t>Amelia Aristianti</t>
        </is>
      </c>
      <c r="O34" t="n">
        <v>24060124120008</v>
      </c>
      <c r="P34" t="inlineStr">
        <is>
          <t>675b47ff-e0ac-4015-80e5-4923eef281e3</t>
        </is>
      </c>
      <c r="S34" t="inlineStr">
        <is>
          <t>amelilie@students.undip.ac.id</t>
        </is>
      </c>
      <c r="T34" t="n">
        <v>91.67</v>
      </c>
      <c r="U34" t="n">
        <v>100</v>
      </c>
      <c r="V34" t="n">
        <v>85.70999999999999</v>
      </c>
      <c r="W34" t="inlineStr">
        <is>
          <t>-</t>
        </is>
      </c>
      <c r="X34" t="n">
        <v>9.5</v>
      </c>
      <c r="Y34" t="n">
        <v>95</v>
      </c>
      <c r="Z34" t="inlineStr">
        <is>
          <t>-</t>
        </is>
      </c>
      <c r="AA34" t="n">
        <v>96</v>
      </c>
      <c r="AB34" t="n">
        <v>1782747465</v>
      </c>
    </row>
    <row r="35">
      <c r="A35" t="inlineStr">
        <is>
          <t>24060124120030</t>
        </is>
      </c>
      <c r="B35" t="inlineStr">
        <is>
          <t>AN AL RIVALDI</t>
        </is>
      </c>
      <c r="C35" t="n">
        <v>4</v>
      </c>
      <c r="D35" t="inlineStr">
        <is>
          <t>BARU</t>
        </is>
      </c>
      <c r="E35" s="3" t="n">
        <v>96</v>
      </c>
      <c r="F35" s="3" t="n"/>
      <c r="G35" s="3">
        <f>(E35*0.8)+(H35*0.2)</f>
        <v/>
      </c>
      <c r="H35" s="3" t="n">
        <v>92.6075</v>
      </c>
      <c r="I35" s="3" t="n">
        <v>82</v>
      </c>
      <c r="J35" s="3" t="n"/>
      <c r="K35" s="2">
        <f>ROUND( ((E35*10+F35*40+G35*5+H35*5+I35*20+J35*20)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  <c r="N35" t="inlineStr">
        <is>
          <t>An Al Rivaldi</t>
        </is>
      </c>
      <c r="O35" t="n">
        <v>24060124120030</v>
      </c>
      <c r="P35" t="inlineStr">
        <is>
          <t>66c3f55e-11cb-4861-87ea-602774550e18</t>
        </is>
      </c>
      <c r="S35" t="inlineStr">
        <is>
          <t>analrivaldi@students.undip.ac.id</t>
        </is>
      </c>
      <c r="T35" t="n">
        <v>83.33</v>
      </c>
      <c r="U35" t="n">
        <v>97.09999999999999</v>
      </c>
      <c r="V35" t="n">
        <v>100</v>
      </c>
      <c r="W35" t="inlineStr">
        <is>
          <t>-</t>
        </is>
      </c>
      <c r="X35" t="n">
        <v>9</v>
      </c>
      <c r="Y35" t="n">
        <v>90</v>
      </c>
      <c r="Z35" t="inlineStr">
        <is>
          <t>-</t>
        </is>
      </c>
      <c r="AA35" t="n">
        <v>96</v>
      </c>
      <c r="AB35" t="n">
        <v>1782747465</v>
      </c>
    </row>
    <row r="36">
      <c r="A36" t="inlineStr">
        <is>
          <t>24060124130072</t>
        </is>
      </c>
      <c r="B36" t="inlineStr">
        <is>
          <t>ALI MASKAN FERRY PURWANTO</t>
        </is>
      </c>
      <c r="C36" t="n">
        <v>4</v>
      </c>
      <c r="D36" t="inlineStr">
        <is>
          <t>BARU</t>
        </is>
      </c>
      <c r="E36" s="3" t="n">
        <v>95</v>
      </c>
      <c r="F36" s="3" t="n"/>
      <c r="G36" s="3">
        <f>(E36*0.8)+(H36*0.2)</f>
        <v/>
      </c>
      <c r="H36" s="3" t="n">
        <v>89.60249999999999</v>
      </c>
      <c r="I36" s="3" t="n">
        <v>77</v>
      </c>
      <c r="J36" s="3" t="n"/>
      <c r="K36" s="2">
        <f>ROUND( ((E36*10+F36*40+G36*5+H36*5+I36*20+J36*20)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  <c r="N36" t="inlineStr">
        <is>
          <t>Ali Maskan Ferry Purwanto</t>
        </is>
      </c>
      <c r="O36" t="n">
        <v>24060124130072</v>
      </c>
      <c r="P36" t="inlineStr">
        <is>
          <t>32c3209e-6a2d-42a3-a855-a98d40a917f0</t>
        </is>
      </c>
      <c r="S36" t="inlineStr">
        <is>
          <t>ferry845@students.undip.ac.id</t>
        </is>
      </c>
      <c r="T36" t="n">
        <v>75</v>
      </c>
      <c r="U36" t="n">
        <v>88.41</v>
      </c>
      <c r="V36" t="n">
        <v>100</v>
      </c>
      <c r="W36" t="inlineStr">
        <is>
          <t>-</t>
        </is>
      </c>
      <c r="X36" t="n">
        <v>9.5</v>
      </c>
      <c r="Y36" t="n">
        <v>95</v>
      </c>
      <c r="Z36" t="n">
        <v>9.24</v>
      </c>
      <c r="AA36" t="n">
        <v>95</v>
      </c>
      <c r="AB36" t="n">
        <v>1782747465</v>
      </c>
    </row>
    <row r="37">
      <c r="A37" t="inlineStr">
        <is>
          <t>24060124140186</t>
        </is>
      </c>
      <c r="B37" t="inlineStr">
        <is>
          <t>ADEFRITZ EINAR SINAGA</t>
        </is>
      </c>
      <c r="C37" t="n">
        <v>4</v>
      </c>
      <c r="D37" t="inlineStr">
        <is>
          <t>BARU</t>
        </is>
      </c>
      <c r="E37" s="3" t="n">
        <v>86.67</v>
      </c>
      <c r="F37" s="3" t="n"/>
      <c r="G37" s="3">
        <f>(E37*0.8)+(H37*0.2)</f>
        <v/>
      </c>
      <c r="H37" s="3" t="n">
        <v>58.7625</v>
      </c>
      <c r="I37" s="3" t="n">
        <v>71</v>
      </c>
      <c r="J37" s="3" t="n"/>
      <c r="K37" s="2">
        <f>ROUND( ((E37*10+F37*40+G37*5+H37*5+I37*20+J37*20)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  <c r="N37" t="inlineStr">
        <is>
          <t>Adefritz Einar Sinaga</t>
        </is>
      </c>
      <c r="O37" t="n">
        <v>24060124140186</v>
      </c>
      <c r="P37" t="inlineStr">
        <is>
          <t>8ff66111-127f-4ddb-be59-291f0665251a</t>
        </is>
      </c>
      <c r="S37" t="inlineStr">
        <is>
          <t>fritzeinar18@students.undip.ac.id</t>
        </is>
      </c>
      <c r="T37" t="n">
        <v>25</v>
      </c>
      <c r="U37" t="n">
        <v>53.62</v>
      </c>
      <c r="V37" t="n">
        <v>71.43000000000001</v>
      </c>
      <c r="W37" t="inlineStr">
        <is>
          <t>-</t>
        </is>
      </c>
      <c r="X37" t="n">
        <v>8</v>
      </c>
      <c r="Y37" t="n">
        <v>85</v>
      </c>
      <c r="Z37" t="inlineStr">
        <is>
          <t>-</t>
        </is>
      </c>
      <c r="AA37" t="n">
        <v>86.67</v>
      </c>
      <c r="AB37" t="n">
        <v>1782747465</v>
      </c>
    </row>
    <row r="38">
      <c r="A38" t="inlineStr">
        <is>
          <t>24060124140126</t>
        </is>
      </c>
      <c r="B38" t="inlineStr">
        <is>
          <t>RAFA AZLAN</t>
        </is>
      </c>
      <c r="C38" t="n">
        <v>4</v>
      </c>
      <c r="D38" t="inlineStr">
        <is>
          <t>BARU</t>
        </is>
      </c>
      <c r="E38" s="3" t="n">
        <v>92.33</v>
      </c>
      <c r="F38" s="3" t="n"/>
      <c r="G38" s="3">
        <f>(E38*0.8)+(H38*0.2)</f>
        <v/>
      </c>
      <c r="H38" s="3" t="n">
        <v>83.08</v>
      </c>
      <c r="I38" s="3" t="n">
        <v>85</v>
      </c>
      <c r="J38" s="3" t="n"/>
      <c r="K38" s="2">
        <f>ROUND( ((E38*10+F38*40+G38*5+H38*5+I38*20+J38*20)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  <c r="N38" t="inlineStr">
        <is>
          <t>Rafa Azlan</t>
        </is>
      </c>
      <c r="O38" t="n">
        <v>24060124140126</v>
      </c>
      <c r="P38" t="inlineStr">
        <is>
          <t>c2fa2584-d4ed-45c5-b04f-cd4cabbc865b</t>
        </is>
      </c>
      <c r="S38" t="inlineStr">
        <is>
          <t>rafaazlan@students.undip.ac.id</t>
        </is>
      </c>
      <c r="T38" t="n">
        <v>75</v>
      </c>
      <c r="U38" t="n">
        <v>62.32</v>
      </c>
      <c r="V38" t="n">
        <v>100</v>
      </c>
      <c r="W38" t="inlineStr">
        <is>
          <t>-</t>
        </is>
      </c>
      <c r="X38" t="n">
        <v>9.5</v>
      </c>
      <c r="Y38" t="n">
        <v>95</v>
      </c>
      <c r="Z38" t="n">
        <v>0.1</v>
      </c>
      <c r="AA38" t="n">
        <v>92.33</v>
      </c>
      <c r="AB38" t="n">
        <v>1782747465</v>
      </c>
    </row>
    <row r="39">
      <c r="A39" t="inlineStr">
        <is>
          <t>24060124140170</t>
        </is>
      </c>
      <c r="B39" t="inlineStr">
        <is>
          <t>NAUFAL RAYAN ATTALLAH</t>
        </is>
      </c>
      <c r="C39" t="n">
        <v>4</v>
      </c>
      <c r="D39" t="inlineStr">
        <is>
          <t>BARU</t>
        </is>
      </c>
      <c r="E39" s="3" t="n">
        <v>81</v>
      </c>
      <c r="F39" s="3" t="n"/>
      <c r="G39" s="3">
        <f>(E39*0.8)+(H39*0.2)</f>
        <v/>
      </c>
      <c r="H39" s="3" t="n">
        <v>43.40000000000001</v>
      </c>
      <c r="I39" s="3" t="n">
        <v>85</v>
      </c>
      <c r="J39" s="3" t="n"/>
      <c r="K39" s="2">
        <f>ROUND( ((E39*10+F39*40+G39*5+H39*5+I39*20+J39*20)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  <c r="N39" t="inlineStr">
        <is>
          <t>Naufal Rayan Attallah</t>
        </is>
      </c>
      <c r="O39" t="n">
        <v>24060124140170</v>
      </c>
      <c r="P39" t="inlineStr">
        <is>
          <t>25ae0b10-cdf0-42d6-994a-ee44e30da7b5</t>
        </is>
      </c>
      <c r="S39" t="inlineStr">
        <is>
          <t>nray@students.undip.ac.id</t>
        </is>
      </c>
      <c r="T39" t="n">
        <v>25</v>
      </c>
      <c r="U39" t="n">
        <v>52.17</v>
      </c>
      <c r="V39" t="n">
        <v>71.43000000000001</v>
      </c>
      <c r="W39" t="inlineStr">
        <is>
          <t>-</t>
        </is>
      </c>
      <c r="X39" t="n">
        <v>5.5</v>
      </c>
      <c r="Y39" t="n">
        <v>25</v>
      </c>
      <c r="Z39" t="n">
        <v>1.24</v>
      </c>
      <c r="AA39" t="n">
        <v>81</v>
      </c>
      <c r="AB39" t="n">
        <v>1782747465</v>
      </c>
    </row>
    <row r="40">
      <c r="A40" t="inlineStr">
        <is>
          <t>24060124140174</t>
        </is>
      </c>
      <c r="B40" t="inlineStr">
        <is>
          <t>NOVELYA CHERINA</t>
        </is>
      </c>
      <c r="C40" t="n">
        <v>4</v>
      </c>
      <c r="D40" t="inlineStr">
        <is>
          <t>BARU</t>
        </is>
      </c>
      <c r="E40" s="3" t="n">
        <v>96</v>
      </c>
      <c r="F40" s="3" t="n"/>
      <c r="G40" s="3">
        <f>(E40*0.8)+(H40*0.2)</f>
        <v/>
      </c>
      <c r="H40" s="3" t="n">
        <v>91.00999999999999</v>
      </c>
      <c r="I40" s="3" t="n">
        <v>81</v>
      </c>
      <c r="J40" s="3" t="n"/>
      <c r="K40" s="2">
        <f>ROUND( ((E40*10+F40*40+G40*5+H40*5+I40*20+J40*20)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  <c r="N40" t="inlineStr">
        <is>
          <t>Novelya Cherina</t>
        </is>
      </c>
      <c r="O40" t="n">
        <v>24060124140174</v>
      </c>
      <c r="P40" t="inlineStr">
        <is>
          <t>7c579b19-6754-4810-b17b-9ff05c118050</t>
        </is>
      </c>
      <c r="S40" t="inlineStr">
        <is>
          <t>novelyacherina@students.undip.ac.id</t>
        </is>
      </c>
      <c r="T40" t="n">
        <v>83.33</v>
      </c>
      <c r="U40" t="n">
        <v>100</v>
      </c>
      <c r="V40" t="n">
        <v>85.70999999999999</v>
      </c>
      <c r="W40" t="inlineStr">
        <is>
          <t>-</t>
        </is>
      </c>
      <c r="X40" t="n">
        <v>8.5</v>
      </c>
      <c r="Y40" t="n">
        <v>95</v>
      </c>
      <c r="Z40" t="inlineStr">
        <is>
          <t>-</t>
        </is>
      </c>
      <c r="AA40" t="n">
        <v>96</v>
      </c>
      <c r="AB40" t="n">
        <v>1782747465</v>
      </c>
    </row>
    <row r="41">
      <c r="A41" t="inlineStr">
        <is>
          <t>24060124120051</t>
        </is>
      </c>
      <c r="B41" t="inlineStr">
        <is>
          <t>CAESAR FERDIANA SUWANDI</t>
        </is>
      </c>
      <c r="C41" t="n">
        <v>4</v>
      </c>
      <c r="D41" t="inlineStr">
        <is>
          <t>BARU</t>
        </is>
      </c>
      <c r="E41" s="3" t="n">
        <v>97</v>
      </c>
      <c r="F41" s="3" t="n"/>
      <c r="G41" s="3">
        <f>(E41*0.8)+(H41*0.2)</f>
        <v/>
      </c>
      <c r="H41" s="3" t="n">
        <v>74.13</v>
      </c>
      <c r="I41" s="3" t="n">
        <v>83</v>
      </c>
      <c r="J41" s="3" t="n"/>
      <c r="K41" s="2">
        <f>ROUND( ((E41*10+F41*40+G41*5+H41*5+I41*20+J41*20)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  <c r="N41" t="inlineStr">
        <is>
          <t>Caesar Ferdiana Suwandi</t>
        </is>
      </c>
      <c r="O41" t="n">
        <v>24060124120051</v>
      </c>
      <c r="P41" t="inlineStr">
        <is>
          <t>e0e50038-dd5d-41e6-8737-b599c9471a78</t>
        </is>
      </c>
      <c r="S41" t="inlineStr">
        <is>
          <t>caesarferdiana@students.undip.ac.id</t>
        </is>
      </c>
      <c r="T41" t="n">
        <v>50</v>
      </c>
      <c r="U41" t="n">
        <v>56.52</v>
      </c>
      <c r="V41" t="n">
        <v>100</v>
      </c>
      <c r="W41" t="inlineStr">
        <is>
          <t>-</t>
        </is>
      </c>
      <c r="X41" t="n">
        <v>8.5</v>
      </c>
      <c r="Y41" t="n">
        <v>90</v>
      </c>
      <c r="Z41" t="n">
        <v>9.48</v>
      </c>
      <c r="AA41" t="n">
        <v>97</v>
      </c>
      <c r="AB41" t="n">
        <v>1782747465</v>
      </c>
    </row>
    <row r="42">
      <c r="A42" t="inlineStr">
        <is>
          <t>24060124130118</t>
        </is>
      </c>
      <c r="B42" t="inlineStr">
        <is>
          <t>DEWANGGA RAMADHAN HALIM</t>
        </is>
      </c>
      <c r="C42" t="n">
        <v>4</v>
      </c>
      <c r="D42" t="inlineStr">
        <is>
          <t>BARU</t>
        </is>
      </c>
      <c r="E42" s="3" t="n">
        <v>95</v>
      </c>
      <c r="F42" s="3" t="n"/>
      <c r="G42" s="3">
        <f>(E42*0.8)+(H42*0.2)</f>
        <v/>
      </c>
      <c r="H42" s="3" t="n">
        <v>73.565</v>
      </c>
      <c r="I42" s="3" t="n">
        <v>83</v>
      </c>
      <c r="J42" s="3" t="n"/>
      <c r="K42" s="2">
        <f>ROUND( ((E42*10+F42*40+G42*5+H42*5+I42*20+J42*20)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  <c r="N42" t="inlineStr">
        <is>
          <t>Dewangga Ramadhan Halim</t>
        </is>
      </c>
      <c r="O42" t="n">
        <v>24060124130118</v>
      </c>
      <c r="P42" t="inlineStr">
        <is>
          <t>8d8c0859-3958-49d2-8cd3-b73d5d891616</t>
        </is>
      </c>
      <c r="S42" t="inlineStr">
        <is>
          <t>dewanggarh@students.undip.ac.id</t>
        </is>
      </c>
      <c r="T42" t="n">
        <v>41.67</v>
      </c>
      <c r="U42" t="n">
        <v>81.88</v>
      </c>
      <c r="V42" t="n">
        <v>85.70999999999999</v>
      </c>
      <c r="W42" t="inlineStr">
        <is>
          <t>-</t>
        </is>
      </c>
      <c r="X42" t="n">
        <v>9.5</v>
      </c>
      <c r="Y42" t="n">
        <v>85</v>
      </c>
      <c r="Z42" t="n">
        <v>9.380000000000001</v>
      </c>
      <c r="AA42" t="n">
        <v>95</v>
      </c>
      <c r="AB42" t="n">
        <v>1782747465</v>
      </c>
    </row>
    <row r="43">
      <c r="A43" t="inlineStr">
        <is>
          <t>24060124140130</t>
        </is>
      </c>
      <c r="B43" t="inlineStr">
        <is>
          <t>CRYSTIANO BAYU SATYA ALVES</t>
        </is>
      </c>
      <c r="C43" t="n">
        <v>4</v>
      </c>
      <c r="D43" t="inlineStr">
        <is>
          <t>BARU</t>
        </is>
      </c>
      <c r="E43" s="3" t="n">
        <v>91</v>
      </c>
      <c r="F43" s="3" t="n"/>
      <c r="G43" s="3">
        <f>(E43*0.8)+(H43*0.2)</f>
        <v/>
      </c>
      <c r="H43" s="3" t="n">
        <v>65.73750000000001</v>
      </c>
      <c r="I43" s="3" t="n">
        <v>76</v>
      </c>
      <c r="J43" s="3" t="n"/>
      <c r="K43" s="2">
        <f>ROUND( ((E43*10+F43*40+G43*5+H43*5+I43*20+J43*20)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  <c r="N43" t="inlineStr">
        <is>
          <t>Crystiano Bayu Satya Alves</t>
        </is>
      </c>
      <c r="O43" t="n">
        <v>24060124140130</v>
      </c>
      <c r="P43" t="inlineStr">
        <is>
          <t>aa258e9a-175d-4bbd-8742-8fe3dc6e2203</t>
        </is>
      </c>
      <c r="S43" t="inlineStr">
        <is>
          <t>bayualves28@students.undip.ac.id</t>
        </is>
      </c>
      <c r="T43" t="n">
        <v>75</v>
      </c>
      <c r="U43" t="n">
        <v>56.52</v>
      </c>
      <c r="V43" t="n">
        <v>71.43000000000001</v>
      </c>
      <c r="W43" t="inlineStr">
        <is>
          <t>-</t>
        </is>
      </c>
      <c r="X43" t="n">
        <v>10</v>
      </c>
      <c r="Y43" t="n">
        <v>60</v>
      </c>
      <c r="Z43" t="n">
        <v>7.63</v>
      </c>
      <c r="AA43" t="n">
        <v>91</v>
      </c>
      <c r="AB43" t="n">
        <v>1782747465</v>
      </c>
    </row>
    <row r="44">
      <c r="A44" t="inlineStr">
        <is>
          <t>24060124140149</t>
        </is>
      </c>
      <c r="B44" t="inlineStr">
        <is>
          <t>DEVANO TRESTANTO</t>
        </is>
      </c>
      <c r="C44" t="n">
        <v>4</v>
      </c>
      <c r="D44" t="inlineStr">
        <is>
          <t>BARU</t>
        </is>
      </c>
      <c r="E44" s="3" t="n">
        <v>91</v>
      </c>
      <c r="F44" s="3" t="n"/>
      <c r="G44" s="3">
        <f>(E44*0.8)+(H44*0.2)</f>
        <v/>
      </c>
      <c r="H44" s="3" t="n">
        <v>65.97</v>
      </c>
      <c r="I44" s="3" t="n">
        <v>81</v>
      </c>
      <c r="J44" s="3" t="n"/>
      <c r="K44" s="2">
        <f>ROUND( ((E44*10+F44*40+G44*5+H44*5+I44*20+J44*20) / 100), 2)</f>
        <v/>
      </c>
      <c r="L44" s="2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"E" ) ) ) ) ) ) )</f>
        <v/>
      </c>
      <c r="M44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"0" ) ) ) ) ) ) )</f>
        <v/>
      </c>
      <c r="N44" t="inlineStr">
        <is>
          <t>Devano Trestanto</t>
        </is>
      </c>
      <c r="O44" t="n">
        <v>24060124140149</v>
      </c>
      <c r="P44" t="inlineStr">
        <is>
          <t>59e539b9-ac09-4590-b97d-6863958d4c3f</t>
        </is>
      </c>
      <c r="S44" t="inlineStr">
        <is>
          <t>devanotrestanto@students.undip.ac.id</t>
        </is>
      </c>
      <c r="T44" t="n">
        <v>58.33</v>
      </c>
      <c r="U44" t="n">
        <v>88.41</v>
      </c>
      <c r="V44" t="n">
        <v>57.14</v>
      </c>
      <c r="W44" t="inlineStr">
        <is>
          <t>-</t>
        </is>
      </c>
      <c r="X44" t="n">
        <v>9.5</v>
      </c>
      <c r="Y44" t="n">
        <v>60</v>
      </c>
      <c r="Z44" t="n">
        <v>9</v>
      </c>
      <c r="AA44" t="n">
        <v>91</v>
      </c>
      <c r="AB44" t="n">
        <v>1782747465</v>
      </c>
    </row>
    <row r="45">
      <c r="A45" t="inlineStr">
        <is>
          <t>24060124140165</t>
        </is>
      </c>
      <c r="B45" t="inlineStr">
        <is>
          <t>DINDA ISYARIANI</t>
        </is>
      </c>
      <c r="C45" t="n">
        <v>4</v>
      </c>
      <c r="D45" t="inlineStr">
        <is>
          <t>BARU</t>
        </is>
      </c>
      <c r="E45" s="3" t="n">
        <v>99</v>
      </c>
      <c r="F45" s="3" t="n"/>
      <c r="G45" s="3">
        <f>(E45*0.8)+(H45*0.2)</f>
        <v/>
      </c>
      <c r="H45" s="3" t="n">
        <v>90.595</v>
      </c>
      <c r="I45" s="3" t="n">
        <v>79</v>
      </c>
      <c r="J45" s="3" t="n"/>
      <c r="K45" s="2">
        <f>ROUND( ((E45*10+F45*40+G45*5+H45*5+I45*20+J45*20) / 100), 2)</f>
        <v/>
      </c>
      <c r="L45" s="2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"E" ) ) ) ) ) ) )</f>
        <v/>
      </c>
      <c r="M45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"0" ) ) ) ) ) ) )</f>
        <v/>
      </c>
      <c r="N45" t="inlineStr">
        <is>
          <t>Dinda Isyariani</t>
        </is>
      </c>
      <c r="O45" t="n">
        <v>24060124140165</v>
      </c>
      <c r="P45" t="inlineStr">
        <is>
          <t>b886a4d2-e882-4700-9adf-38f6e0be0083</t>
        </is>
      </c>
      <c r="S45" t="inlineStr">
        <is>
          <t>dindaisyrn@students.undip.ac.id</t>
        </is>
      </c>
      <c r="T45" t="n">
        <v>91.67</v>
      </c>
      <c r="U45" t="n">
        <v>100</v>
      </c>
      <c r="V45" t="n">
        <v>85.70999999999999</v>
      </c>
      <c r="W45" t="inlineStr">
        <is>
          <t>-</t>
        </is>
      </c>
      <c r="X45" t="n">
        <v>10</v>
      </c>
      <c r="Y45" t="n">
        <v>85</v>
      </c>
      <c r="Z45" t="n">
        <v>9.9</v>
      </c>
      <c r="AA45" t="n">
        <v>99</v>
      </c>
      <c r="AB45" t="n">
        <v>1782747465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K45"/>
  <sheetViews>
    <sheetView topLeftCell="A29" workbookViewId="0">
      <selection activeCell="K8" sqref="K8:K45"/>
    </sheetView>
  </sheetViews>
  <sheetFormatPr baseColWidth="8" defaultRowHeight="15"/>
  <sheetData>
    <row r="7">
      <c r="A7" t="inlineStr">
        <is>
          <t>First name</t>
        </is>
      </c>
      <c r="B7" t="inlineStr">
        <is>
          <t>Last name</t>
        </is>
      </c>
      <c r="C7" t="inlineStr">
        <is>
          <t>ID number</t>
        </is>
      </c>
      <c r="D7" t="inlineStr">
        <is>
          <t>Institution</t>
        </is>
      </c>
      <c r="E7" t="inlineStr">
        <is>
          <t>Department</t>
        </is>
      </c>
      <c r="F7" t="inlineStr">
        <is>
          <t>Email address</t>
        </is>
      </c>
      <c r="G7" t="inlineStr">
        <is>
          <t>Quiz: Quis 1 (Real)</t>
        </is>
      </c>
      <c r="H7" t="inlineStr">
        <is>
          <t>Quiz: Quis 2 (Real)</t>
        </is>
      </c>
      <c r="I7" t="inlineStr">
        <is>
          <t>Quiz: Quis 3 (Real)</t>
        </is>
      </c>
      <c r="J7" t="inlineStr">
        <is>
          <t>Quiz: quis 6 (Real)</t>
        </is>
      </c>
    </row>
    <row r="8">
      <c r="A8" t="inlineStr">
        <is>
          <t>Basil Ayman Hariadi</t>
        </is>
      </c>
      <c r="B8" t="n">
        <v>24060124140160</v>
      </c>
      <c r="C8" t="inlineStr">
        <is>
          <t>4309fca1-fed8-4433-ba75-91900de5a888</t>
        </is>
      </c>
      <c r="F8" t="inlineStr">
        <is>
          <t>basilaymanhariadi@students.undip.ac.id</t>
        </is>
      </c>
      <c r="G8" t="n">
        <v>58.33</v>
      </c>
      <c r="H8" t="n">
        <v>72.09999999999999</v>
      </c>
      <c r="I8" t="n">
        <v>71.43000000000001</v>
      </c>
      <c r="J8" t="n">
        <v>70</v>
      </c>
      <c r="K8">
        <f>SUM(G8:J8)/4</f>
        <v/>
      </c>
    </row>
    <row r="9">
      <c r="A9" t="inlineStr">
        <is>
          <t>Azka Wayasy Al Hafizh</t>
        </is>
      </c>
      <c r="B9" t="n">
        <v>24060124140161</v>
      </c>
      <c r="C9" t="inlineStr">
        <is>
          <t>f0278eb3-7df4-42ee-be5a-220755de89c7</t>
        </is>
      </c>
      <c r="F9" t="inlineStr">
        <is>
          <t>azkawayasy@students.undip.ac.id</t>
        </is>
      </c>
      <c r="G9" t="n">
        <v>50</v>
      </c>
      <c r="H9" t="n">
        <v>88.41</v>
      </c>
      <c r="I9" t="n">
        <v>57.14</v>
      </c>
      <c r="J9" t="n">
        <v>80</v>
      </c>
      <c r="K9">
        <f>SUM(G9:J9)/4</f>
        <v/>
      </c>
    </row>
    <row r="10">
      <c r="K10">
        <f>SUM(G10:J10)/4</f>
        <v/>
      </c>
    </row>
    <row r="11">
      <c r="A11" t="inlineStr">
        <is>
          <t>Elza Khoirisma Carrynda</t>
        </is>
      </c>
      <c r="B11" t="n">
        <v>24060124130065</v>
      </c>
      <c r="C11" t="inlineStr">
        <is>
          <t>6a8316c9-b945-4e83-9fa3-dcc848edd692</t>
        </is>
      </c>
      <c r="F11" t="inlineStr">
        <is>
          <t>elzakcarrynda@students.undip.ac.id</t>
        </is>
      </c>
      <c r="G11" t="n">
        <v>83.33</v>
      </c>
      <c r="H11" t="n">
        <v>94.93000000000001</v>
      </c>
      <c r="I11" t="n">
        <v>85.70999999999999</v>
      </c>
      <c r="J11" t="n">
        <v>100</v>
      </c>
      <c r="K11">
        <f>SUM(G11:J11)/4</f>
        <v/>
      </c>
    </row>
    <row r="12">
      <c r="A12" t="inlineStr">
        <is>
          <t>Ferdy Prasetya Putra</t>
        </is>
      </c>
      <c r="B12" t="n">
        <v>24060124140145</v>
      </c>
      <c r="C12" t="inlineStr">
        <is>
          <t>b6bee28b-5cf4-4906-9186-ce21a3fcf69d</t>
        </is>
      </c>
      <c r="F12" t="inlineStr">
        <is>
          <t>ferdyprasetyaputra@students.undip.ac.id</t>
        </is>
      </c>
      <c r="G12" t="n">
        <v>50</v>
      </c>
      <c r="H12" t="n">
        <v>79.70999999999999</v>
      </c>
      <c r="I12" t="n">
        <v>100</v>
      </c>
      <c r="J12" t="n">
        <v>95</v>
      </c>
      <c r="K12">
        <f>SUM(G12:J12)/4</f>
        <v/>
      </c>
    </row>
    <row r="13">
      <c r="A13" t="inlineStr">
        <is>
          <t>Ghatfan Muhammad Atiwiar</t>
        </is>
      </c>
      <c r="B13" t="n">
        <v>24060124140171</v>
      </c>
      <c r="C13" t="inlineStr">
        <is>
          <t>dc1d53a3-d395-4a9c-a99f-69bc6cf75626</t>
        </is>
      </c>
      <c r="F13" t="inlineStr">
        <is>
          <t>ghatfanmuhammad@students.undip.ac.id</t>
        </is>
      </c>
      <c r="G13" t="n">
        <v>33.33</v>
      </c>
      <c r="H13" t="n">
        <v>34.78</v>
      </c>
      <c r="I13" t="n">
        <v>57.14</v>
      </c>
      <c r="J13" t="n">
        <v>100</v>
      </c>
      <c r="K13">
        <f>SUM(G13:J13)/4</f>
        <v/>
      </c>
    </row>
    <row r="14">
      <c r="A14" t="inlineStr">
        <is>
          <t>Raffie Aditya Akbar</t>
        </is>
      </c>
      <c r="B14" t="n">
        <v>24060124130054</v>
      </c>
      <c r="C14" t="inlineStr">
        <is>
          <t>e9c1fd54-37f0-49ff-9c68-2cfb38f1f140</t>
        </is>
      </c>
      <c r="F14" t="inlineStr">
        <is>
          <t>raffieadityaakbar@students.undip.ac.id</t>
        </is>
      </c>
      <c r="G14" t="n">
        <v>91.67</v>
      </c>
      <c r="H14" t="n">
        <v>86.95999999999999</v>
      </c>
      <c r="I14" t="n">
        <v>57.14</v>
      </c>
      <c r="J14" t="n">
        <v>90</v>
      </c>
      <c r="K14">
        <f>SUM(G14:J14)/4</f>
        <v/>
      </c>
    </row>
    <row r="15">
      <c r="A15" t="inlineStr">
        <is>
          <t>Syuraih Umar Khotthob</t>
        </is>
      </c>
      <c r="B15" t="n">
        <v>24060124130092</v>
      </c>
      <c r="C15" t="inlineStr">
        <is>
          <t>9f72db65-607a-4f09-bd5e-b989b218ff7e</t>
        </is>
      </c>
      <c r="F15" t="inlineStr">
        <is>
          <t>syuraihumar@students.undip.ac.id</t>
        </is>
      </c>
      <c r="G15" t="n">
        <v>83.33</v>
      </c>
      <c r="H15" t="n">
        <v>89.13</v>
      </c>
      <c r="I15" t="n">
        <v>85.70999999999999</v>
      </c>
      <c r="J15" t="n">
        <v>80</v>
      </c>
      <c r="K15">
        <f>SUM(G15:J15)/4</f>
        <v/>
      </c>
    </row>
    <row r="16">
      <c r="A16" t="inlineStr">
        <is>
          <t>Zulfa Nabilah</t>
        </is>
      </c>
      <c r="B16" t="n">
        <v>24060124130095</v>
      </c>
      <c r="C16" t="inlineStr">
        <is>
          <t>21c0cc7a-c842-4d12-a243-aeebea27708a</t>
        </is>
      </c>
      <c r="F16" t="inlineStr">
        <is>
          <t>bila150@students.undip.ac.id</t>
        </is>
      </c>
      <c r="G16" t="n">
        <v>75</v>
      </c>
      <c r="H16" t="n">
        <v>91.3</v>
      </c>
      <c r="I16" t="n">
        <v>42.86</v>
      </c>
      <c r="J16" t="n">
        <v>100</v>
      </c>
      <c r="K16">
        <f>SUM(G16:J16)/4</f>
        <v/>
      </c>
    </row>
    <row r="17">
      <c r="A17" t="inlineStr">
        <is>
          <t>Syair Adharian</t>
        </is>
      </c>
      <c r="B17" t="n">
        <v>24060124140172</v>
      </c>
      <c r="C17" t="inlineStr">
        <is>
          <t>e6cfbd90-c182-488e-9bdb-f0d3ae8f17e4</t>
        </is>
      </c>
      <c r="F17" t="inlineStr">
        <is>
          <t>adharian@students.undip.ac.id</t>
        </is>
      </c>
      <c r="G17" t="n">
        <v>75</v>
      </c>
      <c r="H17" t="n">
        <v>62.32</v>
      </c>
      <c r="I17" t="n">
        <v>57.14</v>
      </c>
      <c r="J17" t="inlineStr">
        <is>
          <t>-</t>
        </is>
      </c>
      <c r="K17">
        <f>SUM(G17:J17)/4</f>
        <v/>
      </c>
    </row>
    <row r="18">
      <c r="A18" t="inlineStr">
        <is>
          <t>Saburo Rafqi Hidayat</t>
        </is>
      </c>
      <c r="B18" t="n">
        <v>24060124140196</v>
      </c>
      <c r="C18" t="inlineStr">
        <is>
          <t>589d74b7-3934-4e27-a0bd-404c2cf21100</t>
        </is>
      </c>
      <c r="F18" t="inlineStr">
        <is>
          <t>saburorafqh@students.undip.ac.id</t>
        </is>
      </c>
      <c r="G18" t="n">
        <v>66.67</v>
      </c>
      <c r="H18" t="n">
        <v>88.41</v>
      </c>
      <c r="I18" t="n">
        <v>28.57</v>
      </c>
      <c r="J18" t="n">
        <v>70</v>
      </c>
      <c r="K18">
        <f>SUM(G18:J18)/4</f>
        <v/>
      </c>
    </row>
    <row r="19">
      <c r="A19" t="inlineStr">
        <is>
          <t>Marchella Arkhina Ratunesia</t>
        </is>
      </c>
      <c r="B19" t="n">
        <v>24060124120036</v>
      </c>
      <c r="C19" t="inlineStr">
        <is>
          <t>8af6d3d5-6602-4daf-af10-b4025ef4ac1e</t>
        </is>
      </c>
      <c r="F19" t="inlineStr">
        <is>
          <t>marchellakhina@students.undip.ac.id</t>
        </is>
      </c>
      <c r="G19" t="n">
        <v>83.33</v>
      </c>
      <c r="H19" t="n">
        <v>80.43000000000001</v>
      </c>
      <c r="I19" t="n">
        <v>71.43000000000001</v>
      </c>
      <c r="J19" t="n">
        <v>50</v>
      </c>
      <c r="K19">
        <f>SUM(G19:J19)/4</f>
        <v/>
      </c>
    </row>
    <row r="20">
      <c r="A20" t="inlineStr">
        <is>
          <t>Menza Isaiah Tampubolon</t>
        </is>
      </c>
      <c r="B20" t="n">
        <v>24060124140138</v>
      </c>
      <c r="C20" t="inlineStr">
        <is>
          <t>de34b32c-c652-44a0-a0cb-5bbaa8a5f5c0</t>
        </is>
      </c>
      <c r="F20" t="inlineStr">
        <is>
          <t>menzatampubolon@students.undip.ac.id</t>
        </is>
      </c>
      <c r="G20" t="n">
        <v>58.33</v>
      </c>
      <c r="H20" t="n">
        <v>63.77</v>
      </c>
      <c r="I20" t="n">
        <v>42.86</v>
      </c>
      <c r="J20" t="n">
        <v>70</v>
      </c>
      <c r="K20">
        <f>SUM(G20:J20)/4</f>
        <v/>
      </c>
    </row>
    <row r="21">
      <c r="A21" t="inlineStr">
        <is>
          <t>Mohammad Andhika Ramadhan</t>
        </is>
      </c>
      <c r="B21" t="n">
        <v>24060124140190</v>
      </c>
      <c r="C21" t="inlineStr">
        <is>
          <t>977687db-5101-4f56-8c79-6e3fe32e76a1</t>
        </is>
      </c>
      <c r="F21" t="inlineStr">
        <is>
          <t>mohammadandhika@students.undip.ac.id</t>
        </is>
      </c>
      <c r="G21" t="n">
        <v>83.33</v>
      </c>
      <c r="H21" t="n">
        <v>52.17</v>
      </c>
      <c r="I21" t="n">
        <v>42.86</v>
      </c>
      <c r="J21" t="n">
        <v>65</v>
      </c>
      <c r="K21">
        <f>SUM(G21:J21)/4</f>
        <v/>
      </c>
    </row>
    <row r="22">
      <c r="A22" t="inlineStr">
        <is>
          <t>Kayla Febrina Laura Ayu</t>
        </is>
      </c>
      <c r="B22" t="n">
        <v>24060124120004</v>
      </c>
      <c r="C22" t="inlineStr">
        <is>
          <t>01bcf907-b093-4145-a921-f1c23ef1af29</t>
        </is>
      </c>
      <c r="F22" t="inlineStr">
        <is>
          <t>kaylafebrinalauraayu@students.undip.ac.id</t>
        </is>
      </c>
      <c r="G22" t="n">
        <v>83.33</v>
      </c>
      <c r="H22" t="n">
        <v>76.81</v>
      </c>
      <c r="I22" t="n">
        <v>100</v>
      </c>
      <c r="J22" t="n">
        <v>100</v>
      </c>
      <c r="K22">
        <f>SUM(G22:J22)/4</f>
        <v/>
      </c>
    </row>
    <row r="23">
      <c r="A23" t="inlineStr">
        <is>
          <t>Izzatu Khoirul Fata</t>
        </is>
      </c>
      <c r="B23" t="n">
        <v>24060124120039</v>
      </c>
      <c r="C23" t="inlineStr">
        <is>
          <t>966ae3f4-c38c-4287-bb5a-e4d892ce4894</t>
        </is>
      </c>
      <c r="F23" t="inlineStr">
        <is>
          <t>izzatukhoirulfata@students.undip.ac.id</t>
        </is>
      </c>
      <c r="G23" t="n">
        <v>50</v>
      </c>
      <c r="H23" t="n">
        <v>81.88</v>
      </c>
      <c r="I23" t="n">
        <v>85.70999999999999</v>
      </c>
      <c r="J23" t="n">
        <v>75</v>
      </c>
      <c r="K23">
        <f>SUM(G23:J23)/4</f>
        <v/>
      </c>
    </row>
    <row r="24">
      <c r="A24" t="inlineStr">
        <is>
          <t>Hasta Putra Wildantara</t>
        </is>
      </c>
      <c r="B24" t="n">
        <v>24060124130119</v>
      </c>
      <c r="C24" t="inlineStr">
        <is>
          <t>40a9ab64-108c-4fa5-8e2a-46322c797db6</t>
        </is>
      </c>
      <c r="F24" t="inlineStr">
        <is>
          <t>hastaputrawildantara@students.undip.ac.id</t>
        </is>
      </c>
      <c r="G24" t="n">
        <v>75</v>
      </c>
      <c r="H24" t="n">
        <v>53.62</v>
      </c>
      <c r="I24" t="n">
        <v>14.29</v>
      </c>
      <c r="J24" t="inlineStr">
        <is>
          <t>-</t>
        </is>
      </c>
      <c r="K24">
        <f>SUM(G24:J24)/4</f>
        <v/>
      </c>
    </row>
    <row r="25">
      <c r="A25" t="inlineStr">
        <is>
          <t>Hanif Ihsanul Huda</t>
        </is>
      </c>
      <c r="B25" t="n">
        <v>24060124140183</v>
      </c>
      <c r="C25" t="inlineStr">
        <is>
          <t>70148679-8919-40e5-99e6-834e8712fb2d</t>
        </is>
      </c>
      <c r="F25" t="inlineStr">
        <is>
          <t>hanifihsan@students.undip.ac.id</t>
        </is>
      </c>
      <c r="G25" t="n">
        <v>41.67</v>
      </c>
      <c r="H25" t="n">
        <v>81.16</v>
      </c>
      <c r="I25" t="n">
        <v>57.14</v>
      </c>
      <c r="J25" t="n">
        <v>90</v>
      </c>
      <c r="K25">
        <f>SUM(G25:J25)/4</f>
        <v/>
      </c>
    </row>
    <row r="26">
      <c r="A26" t="inlineStr">
        <is>
          <t>Ikrar Maheswara Rabbani Wibowo</t>
        </is>
      </c>
      <c r="B26" t="n">
        <v>24060124140202</v>
      </c>
      <c r="C26" t="inlineStr">
        <is>
          <t>59fae672-0391-4355-b2a2-9866d7ba0644</t>
        </is>
      </c>
      <c r="F26" t="inlineStr">
        <is>
          <t>ikrarmahes@students.undip.ac.id</t>
        </is>
      </c>
      <c r="G26" t="n">
        <v>58.33</v>
      </c>
      <c r="H26" t="n">
        <v>86.23</v>
      </c>
      <c r="I26" t="n">
        <v>57.14</v>
      </c>
      <c r="J26" t="n">
        <v>95</v>
      </c>
      <c r="K26">
        <f>SUM(G26:J26)/4</f>
        <v/>
      </c>
    </row>
    <row r="27">
      <c r="A27" t="inlineStr">
        <is>
          <t>Muhammad Kamal Hamzah</t>
        </is>
      </c>
      <c r="B27" t="n">
        <v>24060124130056</v>
      </c>
      <c r="C27" t="inlineStr">
        <is>
          <t>333800a5-176b-4d7c-8e05-fa50d0464abc</t>
        </is>
      </c>
      <c r="F27" t="inlineStr">
        <is>
          <t>kamal@students.undip.ac.id</t>
        </is>
      </c>
      <c r="G27" t="n">
        <v>50</v>
      </c>
      <c r="H27" t="n">
        <v>76.81</v>
      </c>
      <c r="I27" t="n">
        <v>85.70999999999999</v>
      </c>
      <c r="J27" t="n">
        <v>85</v>
      </c>
      <c r="K27">
        <f>SUM(G27:J27)/4</f>
        <v/>
      </c>
    </row>
    <row r="28">
      <c r="A28" t="inlineStr">
        <is>
          <t>Naufal Dwi Yusmawan</t>
        </is>
      </c>
      <c r="B28" t="n">
        <v>24060124130075</v>
      </c>
      <c r="C28" t="inlineStr">
        <is>
          <t>5b38e6e7-f634-4beb-a304-87a9be5d1bee</t>
        </is>
      </c>
      <c r="F28" t="inlineStr">
        <is>
          <t>naufaldwi@students.undip.ac.id</t>
        </is>
      </c>
      <c r="G28" t="n">
        <v>83.33</v>
      </c>
      <c r="H28" t="n">
        <v>65.22</v>
      </c>
      <c r="I28" t="n">
        <v>85.70999999999999</v>
      </c>
      <c r="J28" t="n">
        <v>70</v>
      </c>
      <c r="K28">
        <f>SUM(G28:J28)/4</f>
        <v/>
      </c>
    </row>
    <row r="29">
      <c r="A29" t="inlineStr">
        <is>
          <t>Muhammad Firdaus Argifari</t>
        </is>
      </c>
      <c r="B29" t="n">
        <v>24060124130107</v>
      </c>
      <c r="C29" t="inlineStr">
        <is>
          <t>d9caee04-3e98-4c85-86ee-3c7dc194dc73</t>
        </is>
      </c>
      <c r="F29" t="inlineStr">
        <is>
          <t>muhammadfirdausargif@students.undip.ac.id</t>
        </is>
      </c>
      <c r="G29" t="n">
        <v>58.33</v>
      </c>
      <c r="H29" t="n">
        <v>93.48</v>
      </c>
      <c r="I29" t="n">
        <v>100</v>
      </c>
      <c r="J29" t="n">
        <v>95</v>
      </c>
      <c r="K29">
        <f>SUM(G29:J29)/4</f>
        <v/>
      </c>
    </row>
    <row r="30">
      <c r="A30" t="inlineStr">
        <is>
          <t>Muhammad Hafidh Al-ghifari</t>
        </is>
      </c>
      <c r="B30" t="n">
        <v>24060124140133</v>
      </c>
      <c r="C30" t="inlineStr">
        <is>
          <t>8907df08-b1ec-4d27-bfd3-4c4feab64520</t>
        </is>
      </c>
      <c r="F30" t="inlineStr">
        <is>
          <t>hafidhalghifari@students.undip.ac.id</t>
        </is>
      </c>
      <c r="G30" t="n">
        <v>25</v>
      </c>
      <c r="H30" t="n">
        <v>65.94</v>
      </c>
      <c r="I30" t="n">
        <v>85.70999999999999</v>
      </c>
      <c r="J30" t="n">
        <v>80</v>
      </c>
      <c r="K30">
        <f>SUM(G30:J30)/4</f>
        <v/>
      </c>
    </row>
    <row r="31">
      <c r="A31" t="inlineStr">
        <is>
          <t>Nashwa Aldebaran</t>
        </is>
      </c>
      <c r="B31" t="n">
        <v>24060124140150</v>
      </c>
      <c r="C31" t="inlineStr">
        <is>
          <t>5f23b718-af86-4d68-8ebd-59d02541b192</t>
        </is>
      </c>
      <c r="F31" t="inlineStr">
        <is>
          <t>nashwaaldebaran@students.undip.ac.id</t>
        </is>
      </c>
      <c r="G31" t="n">
        <v>83.33</v>
      </c>
      <c r="H31" t="n">
        <v>84.78</v>
      </c>
      <c r="I31" t="n">
        <v>71.43000000000001</v>
      </c>
      <c r="J31" t="n">
        <v>85</v>
      </c>
      <c r="K31">
        <f>SUM(G31:J31)/4</f>
        <v/>
      </c>
    </row>
    <row r="32">
      <c r="A32" t="inlineStr">
        <is>
          <t>Muhammad Hafidh Zufar Dewantara</t>
        </is>
      </c>
      <c r="B32" t="n">
        <v>24060124140164</v>
      </c>
      <c r="C32" t="inlineStr">
        <is>
          <t>ec02c72b-9698-436f-a5d1-ba552dac4826</t>
        </is>
      </c>
      <c r="F32" t="inlineStr">
        <is>
          <t>hafidhzufar@students.undip.ac.id</t>
        </is>
      </c>
      <c r="G32" t="n">
        <v>50</v>
      </c>
      <c r="H32" t="n">
        <v>75.36</v>
      </c>
      <c r="I32" t="n">
        <v>71.43000000000001</v>
      </c>
      <c r="J32" t="n">
        <v>70</v>
      </c>
      <c r="K32">
        <f>SUM(G32:J32)/4</f>
        <v/>
      </c>
    </row>
    <row r="33">
      <c r="A33" t="inlineStr">
        <is>
          <t>Muhammad Lutfi Febriansyah</t>
        </is>
      </c>
      <c r="B33" t="n">
        <v>24060124140197</v>
      </c>
      <c r="C33" t="inlineStr">
        <is>
          <t>68178da4-a73f-4ee7-9b8e-aee61d62a652</t>
        </is>
      </c>
      <c r="F33" t="inlineStr">
        <is>
          <t>lutfifebriansyah@students.undip.ac.id</t>
        </is>
      </c>
      <c r="G33" t="n">
        <v>50</v>
      </c>
      <c r="H33" t="inlineStr">
        <is>
          <t>-</t>
        </is>
      </c>
      <c r="I33" t="inlineStr">
        <is>
          <t>-</t>
        </is>
      </c>
      <c r="J33" t="n">
        <v>20</v>
      </c>
      <c r="K33">
        <f>SUM(G33:J33)/4</f>
        <v/>
      </c>
    </row>
    <row r="34">
      <c r="A34" t="inlineStr">
        <is>
          <t>Amelia Aristianti</t>
        </is>
      </c>
      <c r="B34" t="n">
        <v>24060124120008</v>
      </c>
      <c r="C34" t="inlineStr">
        <is>
          <t>675b47ff-e0ac-4015-80e5-4923eef281e3</t>
        </is>
      </c>
      <c r="F34" t="inlineStr">
        <is>
          <t>amelilie@students.undip.ac.id</t>
        </is>
      </c>
      <c r="G34" t="n">
        <v>91.67</v>
      </c>
      <c r="H34" t="n">
        <v>100</v>
      </c>
      <c r="I34" t="n">
        <v>85.70999999999999</v>
      </c>
      <c r="J34" t="n">
        <v>95</v>
      </c>
      <c r="K34">
        <f>SUM(G34:J34)/4</f>
        <v/>
      </c>
    </row>
    <row r="35">
      <c r="A35" t="inlineStr">
        <is>
          <t>An Al Rivaldi</t>
        </is>
      </c>
      <c r="B35" t="n">
        <v>24060124120030</v>
      </c>
      <c r="C35" t="inlineStr">
        <is>
          <t>66c3f55e-11cb-4861-87ea-602774550e18</t>
        </is>
      </c>
      <c r="F35" t="inlineStr">
        <is>
          <t>analrivaldi@students.undip.ac.id</t>
        </is>
      </c>
      <c r="G35" t="n">
        <v>83.33</v>
      </c>
      <c r="H35" t="n">
        <v>97.09999999999999</v>
      </c>
      <c r="I35" t="n">
        <v>100</v>
      </c>
      <c r="J35" t="n">
        <v>90</v>
      </c>
      <c r="K35">
        <f>SUM(G35:J35)/4</f>
        <v/>
      </c>
    </row>
    <row r="36">
      <c r="A36" t="inlineStr">
        <is>
          <t>Ali Maskan Ferry Purwanto</t>
        </is>
      </c>
      <c r="B36" t="n">
        <v>24060124130072</v>
      </c>
      <c r="C36" t="inlineStr">
        <is>
          <t>32c3209e-6a2d-42a3-a855-a98d40a917f0</t>
        </is>
      </c>
      <c r="F36" t="inlineStr">
        <is>
          <t>ferry845@students.undip.ac.id</t>
        </is>
      </c>
      <c r="G36" t="n">
        <v>75</v>
      </c>
      <c r="H36" t="n">
        <v>88.41</v>
      </c>
      <c r="I36" t="n">
        <v>100</v>
      </c>
      <c r="J36" t="n">
        <v>95</v>
      </c>
      <c r="K36">
        <f>SUM(G36:J36)/4</f>
        <v/>
      </c>
    </row>
    <row r="37">
      <c r="A37" t="inlineStr">
        <is>
          <t>Adefritz Einar Sinaga</t>
        </is>
      </c>
      <c r="B37" t="n">
        <v>24060124140186</v>
      </c>
      <c r="C37" t="inlineStr">
        <is>
          <t>8ff66111-127f-4ddb-be59-291f0665251a</t>
        </is>
      </c>
      <c r="F37" t="inlineStr">
        <is>
          <t>fritzeinar18@students.undip.ac.id</t>
        </is>
      </c>
      <c r="G37" t="n">
        <v>25</v>
      </c>
      <c r="H37" t="n">
        <v>53.62</v>
      </c>
      <c r="I37" t="n">
        <v>71.43000000000001</v>
      </c>
      <c r="J37" t="n">
        <v>85</v>
      </c>
      <c r="K37">
        <f>SUM(G37:J37)/4</f>
        <v/>
      </c>
    </row>
    <row r="38">
      <c r="A38" t="inlineStr">
        <is>
          <t>Rafa Azlan</t>
        </is>
      </c>
      <c r="B38" t="n">
        <v>24060124140126</v>
      </c>
      <c r="C38" t="inlineStr">
        <is>
          <t>c2fa2584-d4ed-45c5-b04f-cd4cabbc865b</t>
        </is>
      </c>
      <c r="F38" t="inlineStr">
        <is>
          <t>rafaazlan@students.undip.ac.id</t>
        </is>
      </c>
      <c r="G38" t="n">
        <v>75</v>
      </c>
      <c r="H38" t="n">
        <v>62.32</v>
      </c>
      <c r="I38" t="n">
        <v>100</v>
      </c>
      <c r="J38" t="n">
        <v>95</v>
      </c>
      <c r="K38">
        <f>SUM(G38:J38)/4</f>
        <v/>
      </c>
    </row>
    <row r="39">
      <c r="A39" t="inlineStr">
        <is>
          <t>Naufal Rayan Attallah</t>
        </is>
      </c>
      <c r="B39" t="n">
        <v>24060124140170</v>
      </c>
      <c r="C39" t="inlineStr">
        <is>
          <t>25ae0b10-cdf0-42d6-994a-ee44e30da7b5</t>
        </is>
      </c>
      <c r="F39" t="inlineStr">
        <is>
          <t>nray@students.undip.ac.id</t>
        </is>
      </c>
      <c r="G39" t="n">
        <v>25</v>
      </c>
      <c r="H39" t="n">
        <v>52.17</v>
      </c>
      <c r="I39" t="n">
        <v>71.43000000000001</v>
      </c>
      <c r="J39" t="n">
        <v>25</v>
      </c>
      <c r="K39">
        <f>SUM(G39:J39)/4</f>
        <v/>
      </c>
    </row>
    <row r="40">
      <c r="A40" t="inlineStr">
        <is>
          <t>Novelya Cherina</t>
        </is>
      </c>
      <c r="B40" t="n">
        <v>24060124140174</v>
      </c>
      <c r="C40" t="inlineStr">
        <is>
          <t>7c579b19-6754-4810-b17b-9ff05c118050</t>
        </is>
      </c>
      <c r="F40" t="inlineStr">
        <is>
          <t>novelyacherina@students.undip.ac.id</t>
        </is>
      </c>
      <c r="G40" t="n">
        <v>83.33</v>
      </c>
      <c r="H40" t="n">
        <v>100</v>
      </c>
      <c r="I40" t="n">
        <v>85.70999999999999</v>
      </c>
      <c r="J40" t="n">
        <v>95</v>
      </c>
      <c r="K40">
        <f>SUM(G40:J40)/4</f>
        <v/>
      </c>
    </row>
    <row r="41">
      <c r="A41" t="inlineStr">
        <is>
          <t>Caesar Ferdiana Suwandi</t>
        </is>
      </c>
      <c r="B41" t="n">
        <v>24060124120051</v>
      </c>
      <c r="C41" t="inlineStr">
        <is>
          <t>e0e50038-dd5d-41e6-8737-b599c9471a78</t>
        </is>
      </c>
      <c r="F41" t="inlineStr">
        <is>
          <t>caesarferdiana@students.undip.ac.id</t>
        </is>
      </c>
      <c r="G41" t="n">
        <v>50</v>
      </c>
      <c r="H41" t="n">
        <v>56.52</v>
      </c>
      <c r="I41" t="n">
        <v>100</v>
      </c>
      <c r="J41" t="n">
        <v>90</v>
      </c>
      <c r="K41">
        <f>SUM(G41:J41)/4</f>
        <v/>
      </c>
    </row>
    <row r="42">
      <c r="A42" t="inlineStr">
        <is>
          <t>Dewangga Ramadhan Halim</t>
        </is>
      </c>
      <c r="B42" t="n">
        <v>24060124130118</v>
      </c>
      <c r="C42" t="inlineStr">
        <is>
          <t>8d8c0859-3958-49d2-8cd3-b73d5d891616</t>
        </is>
      </c>
      <c r="F42" t="inlineStr">
        <is>
          <t>dewanggarh@students.undip.ac.id</t>
        </is>
      </c>
      <c r="G42" t="n">
        <v>41.67</v>
      </c>
      <c r="H42" t="n">
        <v>81.88</v>
      </c>
      <c r="I42" t="n">
        <v>85.70999999999999</v>
      </c>
      <c r="J42" t="n">
        <v>85</v>
      </c>
      <c r="K42">
        <f>SUM(G42:J42)/4</f>
        <v/>
      </c>
    </row>
    <row r="43">
      <c r="A43" t="inlineStr">
        <is>
          <t>Crystiano Bayu Satya Alves</t>
        </is>
      </c>
      <c r="B43" t="n">
        <v>24060124140130</v>
      </c>
      <c r="C43" t="inlineStr">
        <is>
          <t>aa258e9a-175d-4bbd-8742-8fe3dc6e2203</t>
        </is>
      </c>
      <c r="F43" t="inlineStr">
        <is>
          <t>bayualves28@students.undip.ac.id</t>
        </is>
      </c>
      <c r="G43" t="n">
        <v>75</v>
      </c>
      <c r="H43" t="n">
        <v>56.52</v>
      </c>
      <c r="I43" t="n">
        <v>71.43000000000001</v>
      </c>
      <c r="J43" t="n">
        <v>60</v>
      </c>
      <c r="K43">
        <f>SUM(G43:J43)/4</f>
        <v/>
      </c>
    </row>
    <row r="44">
      <c r="A44" t="inlineStr">
        <is>
          <t>Devano Trestanto</t>
        </is>
      </c>
      <c r="B44" t="n">
        <v>24060124140149</v>
      </c>
      <c r="C44" t="inlineStr">
        <is>
          <t>59e539b9-ac09-4590-b97d-6863958d4c3f</t>
        </is>
      </c>
      <c r="F44" t="inlineStr">
        <is>
          <t>devanotrestanto@students.undip.ac.id</t>
        </is>
      </c>
      <c r="G44" t="n">
        <v>58.33</v>
      </c>
      <c r="H44" t="n">
        <v>88.41</v>
      </c>
      <c r="I44" t="n">
        <v>57.14</v>
      </c>
      <c r="J44" t="n">
        <v>60</v>
      </c>
      <c r="K44">
        <f>SUM(G44:J44)/4</f>
        <v/>
      </c>
    </row>
    <row r="45">
      <c r="A45" t="inlineStr">
        <is>
          <t>Dinda Isyariani</t>
        </is>
      </c>
      <c r="B45" t="n">
        <v>24060124140165</v>
      </c>
      <c r="C45" t="inlineStr">
        <is>
          <t>b886a4d2-e882-4700-9adf-38f6e0be0083</t>
        </is>
      </c>
      <c r="F45" t="inlineStr">
        <is>
          <t>dindaisyrn@students.undip.ac.id</t>
        </is>
      </c>
      <c r="G45" t="n">
        <v>91.67</v>
      </c>
      <c r="H45" t="n">
        <v>100</v>
      </c>
      <c r="I45" t="n">
        <v>85.70999999999999</v>
      </c>
      <c r="J45" t="n">
        <v>85</v>
      </c>
      <c r="K45">
        <f>SUM(G45:J45)/4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ID number</t>
        </is>
      </c>
      <c r="D1" t="inlineStr">
        <is>
          <t>Institution</t>
        </is>
      </c>
      <c r="E1" t="inlineStr">
        <is>
          <t>Department</t>
        </is>
      </c>
      <c r="F1" t="inlineStr">
        <is>
          <t>Email address</t>
        </is>
      </c>
      <c r="G1" t="inlineStr">
        <is>
          <t>Quiz: Quis 1 (Real)</t>
        </is>
      </c>
      <c r="H1" t="inlineStr">
        <is>
          <t>Quiz: Quis 2 (Real)</t>
        </is>
      </c>
      <c r="I1" t="inlineStr">
        <is>
          <t>Quiz: Quis 3 (Real)</t>
        </is>
      </c>
      <c r="J1" t="inlineStr">
        <is>
          <t>Quiz: Quis 4 (Real)</t>
        </is>
      </c>
      <c r="K1" t="inlineStr">
        <is>
          <t>Quiz: quis 5 (Real)</t>
        </is>
      </c>
      <c r="L1" t="inlineStr">
        <is>
          <t>Quiz: quis 6 (Real)</t>
        </is>
      </c>
      <c r="M1" t="inlineStr">
        <is>
          <t>Quiz: Latihan UTS (Real)</t>
        </is>
      </c>
      <c r="N1" t="inlineStr">
        <is>
          <t>Quiz: UTS (Real)</t>
        </is>
      </c>
      <c r="O1" t="inlineStr">
        <is>
          <t>Last downloaded from this course</t>
        </is>
      </c>
    </row>
    <row r="2">
      <c r="A2" t="inlineStr">
        <is>
          <t>M. Ghani Aryasuta</t>
        </is>
      </c>
      <c r="B2" t="n">
        <v>24060121120026</v>
      </c>
      <c r="C2" t="inlineStr">
        <is>
          <t>a3efe021-6767-4861-9db6-385903a5121b</t>
        </is>
      </c>
      <c r="F2" t="inlineStr">
        <is>
          <t>muslikbertopeng@students.undip.ac.id</t>
        </is>
      </c>
      <c r="G2" t="n">
        <v>58.33</v>
      </c>
      <c r="H2" t="n">
        <v>94.2</v>
      </c>
      <c r="I2" t="n">
        <v>85.70999999999999</v>
      </c>
      <c r="J2" t="inlineStr">
        <is>
          <t>-</t>
        </is>
      </c>
      <c r="K2" t="n">
        <v>10</v>
      </c>
      <c r="L2" t="n">
        <v>95</v>
      </c>
      <c r="M2" t="n">
        <v>9.9</v>
      </c>
      <c r="N2" t="n">
        <v>99</v>
      </c>
      <c r="O2" t="n">
        <v>1782747465</v>
      </c>
    </row>
    <row r="3">
      <c r="A3" t="inlineStr">
        <is>
          <t>Ahmad Danun Hanani</t>
        </is>
      </c>
      <c r="B3" t="n">
        <v>24060121130059</v>
      </c>
      <c r="C3" t="inlineStr">
        <is>
          <t>59fd032c-08ac-4463-890a-cd91130d9286</t>
        </is>
      </c>
      <c r="F3" t="inlineStr">
        <is>
          <t>ahmaddanunhanani@students.undip.ac.id</t>
        </is>
      </c>
      <c r="G3" t="inlineStr">
        <is>
          <t>-</t>
        </is>
      </c>
      <c r="H3" t="n">
        <v>36.96</v>
      </c>
      <c r="I3" t="n">
        <v>100</v>
      </c>
      <c r="J3" t="inlineStr">
        <is>
          <t>-</t>
        </is>
      </c>
      <c r="K3" t="n">
        <v>9</v>
      </c>
      <c r="L3" t="n">
        <v>60</v>
      </c>
      <c r="M3" t="n">
        <v>9.07</v>
      </c>
      <c r="N3" t="inlineStr">
        <is>
          <t>-</t>
        </is>
      </c>
      <c r="O3" t="n">
        <v>1782747465</v>
      </c>
    </row>
    <row r="4">
      <c r="A4" t="inlineStr">
        <is>
          <t>Nindya Kirana</t>
        </is>
      </c>
      <c r="B4" t="n">
        <v>24060123130067</v>
      </c>
      <c r="C4" t="inlineStr">
        <is>
          <t>25c5a7ec-04d0-425b-a3ff-d219c86eb43d</t>
        </is>
      </c>
      <c r="F4" t="inlineStr">
        <is>
          <t>nindyakirana@students.undip.ac.id</t>
        </is>
      </c>
      <c r="G4" t="n">
        <v>75</v>
      </c>
      <c r="H4" t="n">
        <v>91.3</v>
      </c>
      <c r="I4" t="n">
        <v>28.57</v>
      </c>
      <c r="J4" t="inlineStr">
        <is>
          <t>-</t>
        </is>
      </c>
      <c r="K4" t="n">
        <v>10</v>
      </c>
      <c r="L4" t="n">
        <v>55</v>
      </c>
      <c r="M4" t="n">
        <v>8.869999999999999</v>
      </c>
      <c r="N4" t="n">
        <v>92</v>
      </c>
      <c r="O4" t="n">
        <v>1782747465</v>
      </c>
    </row>
    <row r="5">
      <c r="A5" t="inlineStr">
        <is>
          <t>Dewi Larasati Mumpuni</t>
        </is>
      </c>
      <c r="B5" t="n">
        <v>24060123140045</v>
      </c>
      <c r="C5" t="inlineStr">
        <is>
          <t>453a66d0-2c28-4166-8fe5-d18b70c9f129</t>
        </is>
      </c>
      <c r="F5" t="inlineStr">
        <is>
          <t>dewilarasatimumpuni@students.undip.ac.id</t>
        </is>
      </c>
      <c r="G5" t="n">
        <v>75</v>
      </c>
      <c r="H5" t="n">
        <v>86.23</v>
      </c>
      <c r="I5" t="n">
        <v>42.86</v>
      </c>
      <c r="J5" t="inlineStr">
        <is>
          <t>-</t>
        </is>
      </c>
      <c r="K5" t="n">
        <v>8</v>
      </c>
      <c r="L5" t="n">
        <v>65</v>
      </c>
      <c r="M5" t="n">
        <v>9.69</v>
      </c>
      <c r="N5" t="n">
        <v>95</v>
      </c>
      <c r="O5" t="n">
        <v>1782747465</v>
      </c>
    </row>
    <row r="6">
      <c r="A6" t="inlineStr">
        <is>
          <t>Ratu Sekar Ayu Nisa</t>
        </is>
      </c>
      <c r="B6" t="n">
        <v>24060123140130</v>
      </c>
      <c r="C6" t="inlineStr">
        <is>
          <t>e6e740e8-e36f-4394-8d43-e28d3355539c</t>
        </is>
      </c>
      <c r="F6" t="inlineStr">
        <is>
          <t>ratusekarayunisa@students.undip.ac.id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8.5</v>
      </c>
      <c r="L6" t="n">
        <v>85</v>
      </c>
      <c r="M6" t="inlineStr">
        <is>
          <t>-</t>
        </is>
      </c>
      <c r="N6" t="n">
        <v>93</v>
      </c>
      <c r="O6" t="n">
        <v>1782747465</v>
      </c>
    </row>
    <row r="7">
      <c r="A7" t="inlineStr">
        <is>
          <t>Mutiara Ayu Pramono</t>
        </is>
      </c>
      <c r="B7" t="n">
        <v>24060123140131</v>
      </c>
      <c r="C7" t="inlineStr">
        <is>
          <t>c081338a-3923-401f-b56d-601e77c18f32</t>
        </is>
      </c>
      <c r="F7" t="inlineStr">
        <is>
          <t>mutiaraayupramono@students.undip.ac.id</t>
        </is>
      </c>
      <c r="G7" t="n">
        <v>83.33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10</v>
      </c>
      <c r="L7" t="inlineStr">
        <is>
          <t>-</t>
        </is>
      </c>
      <c r="M7" t="n">
        <v>9.69</v>
      </c>
      <c r="N7" t="n">
        <v>99</v>
      </c>
      <c r="O7" t="n">
        <v>1782747465</v>
      </c>
    </row>
    <row r="8">
      <c r="A8" t="inlineStr">
        <is>
          <t>Noval Putra Barliyanda</t>
        </is>
      </c>
      <c r="B8" t="n">
        <v>24060123140137</v>
      </c>
      <c r="C8" t="inlineStr">
        <is>
          <t>056eea64-c03a-4361-933c-54bee0b611fc</t>
        </is>
      </c>
      <c r="F8" t="inlineStr">
        <is>
          <t>novalbarli@students.undip.ac.id</t>
        </is>
      </c>
      <c r="G8" t="n">
        <v>75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8.5</v>
      </c>
      <c r="L8" t="n">
        <v>75</v>
      </c>
      <c r="M8" t="inlineStr">
        <is>
          <t>-</t>
        </is>
      </c>
      <c r="N8" t="n">
        <v>83.92</v>
      </c>
      <c r="O8" t="n">
        <v>1782747465</v>
      </c>
    </row>
    <row r="9">
      <c r="A9" t="inlineStr">
        <is>
          <t>Raditya Saputra</t>
        </is>
      </c>
      <c r="B9" t="n">
        <v>24060123140140</v>
      </c>
      <c r="C9" t="inlineStr">
        <is>
          <t>743829d4-35cb-4935-adf6-a7ae3253ca13</t>
        </is>
      </c>
      <c r="F9" t="inlineStr">
        <is>
          <t>radityasaputr@students.undip.ac.id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9.5</v>
      </c>
      <c r="L9" t="n">
        <v>80</v>
      </c>
      <c r="M9" t="inlineStr">
        <is>
          <t>-</t>
        </is>
      </c>
      <c r="N9" t="n">
        <v>93</v>
      </c>
      <c r="O9" t="n">
        <v>1782747465</v>
      </c>
    </row>
    <row r="10">
      <c r="A10" t="inlineStr">
        <is>
          <t>Muhammad Iman Sasongko</t>
        </is>
      </c>
      <c r="B10" t="n">
        <v>24060123140171</v>
      </c>
      <c r="C10" t="inlineStr">
        <is>
          <t>571d55f8-a0e6-4b2f-ac50-785ab2df22b2</t>
        </is>
      </c>
      <c r="F10" t="inlineStr">
        <is>
          <t>muhammadimansasongko@students.undip.ac.id</t>
        </is>
      </c>
      <c r="G10" t="n">
        <v>83.33</v>
      </c>
      <c r="H10" t="n">
        <v>50.36</v>
      </c>
      <c r="I10" t="n">
        <v>71.43000000000001</v>
      </c>
      <c r="J10" t="inlineStr">
        <is>
          <t>-</t>
        </is>
      </c>
      <c r="K10" t="n">
        <v>8</v>
      </c>
      <c r="L10" t="n">
        <v>45</v>
      </c>
      <c r="M10" t="n">
        <v>8.890000000000001</v>
      </c>
      <c r="N10" t="n">
        <v>95</v>
      </c>
      <c r="O10" t="n">
        <v>1782747465</v>
      </c>
    </row>
    <row r="11">
      <c r="A11" t="inlineStr">
        <is>
          <t>Duta Adi Pamungkas</t>
        </is>
      </c>
      <c r="B11" t="n">
        <v>24060123140174</v>
      </c>
      <c r="C11" t="inlineStr">
        <is>
          <t>d7c894e1-7ec8-4fa5-9d4a-05b5dc5d00f5</t>
        </is>
      </c>
      <c r="F11" t="inlineStr">
        <is>
          <t>dutaadip@students.undip.ac.id</t>
        </is>
      </c>
      <c r="G11" t="n">
        <v>66.67</v>
      </c>
      <c r="H11" t="n">
        <v>84.06</v>
      </c>
      <c r="I11" t="n">
        <v>100</v>
      </c>
      <c r="J11" t="inlineStr">
        <is>
          <t>-</t>
        </is>
      </c>
      <c r="K11" t="n">
        <v>9.5</v>
      </c>
      <c r="L11" t="n">
        <v>80</v>
      </c>
      <c r="M11" t="n">
        <v>9.59</v>
      </c>
      <c r="N11" t="n">
        <v>97</v>
      </c>
      <c r="O11" t="n">
        <v>1782747465</v>
      </c>
    </row>
    <row r="12">
      <c r="A12" t="inlineStr">
        <is>
          <t>Muhammad Kievlan Hakim</t>
        </is>
      </c>
      <c r="B12" t="n">
        <v>24060123140184</v>
      </c>
      <c r="C12" t="inlineStr">
        <is>
          <t>0103299d-a236-4797-8bc7-2f464029cf80</t>
        </is>
      </c>
      <c r="F12" t="inlineStr">
        <is>
          <t>muhammadkievlanhakim@students.undip.ac.id</t>
        </is>
      </c>
      <c r="G12" t="n">
        <v>66.67</v>
      </c>
      <c r="H12" t="n">
        <v>88.41</v>
      </c>
      <c r="I12" t="n">
        <v>42.86</v>
      </c>
      <c r="J12" t="inlineStr">
        <is>
          <t>-</t>
        </is>
      </c>
      <c r="K12" t="n">
        <v>8.5</v>
      </c>
      <c r="L12" t="n">
        <v>90</v>
      </c>
      <c r="M12" t="n">
        <v>8.369999999999999</v>
      </c>
      <c r="N12" t="n">
        <v>93</v>
      </c>
      <c r="O12" t="n">
        <v>1782747465</v>
      </c>
    </row>
    <row r="13">
      <c r="A13" t="inlineStr">
        <is>
          <t>Kayla Febrina Laura Ayu</t>
        </is>
      </c>
      <c r="B13" t="n">
        <v>24060124120004</v>
      </c>
      <c r="C13" t="inlineStr">
        <is>
          <t>01bcf907-b093-4145-a921-f1c23ef1af29</t>
        </is>
      </c>
      <c r="F13" t="inlineStr">
        <is>
          <t>kaylafebrinalauraayu@students.undip.ac.id</t>
        </is>
      </c>
      <c r="G13" t="n">
        <v>83.33</v>
      </c>
      <c r="H13" t="n">
        <v>76.81</v>
      </c>
      <c r="I13" t="n">
        <v>100</v>
      </c>
      <c r="J13" t="inlineStr">
        <is>
          <t>-</t>
        </is>
      </c>
      <c r="K13" t="n">
        <v>9.5</v>
      </c>
      <c r="L13" t="n">
        <v>100</v>
      </c>
      <c r="M13" t="n">
        <v>9.279999999999999</v>
      </c>
      <c r="N13" t="n">
        <v>88</v>
      </c>
      <c r="O13" t="n">
        <v>1782747465</v>
      </c>
    </row>
    <row r="14">
      <c r="A14" t="inlineStr">
        <is>
          <t>Amelia Aristianti</t>
        </is>
      </c>
      <c r="B14" t="n">
        <v>24060124120008</v>
      </c>
      <c r="C14" t="inlineStr">
        <is>
          <t>675b47ff-e0ac-4015-80e5-4923eef281e3</t>
        </is>
      </c>
      <c r="F14" t="inlineStr">
        <is>
          <t>amelilie@students.undip.ac.id</t>
        </is>
      </c>
      <c r="G14" t="n">
        <v>91.67</v>
      </c>
      <c r="H14" t="n">
        <v>100</v>
      </c>
      <c r="I14" t="n">
        <v>85.70999999999999</v>
      </c>
      <c r="J14" t="inlineStr">
        <is>
          <t>-</t>
        </is>
      </c>
      <c r="K14" t="n">
        <v>9.5</v>
      </c>
      <c r="L14" t="n">
        <v>95</v>
      </c>
      <c r="M14" t="inlineStr">
        <is>
          <t>-</t>
        </is>
      </c>
      <c r="N14" t="n">
        <v>96</v>
      </c>
      <c r="O14" t="n">
        <v>1782747465</v>
      </c>
    </row>
    <row r="15">
      <c r="A15" t="inlineStr">
        <is>
          <t>An Al Rivaldi</t>
        </is>
      </c>
      <c r="B15" t="n">
        <v>24060124120030</v>
      </c>
      <c r="C15" t="inlineStr">
        <is>
          <t>66c3f55e-11cb-4861-87ea-602774550e18</t>
        </is>
      </c>
      <c r="F15" t="inlineStr">
        <is>
          <t>analrivaldi@students.undip.ac.id</t>
        </is>
      </c>
      <c r="G15" t="n">
        <v>83.33</v>
      </c>
      <c r="H15" t="n">
        <v>97.09999999999999</v>
      </c>
      <c r="I15" t="n">
        <v>100</v>
      </c>
      <c r="J15" t="inlineStr">
        <is>
          <t>-</t>
        </is>
      </c>
      <c r="K15" t="n">
        <v>9</v>
      </c>
      <c r="L15" t="n">
        <v>90</v>
      </c>
      <c r="M15" t="inlineStr">
        <is>
          <t>-</t>
        </is>
      </c>
      <c r="N15" t="n">
        <v>96</v>
      </c>
      <c r="O15" t="n">
        <v>1782747465</v>
      </c>
    </row>
    <row r="16">
      <c r="A16" t="inlineStr">
        <is>
          <t>Marchella Arkhina Ratunesia</t>
        </is>
      </c>
      <c r="B16" t="n">
        <v>24060124120036</v>
      </c>
      <c r="C16" t="inlineStr">
        <is>
          <t>8af6d3d5-6602-4daf-af10-b4025ef4ac1e</t>
        </is>
      </c>
      <c r="F16" t="inlineStr">
        <is>
          <t>marchellakhina@students.undip.ac.id</t>
        </is>
      </c>
      <c r="G16" t="n">
        <v>83.33</v>
      </c>
      <c r="H16" t="n">
        <v>80.43000000000001</v>
      </c>
      <c r="I16" t="n">
        <v>71.43000000000001</v>
      </c>
      <c r="J16" t="inlineStr">
        <is>
          <t>-</t>
        </is>
      </c>
      <c r="K16" t="n">
        <v>9</v>
      </c>
      <c r="L16" t="n">
        <v>50</v>
      </c>
      <c r="M16" t="inlineStr">
        <is>
          <t>-</t>
        </is>
      </c>
      <c r="N16" t="n">
        <v>93.67</v>
      </c>
      <c r="O16" t="n">
        <v>1782747465</v>
      </c>
    </row>
    <row r="17">
      <c r="A17" t="inlineStr">
        <is>
          <t>Izzatu Khoirul Fata</t>
        </is>
      </c>
      <c r="B17" t="n">
        <v>24060124120039</v>
      </c>
      <c r="C17" t="inlineStr">
        <is>
          <t>966ae3f4-c38c-4287-bb5a-e4d892ce4894</t>
        </is>
      </c>
      <c r="F17" t="inlineStr">
        <is>
          <t>izzatukhoirulfata@students.undip.ac.id</t>
        </is>
      </c>
      <c r="G17" t="n">
        <v>50</v>
      </c>
      <c r="H17" t="n">
        <v>81.88</v>
      </c>
      <c r="I17" t="n">
        <v>85.70999999999999</v>
      </c>
      <c r="J17" t="inlineStr">
        <is>
          <t>-</t>
        </is>
      </c>
      <c r="K17" t="n">
        <v>8.5</v>
      </c>
      <c r="L17" t="n">
        <v>75</v>
      </c>
      <c r="M17" t="n">
        <v>9.380000000000001</v>
      </c>
      <c r="N17" t="n">
        <v>94</v>
      </c>
      <c r="O17" t="n">
        <v>1782747465</v>
      </c>
    </row>
    <row r="18">
      <c r="A18" t="inlineStr">
        <is>
          <t>Caesar Ferdiana Suwandi</t>
        </is>
      </c>
      <c r="B18" t="n">
        <v>24060124120051</v>
      </c>
      <c r="C18" t="inlineStr">
        <is>
          <t>e0e50038-dd5d-41e6-8737-b599c9471a78</t>
        </is>
      </c>
      <c r="F18" t="inlineStr">
        <is>
          <t>caesarferdiana@students.undip.ac.id</t>
        </is>
      </c>
      <c r="G18" t="n">
        <v>50</v>
      </c>
      <c r="H18" t="n">
        <v>56.52</v>
      </c>
      <c r="I18" t="n">
        <v>100</v>
      </c>
      <c r="J18" t="inlineStr">
        <is>
          <t>-</t>
        </is>
      </c>
      <c r="K18" t="n">
        <v>8.5</v>
      </c>
      <c r="L18" t="n">
        <v>90</v>
      </c>
      <c r="M18" t="n">
        <v>9.48</v>
      </c>
      <c r="N18" t="n">
        <v>97</v>
      </c>
      <c r="O18" t="n">
        <v>1782747465</v>
      </c>
    </row>
    <row r="19">
      <c r="A19" t="inlineStr">
        <is>
          <t>Raffie Aditya Akbar</t>
        </is>
      </c>
      <c r="B19" t="n">
        <v>24060124130054</v>
      </c>
      <c r="C19" t="inlineStr">
        <is>
          <t>e9c1fd54-37f0-49ff-9c68-2cfb38f1f140</t>
        </is>
      </c>
      <c r="F19" t="inlineStr">
        <is>
          <t>raffieadityaakbar@students.undip.ac.id</t>
        </is>
      </c>
      <c r="G19" t="n">
        <v>91.67</v>
      </c>
      <c r="H19" t="n">
        <v>86.95999999999999</v>
      </c>
      <c r="I19" t="n">
        <v>57.14</v>
      </c>
      <c r="J19" t="inlineStr">
        <is>
          <t>-</t>
        </is>
      </c>
      <c r="K19" t="inlineStr">
        <is>
          <t>-</t>
        </is>
      </c>
      <c r="L19" t="n">
        <v>90</v>
      </c>
      <c r="M19" t="inlineStr">
        <is>
          <t>-</t>
        </is>
      </c>
      <c r="N19" t="n">
        <v>94.33</v>
      </c>
      <c r="O19" t="n">
        <v>1782747465</v>
      </c>
    </row>
    <row r="20">
      <c r="A20" t="inlineStr">
        <is>
          <t>Muhammad Kamal Hamzah</t>
        </is>
      </c>
      <c r="B20" t="n">
        <v>24060124130056</v>
      </c>
      <c r="C20" t="inlineStr">
        <is>
          <t>333800a5-176b-4d7c-8e05-fa50d0464abc</t>
        </is>
      </c>
      <c r="F20" t="inlineStr">
        <is>
          <t>kamal@students.undip.ac.id</t>
        </is>
      </c>
      <c r="G20" t="n">
        <v>50</v>
      </c>
      <c r="H20" t="n">
        <v>76.81</v>
      </c>
      <c r="I20" t="n">
        <v>85.70999999999999</v>
      </c>
      <c r="J20" t="inlineStr">
        <is>
          <t>-</t>
        </is>
      </c>
      <c r="K20" t="inlineStr">
        <is>
          <t>-</t>
        </is>
      </c>
      <c r="L20" t="n">
        <v>85</v>
      </c>
      <c r="M20" t="n">
        <v>1.24</v>
      </c>
      <c r="N20" t="n">
        <v>98</v>
      </c>
      <c r="O20" t="n">
        <v>1782747465</v>
      </c>
    </row>
    <row r="21">
      <c r="A21" t="inlineStr">
        <is>
          <t>Elza Khoirisma Carrynda</t>
        </is>
      </c>
      <c r="B21" t="n">
        <v>24060124130065</v>
      </c>
      <c r="C21" t="inlineStr">
        <is>
          <t>6a8316c9-b945-4e83-9fa3-dcc848edd692</t>
        </is>
      </c>
      <c r="F21" t="inlineStr">
        <is>
          <t>elzakcarrynda@students.undip.ac.id</t>
        </is>
      </c>
      <c r="G21" t="n">
        <v>83.33</v>
      </c>
      <c r="H21" t="n">
        <v>94.93000000000001</v>
      </c>
      <c r="I21" t="n">
        <v>85.70999999999999</v>
      </c>
      <c r="J21" t="inlineStr">
        <is>
          <t>-</t>
        </is>
      </c>
      <c r="K21" t="n">
        <v>9</v>
      </c>
      <c r="L21" t="n">
        <v>100</v>
      </c>
      <c r="M21" t="inlineStr">
        <is>
          <t>-</t>
        </is>
      </c>
      <c r="N21" t="n">
        <v>96</v>
      </c>
      <c r="O21" t="n">
        <v>1782747465</v>
      </c>
    </row>
    <row r="22">
      <c r="A22" t="inlineStr">
        <is>
          <t>Ali Maskan Ferry Purwanto</t>
        </is>
      </c>
      <c r="B22" t="n">
        <v>24060124130072</v>
      </c>
      <c r="C22" t="inlineStr">
        <is>
          <t>32c3209e-6a2d-42a3-a855-a98d40a917f0</t>
        </is>
      </c>
      <c r="F22" t="inlineStr">
        <is>
          <t>ferry845@students.undip.ac.id</t>
        </is>
      </c>
      <c r="G22" t="n">
        <v>75</v>
      </c>
      <c r="H22" t="n">
        <v>88.41</v>
      </c>
      <c r="I22" t="n">
        <v>100</v>
      </c>
      <c r="J22" t="inlineStr">
        <is>
          <t>-</t>
        </is>
      </c>
      <c r="K22" t="n">
        <v>9.5</v>
      </c>
      <c r="L22" t="n">
        <v>95</v>
      </c>
      <c r="M22" t="n">
        <v>9.24</v>
      </c>
      <c r="N22" t="n">
        <v>95</v>
      </c>
      <c r="O22" t="n">
        <v>1782747465</v>
      </c>
    </row>
    <row r="23">
      <c r="A23" t="inlineStr">
        <is>
          <t>Naufal Dwi Yusmawan</t>
        </is>
      </c>
      <c r="B23" t="n">
        <v>24060124130075</v>
      </c>
      <c r="C23" t="inlineStr">
        <is>
          <t>5b38e6e7-f634-4beb-a304-87a9be5d1bee</t>
        </is>
      </c>
      <c r="F23" t="inlineStr">
        <is>
          <t>naufaldwi@students.undip.ac.id</t>
        </is>
      </c>
      <c r="G23" t="n">
        <v>83.33</v>
      </c>
      <c r="H23" t="n">
        <v>65.22</v>
      </c>
      <c r="I23" t="n">
        <v>85.70999999999999</v>
      </c>
      <c r="J23" t="inlineStr">
        <is>
          <t>-</t>
        </is>
      </c>
      <c r="K23" t="n">
        <v>9</v>
      </c>
      <c r="L23" t="n">
        <v>70</v>
      </c>
      <c r="M23" t="n">
        <v>5.05</v>
      </c>
      <c r="N23" t="n">
        <v>98</v>
      </c>
      <c r="O23" t="n">
        <v>1782747465</v>
      </c>
    </row>
    <row r="24">
      <c r="A24" t="inlineStr">
        <is>
          <t>Syuraih Umar Khotthob</t>
        </is>
      </c>
      <c r="B24" t="n">
        <v>24060124130092</v>
      </c>
      <c r="C24" t="inlineStr">
        <is>
          <t>9f72db65-607a-4f09-bd5e-b989b218ff7e</t>
        </is>
      </c>
      <c r="F24" t="inlineStr">
        <is>
          <t>syuraihumar@students.undip.ac.id</t>
        </is>
      </c>
      <c r="G24" t="n">
        <v>83.33</v>
      </c>
      <c r="H24" t="n">
        <v>89.13</v>
      </c>
      <c r="I24" t="n">
        <v>85.70999999999999</v>
      </c>
      <c r="J24" t="inlineStr">
        <is>
          <t>-</t>
        </is>
      </c>
      <c r="K24" t="n">
        <v>8</v>
      </c>
      <c r="L24" t="n">
        <v>80</v>
      </c>
      <c r="M24" t="n">
        <v>8.449999999999999</v>
      </c>
      <c r="N24" t="n">
        <v>97</v>
      </c>
      <c r="O24" t="n">
        <v>1782747465</v>
      </c>
    </row>
    <row r="25">
      <c r="A25" t="inlineStr">
        <is>
          <t>Zulfa Nabilah</t>
        </is>
      </c>
      <c r="B25" t="n">
        <v>24060124130095</v>
      </c>
      <c r="C25" t="inlineStr">
        <is>
          <t>21c0cc7a-c842-4d12-a243-aeebea27708a</t>
        </is>
      </c>
      <c r="F25" t="inlineStr">
        <is>
          <t>bila150@students.undip.ac.id</t>
        </is>
      </c>
      <c r="G25" t="n">
        <v>75</v>
      </c>
      <c r="H25" t="n">
        <v>91.3</v>
      </c>
      <c r="I25" t="n">
        <v>42.86</v>
      </c>
      <c r="J25" t="inlineStr">
        <is>
          <t>-</t>
        </is>
      </c>
      <c r="K25" t="n">
        <v>9</v>
      </c>
      <c r="L25" t="n">
        <v>100</v>
      </c>
      <c r="M25" t="inlineStr">
        <is>
          <t>-</t>
        </is>
      </c>
      <c r="N25" t="n">
        <v>95</v>
      </c>
      <c r="O25" t="n">
        <v>1782747465</v>
      </c>
    </row>
    <row r="26">
      <c r="A26" t="inlineStr">
        <is>
          <t>Muhammad Firdaus Argifari</t>
        </is>
      </c>
      <c r="B26" t="n">
        <v>24060124130107</v>
      </c>
      <c r="C26" t="inlineStr">
        <is>
          <t>d9caee04-3e98-4c85-86ee-3c7dc194dc73</t>
        </is>
      </c>
      <c r="F26" t="inlineStr">
        <is>
          <t>muhammadfirdausargif@students.undip.ac.id</t>
        </is>
      </c>
      <c r="G26" t="n">
        <v>58.33</v>
      </c>
      <c r="H26" t="n">
        <v>93.48</v>
      </c>
      <c r="I26" t="n">
        <v>100</v>
      </c>
      <c r="J26" t="inlineStr">
        <is>
          <t>-</t>
        </is>
      </c>
      <c r="K26" t="n">
        <v>9.5</v>
      </c>
      <c r="L26" t="n">
        <v>95</v>
      </c>
      <c r="M26" t="n">
        <v>0.41</v>
      </c>
      <c r="N26" t="n">
        <v>92</v>
      </c>
      <c r="O26" t="n">
        <v>1782747465</v>
      </c>
    </row>
    <row r="27">
      <c r="A27" t="inlineStr">
        <is>
          <t>Dewangga Ramadhan Halim</t>
        </is>
      </c>
      <c r="B27" t="n">
        <v>24060124130118</v>
      </c>
      <c r="C27" t="inlineStr">
        <is>
          <t>8d8c0859-3958-49d2-8cd3-b73d5d891616</t>
        </is>
      </c>
      <c r="F27" t="inlineStr">
        <is>
          <t>dewanggarh@students.undip.ac.id</t>
        </is>
      </c>
      <c r="G27" t="n">
        <v>41.67</v>
      </c>
      <c r="H27" t="n">
        <v>81.88</v>
      </c>
      <c r="I27" t="n">
        <v>85.70999999999999</v>
      </c>
      <c r="J27" t="inlineStr">
        <is>
          <t>-</t>
        </is>
      </c>
      <c r="K27" t="n">
        <v>9.5</v>
      </c>
      <c r="L27" t="n">
        <v>85</v>
      </c>
      <c r="M27" t="n">
        <v>9.380000000000001</v>
      </c>
      <c r="N27" t="n">
        <v>95</v>
      </c>
      <c r="O27" t="n">
        <v>1782747465</v>
      </c>
    </row>
    <row r="28">
      <c r="A28" t="inlineStr">
        <is>
          <t>Hasta Putra Wildantara</t>
        </is>
      </c>
      <c r="B28" t="n">
        <v>24060124130119</v>
      </c>
      <c r="C28" t="inlineStr">
        <is>
          <t>40a9ab64-108c-4fa5-8e2a-46322c797db6</t>
        </is>
      </c>
      <c r="F28" t="inlineStr">
        <is>
          <t>hastaputrawildantara@students.undip.ac.id</t>
        </is>
      </c>
      <c r="G28" t="n">
        <v>75</v>
      </c>
      <c r="H28" t="n">
        <v>53.62</v>
      </c>
      <c r="I28" t="n">
        <v>14.29</v>
      </c>
      <c r="J28" t="inlineStr">
        <is>
          <t>-</t>
        </is>
      </c>
      <c r="K28" t="n">
        <v>9.5</v>
      </c>
      <c r="L28" t="inlineStr">
        <is>
          <t>-</t>
        </is>
      </c>
      <c r="M28" t="n">
        <v>9.18</v>
      </c>
      <c r="N28" t="n">
        <v>95</v>
      </c>
      <c r="O28" t="n">
        <v>1782747465</v>
      </c>
    </row>
    <row r="29">
      <c r="A29" t="inlineStr">
        <is>
          <t>Rafa Azlan</t>
        </is>
      </c>
      <c r="B29" t="n">
        <v>24060124140126</v>
      </c>
      <c r="C29" t="inlineStr">
        <is>
          <t>c2fa2584-d4ed-45c5-b04f-cd4cabbc865b</t>
        </is>
      </c>
      <c r="F29" t="inlineStr">
        <is>
          <t>rafaazlan@students.undip.ac.id</t>
        </is>
      </c>
      <c r="G29" t="n">
        <v>75</v>
      </c>
      <c r="H29" t="n">
        <v>62.32</v>
      </c>
      <c r="I29" t="n">
        <v>100</v>
      </c>
      <c r="J29" t="inlineStr">
        <is>
          <t>-</t>
        </is>
      </c>
      <c r="K29" t="n">
        <v>9.5</v>
      </c>
      <c r="L29" t="n">
        <v>95</v>
      </c>
      <c r="M29" t="n">
        <v>0.1</v>
      </c>
      <c r="N29" t="n">
        <v>92.33</v>
      </c>
      <c r="O29" t="n">
        <v>1782747465</v>
      </c>
    </row>
    <row r="30">
      <c r="A30" t="inlineStr">
        <is>
          <t>Crystiano Bayu Satya Alves</t>
        </is>
      </c>
      <c r="B30" t="n">
        <v>24060124140130</v>
      </c>
      <c r="C30" t="inlineStr">
        <is>
          <t>aa258e9a-175d-4bbd-8742-8fe3dc6e2203</t>
        </is>
      </c>
      <c r="F30" t="inlineStr">
        <is>
          <t>bayualves28@students.undip.ac.id</t>
        </is>
      </c>
      <c r="G30" t="n">
        <v>75</v>
      </c>
      <c r="H30" t="n">
        <v>56.52</v>
      </c>
      <c r="I30" t="n">
        <v>71.43000000000001</v>
      </c>
      <c r="J30" t="inlineStr">
        <is>
          <t>-</t>
        </is>
      </c>
      <c r="K30" t="n">
        <v>10</v>
      </c>
      <c r="L30" t="n">
        <v>60</v>
      </c>
      <c r="M30" t="n">
        <v>7.63</v>
      </c>
      <c r="N30" t="n">
        <v>91</v>
      </c>
      <c r="O30" t="n">
        <v>1782747465</v>
      </c>
    </row>
    <row r="31">
      <c r="A31" t="inlineStr">
        <is>
          <t>Muhammad Hafidh Al-ghifari</t>
        </is>
      </c>
      <c r="B31" t="n">
        <v>24060124140133</v>
      </c>
      <c r="C31" t="inlineStr">
        <is>
          <t>8907df08-b1ec-4d27-bfd3-4c4feab64520</t>
        </is>
      </c>
      <c r="F31" t="inlineStr">
        <is>
          <t>hafidhalghifari@students.undip.ac.id</t>
        </is>
      </c>
      <c r="G31" t="n">
        <v>25</v>
      </c>
      <c r="H31" t="n">
        <v>65.94</v>
      </c>
      <c r="I31" t="n">
        <v>85.70999999999999</v>
      </c>
      <c r="J31" t="inlineStr">
        <is>
          <t>-</t>
        </is>
      </c>
      <c r="K31" t="n">
        <v>8</v>
      </c>
      <c r="L31" t="n">
        <v>80</v>
      </c>
      <c r="M31" t="n">
        <v>9.279999999999999</v>
      </c>
      <c r="N31" t="n">
        <v>92</v>
      </c>
      <c r="O31" t="n">
        <v>1782747465</v>
      </c>
    </row>
    <row r="32">
      <c r="A32" t="inlineStr">
        <is>
          <t>Menza Isaiah Tampubolon</t>
        </is>
      </c>
      <c r="B32" t="n">
        <v>24060124140138</v>
      </c>
      <c r="C32" t="inlineStr">
        <is>
          <t>de34b32c-c652-44a0-a0cb-5bbaa8a5f5c0</t>
        </is>
      </c>
      <c r="F32" t="inlineStr">
        <is>
          <t>menzatampubolon@students.undip.ac.id</t>
        </is>
      </c>
      <c r="G32" t="n">
        <v>58.33</v>
      </c>
      <c r="H32" t="n">
        <v>63.77</v>
      </c>
      <c r="I32" t="n">
        <v>42.86</v>
      </c>
      <c r="J32" t="inlineStr">
        <is>
          <t>-</t>
        </is>
      </c>
      <c r="K32" t="n">
        <v>10</v>
      </c>
      <c r="L32" t="n">
        <v>70</v>
      </c>
      <c r="M32" t="n">
        <v>5.36</v>
      </c>
      <c r="N32" t="n">
        <v>89</v>
      </c>
      <c r="O32" t="n">
        <v>1782747465</v>
      </c>
    </row>
    <row r="33">
      <c r="A33" t="inlineStr">
        <is>
          <t>Ferdy Prasetya Putra</t>
        </is>
      </c>
      <c r="B33" t="n">
        <v>24060124140145</v>
      </c>
      <c r="C33" t="inlineStr">
        <is>
          <t>b6bee28b-5cf4-4906-9186-ce21a3fcf69d</t>
        </is>
      </c>
      <c r="F33" t="inlineStr">
        <is>
          <t>ferdyprasetyaputra@students.undip.ac.id</t>
        </is>
      </c>
      <c r="G33" t="n">
        <v>50</v>
      </c>
      <c r="H33" t="n">
        <v>79.70999999999999</v>
      </c>
      <c r="I33" t="n">
        <v>100</v>
      </c>
      <c r="J33" t="inlineStr">
        <is>
          <t>-</t>
        </is>
      </c>
      <c r="K33" t="n">
        <v>5.5</v>
      </c>
      <c r="L33" t="n">
        <v>95</v>
      </c>
      <c r="M33" t="n">
        <v>8.210000000000001</v>
      </c>
      <c r="N33" t="n">
        <v>85.33</v>
      </c>
      <c r="O33" t="n">
        <v>1782747465</v>
      </c>
    </row>
    <row r="34">
      <c r="A34" t="inlineStr">
        <is>
          <t>Devano Trestanto</t>
        </is>
      </c>
      <c r="B34" t="n">
        <v>24060124140149</v>
      </c>
      <c r="C34" t="inlineStr">
        <is>
          <t>59e539b9-ac09-4590-b97d-6863958d4c3f</t>
        </is>
      </c>
      <c r="F34" t="inlineStr">
        <is>
          <t>devanotrestanto@students.undip.ac.id</t>
        </is>
      </c>
      <c r="G34" t="n">
        <v>58.33</v>
      </c>
      <c r="H34" t="n">
        <v>88.41</v>
      </c>
      <c r="I34" t="n">
        <v>57.14</v>
      </c>
      <c r="J34" t="inlineStr">
        <is>
          <t>-</t>
        </is>
      </c>
      <c r="K34" t="n">
        <v>9.5</v>
      </c>
      <c r="L34" t="n">
        <v>60</v>
      </c>
      <c r="M34" t="n">
        <v>9</v>
      </c>
      <c r="N34" t="n">
        <v>91</v>
      </c>
      <c r="O34" t="n">
        <v>1782747465</v>
      </c>
    </row>
    <row r="35">
      <c r="A35" t="inlineStr">
        <is>
          <t>Nashwa Aldebaran</t>
        </is>
      </c>
      <c r="B35" t="n">
        <v>24060124140150</v>
      </c>
      <c r="C35" t="inlineStr">
        <is>
          <t>5f23b718-af86-4d68-8ebd-59d02541b192</t>
        </is>
      </c>
      <c r="F35" t="inlineStr">
        <is>
          <t>nashwaaldebaran@students.undip.ac.id</t>
        </is>
      </c>
      <c r="G35" t="n">
        <v>83.33</v>
      </c>
      <c r="H35" t="n">
        <v>84.78</v>
      </c>
      <c r="I35" t="n">
        <v>71.43000000000001</v>
      </c>
      <c r="J35" t="inlineStr">
        <is>
          <t>-</t>
        </is>
      </c>
      <c r="K35" t="n">
        <v>9.5</v>
      </c>
      <c r="L35" t="n">
        <v>85</v>
      </c>
      <c r="M35" t="n">
        <v>8.59</v>
      </c>
      <c r="N35" t="n">
        <v>67</v>
      </c>
      <c r="O35" t="n">
        <v>1782747465</v>
      </c>
    </row>
    <row r="36">
      <c r="A36" t="inlineStr">
        <is>
          <t>Basil Ayman Hariadi</t>
        </is>
      </c>
      <c r="B36" t="n">
        <v>24060124140160</v>
      </c>
      <c r="C36" t="inlineStr">
        <is>
          <t>4309fca1-fed8-4433-ba75-91900de5a888</t>
        </is>
      </c>
      <c r="F36" t="inlineStr">
        <is>
          <t>basilaymanhariadi@students.undip.ac.id</t>
        </is>
      </c>
      <c r="G36" t="n">
        <v>58.33</v>
      </c>
      <c r="H36" t="n">
        <v>72.09999999999999</v>
      </c>
      <c r="I36" t="n">
        <v>71.43000000000001</v>
      </c>
      <c r="J36" t="inlineStr">
        <is>
          <t>-</t>
        </is>
      </c>
      <c r="K36" t="n">
        <v>5.5</v>
      </c>
      <c r="L36" t="n">
        <v>70</v>
      </c>
      <c r="M36" t="n">
        <v>8.869999999999999</v>
      </c>
      <c r="N36" t="n">
        <v>93</v>
      </c>
      <c r="O36" t="n">
        <v>1782747465</v>
      </c>
    </row>
    <row r="37">
      <c r="A37" t="inlineStr">
        <is>
          <t>Azka Wayasy Al Hafizh</t>
        </is>
      </c>
      <c r="B37" t="n">
        <v>24060124140161</v>
      </c>
      <c r="C37" t="inlineStr">
        <is>
          <t>f0278eb3-7df4-42ee-be5a-220755de89c7</t>
        </is>
      </c>
      <c r="F37" t="inlineStr">
        <is>
          <t>azkawayasy@students.undip.ac.id</t>
        </is>
      </c>
      <c r="G37" t="n">
        <v>50</v>
      </c>
      <c r="H37" t="n">
        <v>88.41</v>
      </c>
      <c r="I37" t="n">
        <v>57.14</v>
      </c>
      <c r="J37" t="inlineStr">
        <is>
          <t>-</t>
        </is>
      </c>
      <c r="K37" t="n">
        <v>5.5</v>
      </c>
      <c r="L37" t="n">
        <v>80</v>
      </c>
      <c r="M37" t="inlineStr">
        <is>
          <t>-</t>
        </is>
      </c>
      <c r="N37" t="n">
        <v>81</v>
      </c>
      <c r="O37" t="n">
        <v>1782747465</v>
      </c>
    </row>
    <row r="38">
      <c r="A38" t="inlineStr">
        <is>
          <t>Muhammad Hafidh Zufar Dewantara</t>
        </is>
      </c>
      <c r="B38" t="n">
        <v>24060124140164</v>
      </c>
      <c r="C38" t="inlineStr">
        <is>
          <t>ec02c72b-9698-436f-a5d1-ba552dac4826</t>
        </is>
      </c>
      <c r="F38" t="inlineStr">
        <is>
          <t>hafidhzufar@students.undip.ac.id</t>
        </is>
      </c>
      <c r="G38" t="n">
        <v>50</v>
      </c>
      <c r="H38" t="n">
        <v>75.36</v>
      </c>
      <c r="I38" t="n">
        <v>71.43000000000001</v>
      </c>
      <c r="J38" t="inlineStr">
        <is>
          <t>-</t>
        </is>
      </c>
      <c r="K38" t="n">
        <v>10</v>
      </c>
      <c r="L38" t="n">
        <v>70</v>
      </c>
      <c r="M38" t="inlineStr">
        <is>
          <t>-</t>
        </is>
      </c>
      <c r="N38" t="n">
        <v>84</v>
      </c>
      <c r="O38" t="n">
        <v>1782747465</v>
      </c>
    </row>
    <row r="39">
      <c r="A39" t="inlineStr">
        <is>
          <t>Dinda Isyariani</t>
        </is>
      </c>
      <c r="B39" t="n">
        <v>24060124140165</v>
      </c>
      <c r="C39" t="inlineStr">
        <is>
          <t>b886a4d2-e882-4700-9adf-38f6e0be0083</t>
        </is>
      </c>
      <c r="F39" t="inlineStr">
        <is>
          <t>dindaisyrn@students.undip.ac.id</t>
        </is>
      </c>
      <c r="G39" t="n">
        <v>91.67</v>
      </c>
      <c r="H39" t="n">
        <v>100</v>
      </c>
      <c r="I39" t="n">
        <v>85.70999999999999</v>
      </c>
      <c r="J39" t="inlineStr">
        <is>
          <t>-</t>
        </is>
      </c>
      <c r="K39" t="n">
        <v>10</v>
      </c>
      <c r="L39" t="n">
        <v>85</v>
      </c>
      <c r="M39" t="n">
        <v>9.9</v>
      </c>
      <c r="N39" t="n">
        <v>99</v>
      </c>
      <c r="O39" t="n">
        <v>1782747465</v>
      </c>
    </row>
    <row r="40">
      <c r="A40" t="inlineStr">
        <is>
          <t>Naufal Rayan Attallah</t>
        </is>
      </c>
      <c r="B40" t="n">
        <v>24060124140170</v>
      </c>
      <c r="C40" t="inlineStr">
        <is>
          <t>25ae0b10-cdf0-42d6-994a-ee44e30da7b5</t>
        </is>
      </c>
      <c r="F40" t="inlineStr">
        <is>
          <t>nray@students.undip.ac.id</t>
        </is>
      </c>
      <c r="G40" t="n">
        <v>25</v>
      </c>
      <c r="H40" t="n">
        <v>52.17</v>
      </c>
      <c r="I40" t="n">
        <v>71.43000000000001</v>
      </c>
      <c r="J40" t="inlineStr">
        <is>
          <t>-</t>
        </is>
      </c>
      <c r="K40" t="n">
        <v>5.5</v>
      </c>
      <c r="L40" t="n">
        <v>25</v>
      </c>
      <c r="M40" t="n">
        <v>1.24</v>
      </c>
      <c r="N40" t="n">
        <v>81</v>
      </c>
      <c r="O40" t="n">
        <v>1782747465</v>
      </c>
    </row>
    <row r="41">
      <c r="A41" t="inlineStr">
        <is>
          <t>Ghatfan Muhammad Atiwiar</t>
        </is>
      </c>
      <c r="B41" t="n">
        <v>24060124140171</v>
      </c>
      <c r="C41" t="inlineStr">
        <is>
          <t>dc1d53a3-d395-4a9c-a99f-69bc6cf75626</t>
        </is>
      </c>
      <c r="F41" t="inlineStr">
        <is>
          <t>ghatfanmuhammad@students.undip.ac.id</t>
        </is>
      </c>
      <c r="G41" t="n">
        <v>33.33</v>
      </c>
      <c r="H41" t="n">
        <v>34.78</v>
      </c>
      <c r="I41" t="n">
        <v>57.14</v>
      </c>
      <c r="J41" t="inlineStr">
        <is>
          <t>-</t>
        </is>
      </c>
      <c r="K41" t="n">
        <v>8.5</v>
      </c>
      <c r="L41" t="n">
        <v>100</v>
      </c>
      <c r="M41" t="n">
        <v>0.62</v>
      </c>
      <c r="N41" t="n">
        <v>89.33</v>
      </c>
      <c r="O41" t="n">
        <v>1782747465</v>
      </c>
    </row>
    <row r="42">
      <c r="A42" t="inlineStr">
        <is>
          <t>Syair Adharian</t>
        </is>
      </c>
      <c r="B42" t="n">
        <v>24060124140172</v>
      </c>
      <c r="C42" t="inlineStr">
        <is>
          <t>e6cfbd90-c182-488e-9bdb-f0d3ae8f17e4</t>
        </is>
      </c>
      <c r="F42" t="inlineStr">
        <is>
          <t>adharian@students.undip.ac.id</t>
        </is>
      </c>
      <c r="G42" t="n">
        <v>75</v>
      </c>
      <c r="H42" t="n">
        <v>62.32</v>
      </c>
      <c r="I42" t="n">
        <v>57.14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n">
        <v>1782747465</v>
      </c>
    </row>
    <row r="43">
      <c r="A43" t="inlineStr">
        <is>
          <t>Novelya Cherina</t>
        </is>
      </c>
      <c r="B43" t="n">
        <v>24060124140174</v>
      </c>
      <c r="C43" t="inlineStr">
        <is>
          <t>7c579b19-6754-4810-b17b-9ff05c118050</t>
        </is>
      </c>
      <c r="F43" t="inlineStr">
        <is>
          <t>novelyacherina@students.undip.ac.id</t>
        </is>
      </c>
      <c r="G43" t="n">
        <v>83.33</v>
      </c>
      <c r="H43" t="n">
        <v>100</v>
      </c>
      <c r="I43" t="n">
        <v>85.70999999999999</v>
      </c>
      <c r="J43" t="inlineStr">
        <is>
          <t>-</t>
        </is>
      </c>
      <c r="K43" t="n">
        <v>8.5</v>
      </c>
      <c r="L43" t="n">
        <v>95</v>
      </c>
      <c r="M43" t="inlineStr">
        <is>
          <t>-</t>
        </is>
      </c>
      <c r="N43" t="n">
        <v>96</v>
      </c>
      <c r="O43" t="n">
        <v>1782747465</v>
      </c>
    </row>
    <row r="44">
      <c r="A44" t="inlineStr">
        <is>
          <t>Hanif Ihsanul Huda</t>
        </is>
      </c>
      <c r="B44" t="n">
        <v>24060124140183</v>
      </c>
      <c r="C44" t="inlineStr">
        <is>
          <t>70148679-8919-40e5-99e6-834e8712fb2d</t>
        </is>
      </c>
      <c r="F44" t="inlineStr">
        <is>
          <t>hanifihsan@students.undip.ac.id</t>
        </is>
      </c>
      <c r="G44" t="n">
        <v>41.67</v>
      </c>
      <c r="H44" t="n">
        <v>81.16</v>
      </c>
      <c r="I44" t="n">
        <v>57.14</v>
      </c>
      <c r="J44" t="inlineStr">
        <is>
          <t>-</t>
        </is>
      </c>
      <c r="K44" t="inlineStr">
        <is>
          <t>-</t>
        </is>
      </c>
      <c r="L44" t="n">
        <v>90</v>
      </c>
      <c r="M44" t="inlineStr">
        <is>
          <t>-</t>
        </is>
      </c>
      <c r="N44" t="n">
        <v>86.33</v>
      </c>
      <c r="O44" t="n">
        <v>1782747465</v>
      </c>
    </row>
    <row r="45">
      <c r="A45" t="inlineStr">
        <is>
          <t>Adefritz Einar Sinaga</t>
        </is>
      </c>
      <c r="B45" t="n">
        <v>24060124140186</v>
      </c>
      <c r="C45" t="inlineStr">
        <is>
          <t>8ff66111-127f-4ddb-be59-291f0665251a</t>
        </is>
      </c>
      <c r="F45" t="inlineStr">
        <is>
          <t>fritzeinar18@students.undip.ac.id</t>
        </is>
      </c>
      <c r="G45" t="n">
        <v>25</v>
      </c>
      <c r="H45" t="n">
        <v>53.62</v>
      </c>
      <c r="I45" t="n">
        <v>71.43000000000001</v>
      </c>
      <c r="J45" t="inlineStr">
        <is>
          <t>-</t>
        </is>
      </c>
      <c r="K45" t="n">
        <v>8</v>
      </c>
      <c r="L45" t="n">
        <v>85</v>
      </c>
      <c r="M45" t="inlineStr">
        <is>
          <t>-</t>
        </is>
      </c>
      <c r="N45" t="n">
        <v>86.67</v>
      </c>
      <c r="O45" t="n">
        <v>1782747465</v>
      </c>
    </row>
    <row r="46">
      <c r="A46" t="inlineStr">
        <is>
          <t>Mohammad Andhika Ramadhan</t>
        </is>
      </c>
      <c r="B46" t="n">
        <v>24060124140190</v>
      </c>
      <c r="C46" t="inlineStr">
        <is>
          <t>977687db-5101-4f56-8c79-6e3fe32e76a1</t>
        </is>
      </c>
      <c r="F46" t="inlineStr">
        <is>
          <t>mohammadandhika@students.undip.ac.id</t>
        </is>
      </c>
      <c r="G46" t="n">
        <v>83.33</v>
      </c>
      <c r="H46" t="n">
        <v>52.17</v>
      </c>
      <c r="I46" t="n">
        <v>42.86</v>
      </c>
      <c r="J46" t="inlineStr">
        <is>
          <t>-</t>
        </is>
      </c>
      <c r="K46" t="n">
        <v>8</v>
      </c>
      <c r="L46" t="n">
        <v>65</v>
      </c>
      <c r="M46" t="inlineStr">
        <is>
          <t>-</t>
        </is>
      </c>
      <c r="N46" t="n">
        <v>80</v>
      </c>
      <c r="O46" t="n">
        <v>1782747465</v>
      </c>
    </row>
    <row r="47">
      <c r="A47" t="inlineStr">
        <is>
          <t>Aryo Pasya Ramadhan</t>
        </is>
      </c>
      <c r="B47" t="n">
        <v>24060124140192</v>
      </c>
      <c r="C47" t="inlineStr">
        <is>
          <t>a1855cd2-3cee-44f7-8717-710a0c6a2961</t>
        </is>
      </c>
      <c r="F47" t="inlineStr">
        <is>
          <t>aryopasyaramadhan@students.undip.ac.id</t>
        </is>
      </c>
      <c r="G47" t="n">
        <v>50</v>
      </c>
      <c r="H47" t="n">
        <v>93.48</v>
      </c>
      <c r="I47" t="n">
        <v>71.43000000000001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n">
        <v>1782747465</v>
      </c>
    </row>
    <row r="48">
      <c r="A48" t="inlineStr">
        <is>
          <t>Saburo Rafqi Hidayat</t>
        </is>
      </c>
      <c r="B48" t="n">
        <v>24060124140196</v>
      </c>
      <c r="C48" t="inlineStr">
        <is>
          <t>589d74b7-3934-4e27-a0bd-404c2cf21100</t>
        </is>
      </c>
      <c r="F48" t="inlineStr">
        <is>
          <t>saburorafqh@students.undip.ac.id</t>
        </is>
      </c>
      <c r="G48" t="n">
        <v>66.67</v>
      </c>
      <c r="H48" t="n">
        <v>88.41</v>
      </c>
      <c r="I48" t="n">
        <v>28.57</v>
      </c>
      <c r="J48" t="inlineStr">
        <is>
          <t>-</t>
        </is>
      </c>
      <c r="K48" t="n">
        <v>7.5</v>
      </c>
      <c r="L48" t="n">
        <v>70</v>
      </c>
      <c r="M48" t="n">
        <v>9.279999999999999</v>
      </c>
      <c r="N48" t="n">
        <v>97.5</v>
      </c>
      <c r="O48" t="n">
        <v>1782747465</v>
      </c>
    </row>
    <row r="49">
      <c r="A49" t="inlineStr">
        <is>
          <t>Muhammad Lutfi Febriansyah</t>
        </is>
      </c>
      <c r="B49" t="n">
        <v>24060124140197</v>
      </c>
      <c r="C49" t="inlineStr">
        <is>
          <t>68178da4-a73f-4ee7-9b8e-aee61d62a652</t>
        </is>
      </c>
      <c r="F49" t="inlineStr">
        <is>
          <t>lutfifebriansyah@students.undip.ac.id</t>
        </is>
      </c>
      <c r="G49" t="n">
        <v>50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7</v>
      </c>
      <c r="L49" t="n">
        <v>20</v>
      </c>
      <c r="M49" t="inlineStr">
        <is>
          <t>-</t>
        </is>
      </c>
      <c r="N49" t="n">
        <v>86.17</v>
      </c>
      <c r="O49" t="n">
        <v>1782747465</v>
      </c>
    </row>
    <row r="50">
      <c r="A50" t="inlineStr">
        <is>
          <t>Ikrar Maheswara Rabbani Wibowo</t>
        </is>
      </c>
      <c r="B50" t="n">
        <v>24060124140202</v>
      </c>
      <c r="C50" t="inlineStr">
        <is>
          <t>59fae672-0391-4355-b2a2-9866d7ba0644</t>
        </is>
      </c>
      <c r="F50" t="inlineStr">
        <is>
          <t>ikrarmahes@students.undip.ac.id</t>
        </is>
      </c>
      <c r="G50" t="n">
        <v>58.33</v>
      </c>
      <c r="H50" t="n">
        <v>86.23</v>
      </c>
      <c r="I50" t="n">
        <v>57.14</v>
      </c>
      <c r="J50" t="inlineStr">
        <is>
          <t>-</t>
        </is>
      </c>
      <c r="K50" t="n">
        <v>7.5</v>
      </c>
      <c r="L50" t="n">
        <v>95</v>
      </c>
      <c r="M50" t="n">
        <v>8.970000000000001</v>
      </c>
      <c r="N50" t="n">
        <v>92</v>
      </c>
      <c r="O50" t="n">
        <v>1782747465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Template</t>
        </is>
      </c>
      <c r="B2" t="n">
        <v>38</v>
      </c>
    </row>
    <row r="3">
      <c r="A3" t="inlineStr">
        <is>
          <t>Berhasil cocok</t>
        </is>
      </c>
      <c r="B3" t="n">
        <v>37</v>
      </c>
    </row>
    <row r="4">
      <c r="A4" t="inlineStr">
        <is>
          <t>Tidak cocok</t>
        </is>
      </c>
      <c r="B4" t="n">
        <v>1</v>
      </c>
    </row>
    <row r="5">
      <c r="A5" t="inlineStr">
        <is>
          <t>Data awal tidak ada di template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2026-06-29T22:37:06Z</dcterms:created>
  <dcterms:modified xsi:type="dcterms:W3CDTF">2026-06-29T20:01:38Z</dcterms:modified>
  <cp:lastModifiedBy>HP OHS2021</cp:lastModifiedBy>
  <cp:category>Test result file</cp:category>
  <cp:keywords>office 2007 openxml php</cp:keywords>
</cp:coreProperties>
</file>