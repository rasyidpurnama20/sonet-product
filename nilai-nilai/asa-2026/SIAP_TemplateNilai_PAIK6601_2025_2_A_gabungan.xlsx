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BA126CEC-C946-4C5E-9AFA-2A25FDA8E4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Data_Gabungan" sheetId="2" r:id="rId2"/>
    <sheet name="Ringkasan_Mat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K10" i="1" s="1"/>
  <c r="M10" i="1" s="1"/>
  <c r="G11" i="1"/>
  <c r="K11" i="1" s="1"/>
  <c r="M11" i="1" s="1"/>
  <c r="G12" i="1"/>
  <c r="K12" i="1" s="1"/>
  <c r="M12" i="1" s="1"/>
  <c r="G13" i="1"/>
  <c r="K13" i="1" s="1"/>
  <c r="M13" i="1" s="1"/>
  <c r="G14" i="1"/>
  <c r="K14" i="1" s="1"/>
  <c r="M14" i="1" s="1"/>
  <c r="G15" i="1"/>
  <c r="G16" i="1"/>
  <c r="K16" i="1" s="1"/>
  <c r="M16" i="1" s="1"/>
  <c r="G17" i="1"/>
  <c r="G8" i="1"/>
  <c r="K8" i="1" s="1"/>
  <c r="M8" i="1" s="1"/>
  <c r="V3" i="2"/>
  <c r="V4" i="2"/>
  <c r="V5" i="2"/>
  <c r="V6" i="2"/>
  <c r="V7" i="2"/>
  <c r="V8" i="2"/>
  <c r="V9" i="2"/>
  <c r="V10" i="2"/>
  <c r="V11" i="2"/>
  <c r="V2" i="2"/>
  <c r="K17" i="1"/>
  <c r="L17" i="1" s="1"/>
  <c r="K15" i="1"/>
  <c r="M15" i="1" s="1"/>
  <c r="K9" i="1"/>
  <c r="M9" i="1" s="1"/>
  <c r="M17" i="1" l="1"/>
  <c r="L11" i="1"/>
  <c r="L12" i="1"/>
  <c r="L13" i="1"/>
  <c r="L14" i="1"/>
  <c r="L8" i="1"/>
  <c r="L15" i="1"/>
  <c r="L9" i="1"/>
  <c r="L16" i="1"/>
  <c r="L10" i="1"/>
</calcChain>
</file>

<file path=xl/sharedStrings.xml><?xml version="1.0" encoding="utf-8"?>
<sst xmlns="http://schemas.openxmlformats.org/spreadsheetml/2006/main" count="295" uniqueCount="203">
  <si>
    <t>Mata Kuliah</t>
  </si>
  <si>
    <t>: PAIK6601 - Analisis dan Strategi Algoritma</t>
  </si>
  <si>
    <t>Tahun Ajaran</t>
  </si>
  <si>
    <t>: 2025</t>
  </si>
  <si>
    <t>NDk5NDg4</t>
  </si>
  <si>
    <t>Semester</t>
  </si>
  <si>
    <t>: Genap</t>
  </si>
  <si>
    <t>Kelas</t>
  </si>
  <si>
    <t>: A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</si>
  <si>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</si>
  <si>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</si>
  <si>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</si>
  <si>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</si>
  <si>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</si>
  <si>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</si>
  <si>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</si>
  <si>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</si>
  <si>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</si>
  <si>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</si>
  <si>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</si>
  <si>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</si>
  <si>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</si>
  <si>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</si>
  <si>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24060123110046</t>
  </si>
  <si>
    <t>ADRIANO BAWAN</t>
  </si>
  <si>
    <t>BARU</t>
  </si>
  <si>
    <t>24060123120033</t>
  </si>
  <si>
    <t>CACANIA PASU NALAUNG SIREGAR</t>
  </si>
  <si>
    <t>24060123140186</t>
  </si>
  <si>
    <t>MUHAMMAD FARHAN AL GHIFARI</t>
  </si>
  <si>
    <t>24060123140183</t>
  </si>
  <si>
    <t>GAZA AL GHOZALI CHANSA</t>
  </si>
  <si>
    <t>PERBAIKAN</t>
  </si>
  <si>
    <t>24060123130090</t>
  </si>
  <si>
    <t>NATHAN BENIGNO PANDA</t>
  </si>
  <si>
    <t>24060123140142</t>
  </si>
  <si>
    <t>PARISYA LITUHAYU CHANDRAWATI GUNAWARMAN</t>
  </si>
  <si>
    <t>24060123140163</t>
  </si>
  <si>
    <t>NASYWA ALYA KAMILA</t>
  </si>
  <si>
    <t>24060123120012</t>
  </si>
  <si>
    <t>SYAFIQ ABIYYU TAQI</t>
  </si>
  <si>
    <t>24060123130107</t>
  </si>
  <si>
    <t>MUHAMMAD RENNO BAIHAQI</t>
  </si>
  <si>
    <t>24060122140125</t>
  </si>
  <si>
    <t>ANANDA PUTRA BAYU</t>
  </si>
  <si>
    <t>Status Cocok</t>
  </si>
  <si>
    <t>Nama Moodle</t>
  </si>
  <si>
    <t>NIM Moodle</t>
  </si>
  <si>
    <t>Email Moodle</t>
  </si>
  <si>
    <t>Quis 1 Moodle</t>
  </si>
  <si>
    <t>Quis 2 Moodle</t>
  </si>
  <si>
    <t>Quis 3 Moodle</t>
  </si>
  <si>
    <t>Quis 4 Moodle</t>
  </si>
  <si>
    <t>Quis 5 Moodle</t>
  </si>
  <si>
    <t>Latihan UTS Moodle</t>
  </si>
  <si>
    <t>UTS Moodle</t>
  </si>
  <si>
    <t>Cocok</t>
  </si>
  <si>
    <t>E</t>
  </si>
  <si>
    <t>0</t>
  </si>
  <si>
    <t>Adriano Bawan</t>
  </si>
  <si>
    <t>adrianobawan@students.undip.ac.id</t>
  </si>
  <si>
    <t>Cacania Pasu Nalaung Siregar</t>
  </si>
  <si>
    <t>cacaniapns@students.undip.ac.id</t>
  </si>
  <si>
    <t>Muhammad Farhan Al Ghifari</t>
  </si>
  <si>
    <t>farhanghfri@students.undip.ac.id</t>
  </si>
  <si>
    <t>Gaza Al Ghozali Chansa</t>
  </si>
  <si>
    <t>gazaalghozalichansa@students.undip.ac.id</t>
  </si>
  <si>
    <t>Nathan Benigno Panda</t>
  </si>
  <si>
    <t>nathanbenignopanda@students.undip.ac.id</t>
  </si>
  <si>
    <t>Parisya Lituhayu Chandrawati Gunawarman</t>
  </si>
  <si>
    <t>parisyalituhayuchand@students.undip.ac.id</t>
  </si>
  <si>
    <t>Nasywa Alya Kamila</t>
  </si>
  <si>
    <t>nasywaalyakamila@students.undip.ac.id</t>
  </si>
  <si>
    <t>Syafiq Abiyyu Taqi</t>
  </si>
  <si>
    <t>syafiqabiyyutaqi@students.undip.ac.id</t>
  </si>
  <si>
    <t>Muhammad Renno Baihaqi</t>
  </si>
  <si>
    <t>mrennobai01@students.undip.ac.id</t>
  </si>
  <si>
    <t>Ananda Putra Bayu</t>
  </si>
  <si>
    <t>anandaputrabayu@students.undip.ac.id</t>
  </si>
  <si>
    <t>Ringkasan Pencocokan</t>
  </si>
  <si>
    <t>Jumlah mahasiswa di template</t>
  </si>
  <si>
    <t>Berhasil cocok</t>
  </si>
  <si>
    <t>Tidak cocok</t>
  </si>
  <si>
    <t>Data Moodle tidak ada di template</t>
  </si>
  <si>
    <t>Template Tidak Ditemukan di Moodle</t>
  </si>
  <si>
    <t>NIM Template</t>
  </si>
  <si>
    <t>Nama Template</t>
  </si>
  <si>
    <t>Semua nama template cocok</t>
  </si>
  <si>
    <t>Moodle Tidak Ada di Template</t>
  </si>
  <si>
    <t>24060124120007</t>
  </si>
  <si>
    <t>Agung Rama Pramana Putra</t>
  </si>
  <si>
    <t>ramaputra@students.undip.ac.id</t>
  </si>
  <si>
    <t>24060124120009</t>
  </si>
  <si>
    <t>Arsy Thariq Munawar</t>
  </si>
  <si>
    <t>arsytm@students.undip.ac.id</t>
  </si>
  <si>
    <t>24060124120011</t>
  </si>
  <si>
    <t>Khanza Qaila</t>
  </si>
  <si>
    <t>khanzaqaila@students.undip.ac.id</t>
  </si>
  <si>
    <t>24060124120018</t>
  </si>
  <si>
    <t>Putri Elizabeth Simanjuntak</t>
  </si>
  <si>
    <t>putrielizabethjuntak@students.undip.ac.id</t>
  </si>
  <si>
    <t>24060124120029</t>
  </si>
  <si>
    <t>Nouvella Rahma Fitrah Legarsi</t>
  </si>
  <si>
    <t>nouvellafitrah@students.undip.ac.id</t>
  </si>
  <si>
    <t>24060124120031</t>
  </si>
  <si>
    <t>Misbachul Munir</t>
  </si>
  <si>
    <t>almunirmisbah@students.undip.ac.id</t>
  </si>
  <si>
    <t>24060124120033</t>
  </si>
  <si>
    <t>Shalom Kurniawan</t>
  </si>
  <si>
    <t>chloudius@students.undip.ac.id</t>
  </si>
  <si>
    <t>24060124120035</t>
  </si>
  <si>
    <t>Yuma Hazza Yuditama</t>
  </si>
  <si>
    <t>yumayuditama@students.undip.ac.id</t>
  </si>
  <si>
    <t>24060124120037</t>
  </si>
  <si>
    <t>Muhammad Fahri</t>
  </si>
  <si>
    <t>fahrimuh21@students.undip.ac.id</t>
  </si>
  <si>
    <t>24060124120040</t>
  </si>
  <si>
    <t>Ovilia Suci Ramadhani</t>
  </si>
  <si>
    <t>oviliasuciramadhani@students.undip.ac.id</t>
  </si>
  <si>
    <t>24060124120046</t>
  </si>
  <si>
    <t>Romualdus Yoas Wicaksono</t>
  </si>
  <si>
    <t>romualdus1406@students.undip.ac.id</t>
  </si>
  <si>
    <t>24060124120048</t>
  </si>
  <si>
    <t>Daniel Lamganda Tua Gultom</t>
  </si>
  <si>
    <t>danielltgm2006@students.undip.ac.id</t>
  </si>
  <si>
    <t>24060124130066</t>
  </si>
  <si>
    <t>Silvani Salsabilla</t>
  </si>
  <si>
    <t>silvanisalsabilla@students.undip.ac.id</t>
  </si>
  <si>
    <t>24060124130069</t>
  </si>
  <si>
    <t>Muhammad Fikri</t>
  </si>
  <si>
    <t>muhffikri@students.undip.ac.id</t>
  </si>
  <si>
    <t>24060124130070</t>
  </si>
  <si>
    <t>Biyani Andarisky Maratia</t>
  </si>
  <si>
    <t>biyaniandarisky@students.undip.ac.id</t>
  </si>
  <si>
    <t>24060124130074</t>
  </si>
  <si>
    <t>Kiyoshi Akila Tira</t>
  </si>
  <si>
    <t>kiyoshiatira@students.undip.ac.id</t>
  </si>
  <si>
    <t>24060124130076</t>
  </si>
  <si>
    <t>Johan Reinhart Calvin</t>
  </si>
  <si>
    <t>johanrcalvin@students.undip.ac.id</t>
  </si>
  <si>
    <t>24060124130084</t>
  </si>
  <si>
    <t>Jessica Laurencia Panjaitan</t>
  </si>
  <si>
    <t>jessicalaurencia@students.undip.ac.id</t>
  </si>
  <si>
    <t>24060124130089</t>
  </si>
  <si>
    <t>Arya Naufal Akmal</t>
  </si>
  <si>
    <t>aryana@students.undip.ac.id</t>
  </si>
  <si>
    <t>24060124130099</t>
  </si>
  <si>
    <t>Dehar Zaidan Dzaki Amirullah</t>
  </si>
  <si>
    <t>deharzaidan@students.undip.ac.id</t>
  </si>
  <si>
    <t>24060124130103</t>
  </si>
  <si>
    <t>Dzaki Fathul'alim Cahyo</t>
  </si>
  <si>
    <t>dzakifathulalimcahyo@students.undip.ac.id</t>
  </si>
  <si>
    <t>24060124130108</t>
  </si>
  <si>
    <t>Elang Fadila Ahmad</t>
  </si>
  <si>
    <t>elangfa@students.undip.ac.id</t>
  </si>
  <si>
    <t>24060124130114</t>
  </si>
  <si>
    <t>Yustinus Hendi Setyawan</t>
  </si>
  <si>
    <t>yustinushendi@students.undip.ac.id</t>
  </si>
  <si>
    <t>24060124130122</t>
  </si>
  <si>
    <t>Ridho Tri Saputra</t>
  </si>
  <si>
    <t>rdhtri@students.undip.ac.id</t>
  </si>
  <si>
    <t>24060124130123</t>
  </si>
  <si>
    <t>Muhammad Akmal Fazli Riyadi</t>
  </si>
  <si>
    <t>akmalfazli27@students.undip.ac.id</t>
  </si>
  <si>
    <t>24060124140127</t>
  </si>
  <si>
    <t>Axel Anggian Hamonangan Purba</t>
  </si>
  <si>
    <t>axelprb@students.undip.ac.id</t>
  </si>
  <si>
    <t>24060124140129</t>
  </si>
  <si>
    <t>Revanska Muhammad Athallah</t>
  </si>
  <si>
    <t>revanska@students.undip.ac.id</t>
  </si>
  <si>
    <t>24060124140147</t>
  </si>
  <si>
    <t>Ammar Rozan Rusyaidan</t>
  </si>
  <si>
    <t>ammarrozan05@students.undip.ac.id</t>
  </si>
  <si>
    <t>24060124140148</t>
  </si>
  <si>
    <t>Muhammad Alfaiq Rido Salafy</t>
  </si>
  <si>
    <t>alfaiqrido@students.undip.ac.id</t>
  </si>
  <si>
    <t>24060124140154</t>
  </si>
  <si>
    <t>Syahrafi Ahmad Pradika</t>
  </si>
  <si>
    <t>syahrafi@students.undip.ac.id</t>
  </si>
  <si>
    <t>24060124140158</t>
  </si>
  <si>
    <t>Nayla Husna</t>
  </si>
  <si>
    <t>naylahusna@students.undip.ac.id</t>
  </si>
  <si>
    <t>24060124140180</t>
  </si>
  <si>
    <t>Eileen Albert Tandrio</t>
  </si>
  <si>
    <t>eileenalberttandrio@students.undip.ac.id</t>
  </si>
  <si>
    <t>24060124140181</t>
  </si>
  <si>
    <t>Anas Ahsanu Amal</t>
  </si>
  <si>
    <t>anasahsn@students.undip.ac.id</t>
  </si>
  <si>
    <t>24060124140194</t>
  </si>
  <si>
    <t>Andiny Khaerany Suhartady</t>
  </si>
  <si>
    <t>andinykhaeranys@students.undip.ac.id</t>
  </si>
  <si>
    <t>24060124140198</t>
  </si>
  <si>
    <t>Ilham Muhammad Raffi</t>
  </si>
  <si>
    <t>ilhamraffi@students.undip.ac.id</t>
  </si>
  <si>
    <t>24060124140201</t>
  </si>
  <si>
    <t>Cindy Kurniawan</t>
  </si>
  <si>
    <t>cindykurniawan@students.undip.ac.id</t>
  </si>
  <si>
    <t>24060124140203</t>
  </si>
  <si>
    <t>Mohammad Najib Fitrianto</t>
  </si>
  <si>
    <t>najibfitrianto@students.undip.ac.id</t>
  </si>
  <si>
    <t>24060124140207</t>
  </si>
  <si>
    <t>Hadrian Shandhy Yudha</t>
  </si>
  <si>
    <t>shandhyyudha@students.undip.ac.id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</si>
</sst>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20" sqref="H20"/>
    </sheetView>
  </sheetViews>
  <sheetFormatPr defaultRowHeight="15" x14ac:dyDescent="0.25"/>
  <cols>
    <col min="1" max="1" width="17.5703125" customWidth="1"/>
    <col min="2" max="2" width="53" customWidth="1"/>
    <col min="3" max="3" width="10.5703125" customWidth="1"/>
    <col min="4" max="4" width="11.7109375" customWidth="1"/>
    <col min="5" max="5" width="57.7109375" customWidth="1"/>
    <col min="6" max="6" width="45.85546875" customWidth="1"/>
    <col min="7" max="7" width="36.42578125" customWidth="1"/>
    <col min="8" max="9" width="35.28515625" customWidth="1"/>
    <col min="10" max="10" width="31.7109375" customWidth="1"/>
    <col min="11" max="11" width="37.7109375" customWidth="1"/>
    <col min="12" max="12" width="35.28515625" customWidth="1"/>
    <col min="13" max="13" width="21.140625" customWidth="1"/>
  </cols>
  <sheetData>
    <row r="1" spans="1:13" x14ac:dyDescent="0.25">
      <c r="A1" t="s">
        <v>0</v>
      </c>
      <c r="B1" t="s">
        <v>1</v>
      </c>
    </row>
    <row r="2" spans="1:13" x14ac:dyDescent="0.25">
      <c r="A2" t="s">
        <v>2</v>
      </c>
      <c r="B2" t="s">
        <v>3</v>
      </c>
      <c r="I2" s="1" t="s">
        <v>4</v>
      </c>
    </row>
    <row r="3" spans="1:13" x14ac:dyDescent="0.25">
      <c r="A3" t="s">
        <v>5</v>
      </c>
      <c r="B3" t="s">
        <v>6</v>
      </c>
    </row>
    <row r="4" spans="1:13" x14ac:dyDescent="0.25">
      <c r="A4" t="s">
        <v>7</v>
      </c>
      <c r="B4" t="s">
        <v>8</v>
      </c>
    </row>
    <row r="5" spans="1:13" x14ac:dyDescent="0.25">
      <c r="A5" t="s">
        <v>9</v>
      </c>
      <c r="B5" t="s">
        <v>10</v>
      </c>
    </row>
    <row r="7" spans="1:13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5">
      <c r="A8" t="s">
        <v>23</v>
      </c>
      <c r="B8" t="s">
        <v>24</v>
      </c>
      <c r="C8">
        <v>6</v>
      </c>
      <c r="D8" t="s">
        <v>25</v>
      </c>
      <c r="E8" s="4">
        <v>94</v>
      </c>
      <c r="F8" s="2"/>
      <c r="G8" s="2">
        <f>(E8*0.8)+(H8*0.2)</f>
        <v>86.405500000000004</v>
      </c>
      <c r="H8" s="4">
        <v>56.027500000000003</v>
      </c>
      <c r="I8" s="2"/>
      <c r="J8" s="2"/>
      <c r="K8" s="2">
        <f t="shared" ref="K8:K17" si="0">ROUND( ((E8*10+F8*40+G8*5+H8*5+I8*20+J8*20) / 100), 2)</f>
        <v>16.52</v>
      </c>
      <c r="L8" s="2" t="str">
        <f t="shared" ref="L8:L17" si="1">IF(AND(K8&gt;=80, K8&lt;=100), "A", IF(AND(K8&gt;=70, K8&lt;=79.99999999999), "B", IF(AND(K8&gt;=60, K8&lt;=69.9999999999), "C", IF(AND(K8&gt;=51, K8&lt;=59.999999999), "D", IF(AND(K8&gt;=0, K8&lt;=50.999999999), "E",  "E"  )  )  )  )  )</f>
        <v>E</v>
      </c>
      <c r="M8" t="str">
        <f t="shared" ref="M8:M17" si="2">IF(AND(K8&gt;=80, K8&lt;=100), "4", IF(AND(K8&gt;=70, K8&lt;=79.99999999999), "3", IF(AND(K8&gt;=60, K8&lt;=69.9999999999), "2", IF(AND(K8&gt;=51, K8&lt;=59.999999999), "1", IF(AND(K8&gt;=0, K8&lt;=50.999999999), "0",  "0"  )  )  )  )  )</f>
        <v>0</v>
      </c>
    </row>
    <row r="9" spans="1:13" x14ac:dyDescent="0.25">
      <c r="A9" t="s">
        <v>26</v>
      </c>
      <c r="B9" t="s">
        <v>27</v>
      </c>
      <c r="C9">
        <v>6</v>
      </c>
      <c r="D9" t="s">
        <v>25</v>
      </c>
      <c r="E9" s="4">
        <v>100</v>
      </c>
      <c r="F9" s="2"/>
      <c r="G9" s="2">
        <f t="shared" ref="G9:G17" si="3">(E9*0.8)+(H9*0.2)</f>
        <v>95.887500000000003</v>
      </c>
      <c r="H9" s="4">
        <v>79.4375</v>
      </c>
      <c r="I9" s="2"/>
      <c r="J9" s="2"/>
      <c r="K9" s="2">
        <f t="shared" si="0"/>
        <v>18.77</v>
      </c>
      <c r="L9" s="2" t="str">
        <f t="shared" si="1"/>
        <v>E</v>
      </c>
      <c r="M9" t="str">
        <f t="shared" si="2"/>
        <v>0</v>
      </c>
    </row>
    <row r="10" spans="1:13" x14ac:dyDescent="0.25">
      <c r="A10" t="s">
        <v>28</v>
      </c>
      <c r="B10" t="s">
        <v>29</v>
      </c>
      <c r="C10">
        <v>6</v>
      </c>
      <c r="D10" t="s">
        <v>25</v>
      </c>
      <c r="E10" s="4">
        <v>94.33</v>
      </c>
      <c r="F10" s="2"/>
      <c r="G10" s="2">
        <f t="shared" si="3"/>
        <v>87.769499999999994</v>
      </c>
      <c r="H10" s="4">
        <v>61.527499999999996</v>
      </c>
      <c r="I10" s="2"/>
      <c r="J10" s="2"/>
      <c r="K10" s="2">
        <f t="shared" si="0"/>
        <v>16.899999999999999</v>
      </c>
      <c r="L10" s="2" t="str">
        <f t="shared" si="1"/>
        <v>E</v>
      </c>
      <c r="M10" t="str">
        <f t="shared" si="2"/>
        <v>0</v>
      </c>
    </row>
    <row r="11" spans="1:13" x14ac:dyDescent="0.25">
      <c r="A11" t="s">
        <v>30</v>
      </c>
      <c r="B11" t="s">
        <v>31</v>
      </c>
      <c r="C11">
        <v>6</v>
      </c>
      <c r="D11" t="s">
        <v>32</v>
      </c>
      <c r="E11" s="4">
        <v>97</v>
      </c>
      <c r="F11" s="2"/>
      <c r="G11" s="2">
        <f t="shared" si="3"/>
        <v>92.019500000000008</v>
      </c>
      <c r="H11" s="4">
        <v>72.097499999999997</v>
      </c>
      <c r="I11" s="2"/>
      <c r="J11" s="2"/>
      <c r="K11" s="2">
        <f t="shared" si="0"/>
        <v>17.91</v>
      </c>
      <c r="L11" s="2" t="str">
        <f t="shared" si="1"/>
        <v>E</v>
      </c>
      <c r="M11" t="str">
        <f t="shared" si="2"/>
        <v>0</v>
      </c>
    </row>
    <row r="12" spans="1:13" x14ac:dyDescent="0.25">
      <c r="A12" t="s">
        <v>33</v>
      </c>
      <c r="B12" t="s">
        <v>34</v>
      </c>
      <c r="C12">
        <v>6</v>
      </c>
      <c r="D12" t="s">
        <v>25</v>
      </c>
      <c r="E12" s="4">
        <v>96</v>
      </c>
      <c r="F12" s="2"/>
      <c r="G12" s="2">
        <f t="shared" si="3"/>
        <v>80.980500000000006</v>
      </c>
      <c r="H12" s="4">
        <v>20.9025</v>
      </c>
      <c r="I12" s="2"/>
      <c r="J12" s="2"/>
      <c r="K12" s="2">
        <f t="shared" si="0"/>
        <v>14.69</v>
      </c>
      <c r="L12" s="2" t="str">
        <f t="shared" si="1"/>
        <v>E</v>
      </c>
      <c r="M12" t="str">
        <f t="shared" si="2"/>
        <v>0</v>
      </c>
    </row>
    <row r="13" spans="1:13" x14ac:dyDescent="0.25">
      <c r="A13" t="s">
        <v>35</v>
      </c>
      <c r="B13" t="s">
        <v>36</v>
      </c>
      <c r="C13">
        <v>6</v>
      </c>
      <c r="D13" t="s">
        <v>25</v>
      </c>
      <c r="E13" s="4">
        <v>90.83</v>
      </c>
      <c r="F13" s="2"/>
      <c r="G13" s="2">
        <f t="shared" si="3"/>
        <v>85.353000000000009</v>
      </c>
      <c r="H13" s="4">
        <v>63.445</v>
      </c>
      <c r="I13" s="2"/>
      <c r="J13" s="2"/>
      <c r="K13" s="2">
        <f t="shared" si="0"/>
        <v>16.52</v>
      </c>
      <c r="L13" s="2" t="str">
        <f t="shared" si="1"/>
        <v>E</v>
      </c>
      <c r="M13" t="str">
        <f t="shared" si="2"/>
        <v>0</v>
      </c>
    </row>
    <row r="14" spans="1:13" x14ac:dyDescent="0.25">
      <c r="A14" t="s">
        <v>37</v>
      </c>
      <c r="B14" t="s">
        <v>38</v>
      </c>
      <c r="C14">
        <v>6</v>
      </c>
      <c r="D14" t="s">
        <v>25</v>
      </c>
      <c r="E14" s="4">
        <v>60</v>
      </c>
      <c r="F14" s="2"/>
      <c r="G14" s="2">
        <f t="shared" si="3"/>
        <v>55.5</v>
      </c>
      <c r="H14" s="4">
        <v>37.5</v>
      </c>
      <c r="I14" s="2"/>
      <c r="J14" s="2"/>
      <c r="K14" s="2">
        <f t="shared" si="0"/>
        <v>10.65</v>
      </c>
      <c r="L14" s="2" t="str">
        <f t="shared" si="1"/>
        <v>E</v>
      </c>
      <c r="M14" t="str">
        <f t="shared" si="2"/>
        <v>0</v>
      </c>
    </row>
    <row r="15" spans="1:13" x14ac:dyDescent="0.25">
      <c r="A15" t="s">
        <v>39</v>
      </c>
      <c r="B15" t="s">
        <v>40</v>
      </c>
      <c r="C15">
        <v>6</v>
      </c>
      <c r="D15" t="s">
        <v>25</v>
      </c>
      <c r="E15" s="4">
        <v>93</v>
      </c>
      <c r="F15" s="2"/>
      <c r="G15" s="2">
        <f t="shared" si="3"/>
        <v>88.394500000000008</v>
      </c>
      <c r="H15" s="4">
        <v>69.972499999999997</v>
      </c>
      <c r="I15" s="2"/>
      <c r="J15" s="2"/>
      <c r="K15" s="2">
        <f t="shared" si="0"/>
        <v>17.22</v>
      </c>
      <c r="L15" s="2" t="str">
        <f t="shared" si="1"/>
        <v>E</v>
      </c>
      <c r="M15" t="str">
        <f t="shared" si="2"/>
        <v>0</v>
      </c>
    </row>
    <row r="16" spans="1:13" x14ac:dyDescent="0.25">
      <c r="A16" t="s">
        <v>41</v>
      </c>
      <c r="B16" t="s">
        <v>42</v>
      </c>
      <c r="C16">
        <v>6</v>
      </c>
      <c r="D16" t="s">
        <v>25</v>
      </c>
      <c r="E16" s="4">
        <v>86</v>
      </c>
      <c r="F16" s="2"/>
      <c r="G16" s="2">
        <f t="shared" si="3"/>
        <v>83.789500000000004</v>
      </c>
      <c r="H16" s="4">
        <v>74.947499999999991</v>
      </c>
      <c r="I16" s="2"/>
      <c r="J16" s="2"/>
      <c r="K16" s="2">
        <f t="shared" si="0"/>
        <v>16.54</v>
      </c>
      <c r="L16" s="2" t="str">
        <f t="shared" si="1"/>
        <v>E</v>
      </c>
      <c r="M16" t="str">
        <f t="shared" si="2"/>
        <v>0</v>
      </c>
    </row>
    <row r="17" spans="1:13" x14ac:dyDescent="0.25">
      <c r="A17" t="s">
        <v>43</v>
      </c>
      <c r="B17" t="s">
        <v>44</v>
      </c>
      <c r="C17">
        <v>8</v>
      </c>
      <c r="D17" t="s">
        <v>32</v>
      </c>
      <c r="E17" s="2"/>
      <c r="F17" s="2"/>
      <c r="G17" s="2">
        <f t="shared" si="3"/>
        <v>2.8570000000000002</v>
      </c>
      <c r="H17" s="4">
        <v>14.285</v>
      </c>
      <c r="I17" s="2"/>
      <c r="J17" s="2"/>
      <c r="K17" s="2">
        <f t="shared" si="0"/>
        <v>0.86</v>
      </c>
      <c r="L17" s="2" t="str">
        <f t="shared" si="1"/>
        <v>E</v>
      </c>
      <c r="M17" t="str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"/>
  <sheetViews>
    <sheetView topLeftCell="K1" workbookViewId="0">
      <selection activeCell="V2" sqref="V2:V11"/>
    </sheetView>
  </sheetViews>
  <sheetFormatPr defaultRowHeight="15" x14ac:dyDescent="0.25"/>
  <cols>
    <col min="1" max="1" width="10.28515625" customWidth="1"/>
    <col min="2" max="2" width="38.42578125" customWidth="1"/>
    <col min="3" max="3" width="10.28515625" customWidth="1"/>
    <col min="4" max="4" width="7.5703125" customWidth="1"/>
    <col min="5" max="5" width="9.140625" customWidth="1"/>
    <col min="6" max="6" width="35" customWidth="1"/>
    <col min="7" max="7" width="29" customWidth="1"/>
    <col min="8" max="8" width="23" customWidth="1"/>
    <col min="9" max="9" width="22.140625" customWidth="1"/>
    <col min="10" max="10" width="22.5703125" customWidth="1"/>
    <col min="11" max="11" width="20.42578125" customWidth="1"/>
    <col min="12" max="12" width="24.140625" customWidth="1"/>
    <col min="13" max="13" width="23.140625" customWidth="1"/>
    <col min="14" max="14" width="13" customWidth="1"/>
    <col min="15" max="15" width="32.7109375" customWidth="1"/>
    <col min="16" max="16" width="10.28515625" customWidth="1"/>
    <col min="17" max="17" width="33.28515625" customWidth="1"/>
    <col min="18" max="23" width="11.5703125" customWidth="1"/>
    <col min="24" max="24" width="15.85546875" customWidth="1"/>
    <col min="25" max="25" width="9.85546875" customWidth="1"/>
  </cols>
  <sheetData>
    <row r="1" spans="1:25" ht="30" x14ac:dyDescent="0.25">
      <c r="A1" s="3" t="s">
        <v>11</v>
      </c>
      <c r="B1" s="3" t="s">
        <v>12</v>
      </c>
      <c r="C1" s="3" t="s">
        <v>45</v>
      </c>
      <c r="D1" s="3" t="s">
        <v>5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/>
      <c r="W1" s="3" t="s">
        <v>53</v>
      </c>
      <c r="X1" s="3" t="s">
        <v>54</v>
      </c>
      <c r="Y1" s="3" t="s">
        <v>55</v>
      </c>
    </row>
    <row r="2" spans="1:25" ht="30" x14ac:dyDescent="0.25">
      <c r="A2" s="4" t="s">
        <v>23</v>
      </c>
      <c r="B2" s="4" t="s">
        <v>24</v>
      </c>
      <c r="C2" s="4" t="s">
        <v>56</v>
      </c>
      <c r="D2" s="4">
        <v>6</v>
      </c>
      <c r="E2" s="4" t="s">
        <v>25</v>
      </c>
      <c r="F2" s="4">
        <v>94</v>
      </c>
      <c r="G2" s="4"/>
      <c r="H2" s="4"/>
      <c r="I2" s="4"/>
      <c r="J2" s="4"/>
      <c r="K2" s="4"/>
      <c r="L2" s="4">
        <v>0</v>
      </c>
      <c r="M2" s="4" t="s">
        <v>57</v>
      </c>
      <c r="N2" s="4" t="s">
        <v>58</v>
      </c>
      <c r="O2" s="4" t="s">
        <v>59</v>
      </c>
      <c r="P2" s="4" t="s">
        <v>23</v>
      </c>
      <c r="Q2" s="4" t="s">
        <v>60</v>
      </c>
      <c r="R2" s="4">
        <v>42.86</v>
      </c>
      <c r="S2" s="4">
        <v>81.25</v>
      </c>
      <c r="T2" s="4">
        <v>100</v>
      </c>
      <c r="U2" s="4"/>
      <c r="V2" s="4">
        <f>SUM(R2:U2)/4</f>
        <v>56.027500000000003</v>
      </c>
      <c r="W2" s="4">
        <v>8.93</v>
      </c>
      <c r="X2" s="4">
        <v>8.36</v>
      </c>
      <c r="Y2" s="4">
        <v>94</v>
      </c>
    </row>
    <row r="3" spans="1:25" ht="30" x14ac:dyDescent="0.25">
      <c r="A3" s="4" t="s">
        <v>26</v>
      </c>
      <c r="B3" s="4" t="s">
        <v>27</v>
      </c>
      <c r="C3" s="4" t="s">
        <v>56</v>
      </c>
      <c r="D3" s="4">
        <v>6</v>
      </c>
      <c r="E3" s="4" t="s">
        <v>25</v>
      </c>
      <c r="F3" s="4">
        <v>100</v>
      </c>
      <c r="G3" s="4"/>
      <c r="H3" s="4"/>
      <c r="I3" s="4"/>
      <c r="J3" s="4"/>
      <c r="K3" s="4"/>
      <c r="L3" s="4">
        <v>0</v>
      </c>
      <c r="M3" s="4" t="s">
        <v>57</v>
      </c>
      <c r="N3" s="4" t="s">
        <v>58</v>
      </c>
      <c r="O3" s="4" t="s">
        <v>61</v>
      </c>
      <c r="P3" s="4" t="s">
        <v>26</v>
      </c>
      <c r="Q3" s="4" t="s">
        <v>62</v>
      </c>
      <c r="R3" s="4">
        <v>71.430000000000007</v>
      </c>
      <c r="S3" s="4">
        <v>87.5</v>
      </c>
      <c r="T3" s="4">
        <v>100</v>
      </c>
      <c r="U3" s="4">
        <v>58.82</v>
      </c>
      <c r="V3" s="4">
        <f t="shared" ref="V3:V11" si="0">SUM(R3:U3)/4</f>
        <v>79.4375</v>
      </c>
      <c r="W3" s="4">
        <v>8.93</v>
      </c>
      <c r="X3" s="4"/>
      <c r="Y3" s="4">
        <v>100</v>
      </c>
    </row>
    <row r="4" spans="1:25" ht="30" x14ac:dyDescent="0.25">
      <c r="A4" s="4" t="s">
        <v>28</v>
      </c>
      <c r="B4" s="4" t="s">
        <v>29</v>
      </c>
      <c r="C4" s="4" t="s">
        <v>56</v>
      </c>
      <c r="D4" s="4">
        <v>6</v>
      </c>
      <c r="E4" s="4" t="s">
        <v>25</v>
      </c>
      <c r="F4" s="4">
        <v>94.33</v>
      </c>
      <c r="G4" s="4"/>
      <c r="H4" s="4"/>
      <c r="I4" s="4"/>
      <c r="J4" s="4"/>
      <c r="K4" s="4"/>
      <c r="L4" s="4">
        <v>0</v>
      </c>
      <c r="M4" s="4" t="s">
        <v>57</v>
      </c>
      <c r="N4" s="4" t="s">
        <v>58</v>
      </c>
      <c r="O4" s="4" t="s">
        <v>63</v>
      </c>
      <c r="P4" s="4" t="s">
        <v>28</v>
      </c>
      <c r="Q4" s="4" t="s">
        <v>64</v>
      </c>
      <c r="R4" s="4">
        <v>57.14</v>
      </c>
      <c r="S4" s="4">
        <v>68.75</v>
      </c>
      <c r="T4" s="4">
        <v>93.75</v>
      </c>
      <c r="U4" s="4">
        <v>26.47</v>
      </c>
      <c r="V4" s="4">
        <f t="shared" si="0"/>
        <v>61.527499999999996</v>
      </c>
      <c r="W4" s="4">
        <v>8.2100000000000009</v>
      </c>
      <c r="X4" s="4">
        <v>7.18</v>
      </c>
      <c r="Y4" s="4">
        <v>94.33</v>
      </c>
    </row>
    <row r="5" spans="1:25" ht="30" x14ac:dyDescent="0.25">
      <c r="A5" s="4" t="s">
        <v>30</v>
      </c>
      <c r="B5" s="4" t="s">
        <v>31</v>
      </c>
      <c r="C5" s="4" t="s">
        <v>56</v>
      </c>
      <c r="D5" s="4">
        <v>6</v>
      </c>
      <c r="E5" s="4" t="s">
        <v>32</v>
      </c>
      <c r="F5" s="4">
        <v>97</v>
      </c>
      <c r="G5" s="4"/>
      <c r="H5" s="4"/>
      <c r="I5" s="4"/>
      <c r="J5" s="4"/>
      <c r="K5" s="4"/>
      <c r="L5" s="4">
        <v>0</v>
      </c>
      <c r="M5" s="4" t="s">
        <v>57</v>
      </c>
      <c r="N5" s="4" t="s">
        <v>58</v>
      </c>
      <c r="O5" s="4" t="s">
        <v>65</v>
      </c>
      <c r="P5" s="4" t="s">
        <v>30</v>
      </c>
      <c r="Q5" s="4" t="s">
        <v>66</v>
      </c>
      <c r="R5" s="4">
        <v>57.14</v>
      </c>
      <c r="S5" s="4">
        <v>81.25</v>
      </c>
      <c r="T5" s="4">
        <v>100</v>
      </c>
      <c r="U5" s="4">
        <v>50</v>
      </c>
      <c r="V5" s="4">
        <f t="shared" si="0"/>
        <v>72.097499999999997</v>
      </c>
      <c r="W5" s="4">
        <v>8.93</v>
      </c>
      <c r="X5" s="4">
        <v>7.45</v>
      </c>
      <c r="Y5" s="4">
        <v>97</v>
      </c>
    </row>
    <row r="6" spans="1:25" ht="30" x14ac:dyDescent="0.25">
      <c r="A6" s="4" t="s">
        <v>33</v>
      </c>
      <c r="B6" s="4" t="s">
        <v>34</v>
      </c>
      <c r="C6" s="4" t="s">
        <v>56</v>
      </c>
      <c r="D6" s="4">
        <v>6</v>
      </c>
      <c r="E6" s="4" t="s">
        <v>25</v>
      </c>
      <c r="F6" s="4">
        <v>96</v>
      </c>
      <c r="G6" s="4"/>
      <c r="H6" s="4"/>
      <c r="I6" s="4"/>
      <c r="J6" s="4"/>
      <c r="K6" s="4"/>
      <c r="L6" s="4">
        <v>0</v>
      </c>
      <c r="M6" s="4" t="s">
        <v>57</v>
      </c>
      <c r="N6" s="4" t="s">
        <v>58</v>
      </c>
      <c r="O6" s="4" t="s">
        <v>67</v>
      </c>
      <c r="P6" s="4" t="s">
        <v>33</v>
      </c>
      <c r="Q6" s="4" t="s">
        <v>68</v>
      </c>
      <c r="R6" s="4">
        <v>57.14</v>
      </c>
      <c r="S6" s="4"/>
      <c r="T6" s="4"/>
      <c r="U6" s="4">
        <v>26.47</v>
      </c>
      <c r="V6" s="4">
        <f t="shared" si="0"/>
        <v>20.9025</v>
      </c>
      <c r="W6" s="4">
        <v>7.86</v>
      </c>
      <c r="X6" s="4">
        <v>0.09</v>
      </c>
      <c r="Y6" s="4">
        <v>96</v>
      </c>
    </row>
    <row r="7" spans="1:25" ht="30" x14ac:dyDescent="0.25">
      <c r="A7" s="4" t="s">
        <v>35</v>
      </c>
      <c r="B7" s="4" t="s">
        <v>36</v>
      </c>
      <c r="C7" s="4" t="s">
        <v>56</v>
      </c>
      <c r="D7" s="4">
        <v>6</v>
      </c>
      <c r="E7" s="4" t="s">
        <v>25</v>
      </c>
      <c r="F7" s="4">
        <v>90.83</v>
      </c>
      <c r="G7" s="4"/>
      <c r="H7" s="4"/>
      <c r="I7" s="4"/>
      <c r="J7" s="4"/>
      <c r="K7" s="4"/>
      <c r="L7" s="4">
        <v>0</v>
      </c>
      <c r="M7" s="4" t="s">
        <v>57</v>
      </c>
      <c r="N7" s="4" t="s">
        <v>58</v>
      </c>
      <c r="O7" s="4" t="s">
        <v>69</v>
      </c>
      <c r="P7" s="4" t="s">
        <v>35</v>
      </c>
      <c r="Q7" s="4" t="s">
        <v>70</v>
      </c>
      <c r="R7" s="4">
        <v>71.430000000000007</v>
      </c>
      <c r="S7" s="4"/>
      <c r="T7" s="4">
        <v>100</v>
      </c>
      <c r="U7" s="4">
        <v>82.35</v>
      </c>
      <c r="V7" s="4">
        <f t="shared" si="0"/>
        <v>63.445</v>
      </c>
      <c r="W7" s="4">
        <v>9.2899999999999991</v>
      </c>
      <c r="X7" s="4">
        <v>8.4499999999999993</v>
      </c>
      <c r="Y7" s="4">
        <v>90.83</v>
      </c>
    </row>
    <row r="8" spans="1:25" ht="30" x14ac:dyDescent="0.25">
      <c r="A8" s="4" t="s">
        <v>37</v>
      </c>
      <c r="B8" s="4" t="s">
        <v>38</v>
      </c>
      <c r="C8" s="4" t="s">
        <v>56</v>
      </c>
      <c r="D8" s="4">
        <v>6</v>
      </c>
      <c r="E8" s="4" t="s">
        <v>25</v>
      </c>
      <c r="F8" s="4">
        <v>60</v>
      </c>
      <c r="G8" s="4"/>
      <c r="H8" s="4"/>
      <c r="I8" s="4"/>
      <c r="J8" s="4"/>
      <c r="K8" s="4"/>
      <c r="L8" s="4">
        <v>0</v>
      </c>
      <c r="M8" s="4" t="s">
        <v>57</v>
      </c>
      <c r="N8" s="4" t="s">
        <v>58</v>
      </c>
      <c r="O8" s="4" t="s">
        <v>71</v>
      </c>
      <c r="P8" s="4" t="s">
        <v>37</v>
      </c>
      <c r="Q8" s="4" t="s">
        <v>72</v>
      </c>
      <c r="R8" s="4"/>
      <c r="S8" s="4"/>
      <c r="T8" s="4">
        <v>100</v>
      </c>
      <c r="U8" s="4">
        <v>50</v>
      </c>
      <c r="V8" s="4">
        <f t="shared" si="0"/>
        <v>37.5</v>
      </c>
      <c r="W8" s="4">
        <v>9.64</v>
      </c>
      <c r="X8" s="4">
        <v>1.91</v>
      </c>
      <c r="Y8" s="4">
        <v>60</v>
      </c>
    </row>
    <row r="9" spans="1:25" ht="30" x14ac:dyDescent="0.25">
      <c r="A9" s="4" t="s">
        <v>39</v>
      </c>
      <c r="B9" s="4" t="s">
        <v>40</v>
      </c>
      <c r="C9" s="4" t="s">
        <v>56</v>
      </c>
      <c r="D9" s="4">
        <v>6</v>
      </c>
      <c r="E9" s="4" t="s">
        <v>25</v>
      </c>
      <c r="F9" s="4">
        <v>93</v>
      </c>
      <c r="G9" s="4"/>
      <c r="H9" s="4"/>
      <c r="I9" s="4"/>
      <c r="J9" s="4"/>
      <c r="K9" s="4"/>
      <c r="L9" s="4">
        <v>0</v>
      </c>
      <c r="M9" s="4" t="s">
        <v>57</v>
      </c>
      <c r="N9" s="4" t="s">
        <v>58</v>
      </c>
      <c r="O9" s="4" t="s">
        <v>73</v>
      </c>
      <c r="P9" s="4" t="s">
        <v>39</v>
      </c>
      <c r="Q9" s="4" t="s">
        <v>74</v>
      </c>
      <c r="R9" s="4">
        <v>71.430000000000007</v>
      </c>
      <c r="S9" s="4">
        <v>68.75</v>
      </c>
      <c r="T9" s="4">
        <v>75</v>
      </c>
      <c r="U9" s="4">
        <v>64.709999999999994</v>
      </c>
      <c r="V9" s="4">
        <f t="shared" si="0"/>
        <v>69.972499999999997</v>
      </c>
      <c r="W9" s="4">
        <v>7.86</v>
      </c>
      <c r="X9" s="4"/>
      <c r="Y9" s="4">
        <v>93</v>
      </c>
    </row>
    <row r="10" spans="1:25" ht="30" x14ac:dyDescent="0.25">
      <c r="A10" s="4" t="s">
        <v>41</v>
      </c>
      <c r="B10" s="4" t="s">
        <v>42</v>
      </c>
      <c r="C10" s="4" t="s">
        <v>56</v>
      </c>
      <c r="D10" s="4">
        <v>6</v>
      </c>
      <c r="E10" s="4" t="s">
        <v>25</v>
      </c>
      <c r="F10" s="4">
        <v>86</v>
      </c>
      <c r="G10" s="4"/>
      <c r="H10" s="4"/>
      <c r="I10" s="4"/>
      <c r="J10" s="4"/>
      <c r="K10" s="4"/>
      <c r="L10" s="4">
        <v>0</v>
      </c>
      <c r="M10" s="4" t="s">
        <v>57</v>
      </c>
      <c r="N10" s="4" t="s">
        <v>58</v>
      </c>
      <c r="O10" s="4" t="s">
        <v>75</v>
      </c>
      <c r="P10" s="4" t="s">
        <v>41</v>
      </c>
      <c r="Q10" s="4" t="s">
        <v>76</v>
      </c>
      <c r="R10" s="4">
        <v>57.14</v>
      </c>
      <c r="S10" s="4">
        <v>81.25</v>
      </c>
      <c r="T10" s="4">
        <v>93.75</v>
      </c>
      <c r="U10" s="4">
        <v>67.650000000000006</v>
      </c>
      <c r="V10" s="4">
        <f t="shared" si="0"/>
        <v>74.947499999999991</v>
      </c>
      <c r="W10" s="4"/>
      <c r="X10" s="4"/>
      <c r="Y10" s="4">
        <v>86</v>
      </c>
    </row>
    <row r="11" spans="1:25" ht="30" x14ac:dyDescent="0.25">
      <c r="A11" s="4" t="s">
        <v>43</v>
      </c>
      <c r="B11" s="4" t="s">
        <v>44</v>
      </c>
      <c r="C11" s="4" t="s">
        <v>56</v>
      </c>
      <c r="D11" s="4">
        <v>8</v>
      </c>
      <c r="E11" s="4" t="s">
        <v>32</v>
      </c>
      <c r="F11" s="4"/>
      <c r="G11" s="4"/>
      <c r="H11" s="4"/>
      <c r="I11" s="4"/>
      <c r="J11" s="4"/>
      <c r="K11" s="4"/>
      <c r="L11" s="4">
        <v>0</v>
      </c>
      <c r="M11" s="4" t="s">
        <v>57</v>
      </c>
      <c r="N11" s="4" t="s">
        <v>58</v>
      </c>
      <c r="O11" s="4" t="s">
        <v>77</v>
      </c>
      <c r="P11" s="4" t="s">
        <v>43</v>
      </c>
      <c r="Q11" s="4" t="s">
        <v>78</v>
      </c>
      <c r="R11" s="4">
        <v>57.14</v>
      </c>
      <c r="S11" s="4"/>
      <c r="T11" s="4"/>
      <c r="U11" s="4"/>
      <c r="V11" s="4">
        <f t="shared" si="0"/>
        <v>14.285</v>
      </c>
      <c r="W11" s="4"/>
      <c r="X11" s="4"/>
      <c r="Y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/>
  </sheetViews>
  <sheetFormatPr defaultRowHeight="15" x14ac:dyDescent="0.25"/>
  <cols>
    <col min="1" max="1" width="29.140625" customWidth="1"/>
    <col min="2" max="2" width="25.28515625" customWidth="1"/>
    <col min="3" max="3" width="33" customWidth="1"/>
  </cols>
  <sheetData>
    <row r="1" spans="1:3" x14ac:dyDescent="0.25">
      <c r="A1" s="5" t="s">
        <v>79</v>
      </c>
      <c r="B1" s="5"/>
      <c r="C1" s="5"/>
    </row>
    <row r="2" spans="1:3" x14ac:dyDescent="0.25">
      <c r="A2" s="6" t="s">
        <v>80</v>
      </c>
      <c r="B2">
        <v>10</v>
      </c>
    </row>
    <row r="3" spans="1:3" x14ac:dyDescent="0.25">
      <c r="A3" s="6" t="s">
        <v>81</v>
      </c>
      <c r="B3">
        <v>10</v>
      </c>
    </row>
    <row r="4" spans="1:3" x14ac:dyDescent="0.25">
      <c r="A4" s="6" t="s">
        <v>82</v>
      </c>
      <c r="B4">
        <v>0</v>
      </c>
    </row>
    <row r="5" spans="1:3" x14ac:dyDescent="0.25">
      <c r="A5" s="6" t="s">
        <v>83</v>
      </c>
      <c r="B5">
        <v>38</v>
      </c>
    </row>
    <row r="7" spans="1:3" x14ac:dyDescent="0.25">
      <c r="A7" s="7" t="s">
        <v>84</v>
      </c>
      <c r="B7" s="7"/>
      <c r="C7" s="7"/>
    </row>
    <row r="8" spans="1:3" x14ac:dyDescent="0.25">
      <c r="A8" t="s">
        <v>85</v>
      </c>
      <c r="B8" t="s">
        <v>86</v>
      </c>
    </row>
    <row r="9" spans="1:3" x14ac:dyDescent="0.25">
      <c r="A9" t="s">
        <v>87</v>
      </c>
    </row>
    <row r="11" spans="1:3" x14ac:dyDescent="0.25">
      <c r="A11" s="7" t="s">
        <v>88</v>
      </c>
      <c r="B11" s="7"/>
      <c r="C11" s="7"/>
    </row>
    <row r="12" spans="1:3" x14ac:dyDescent="0.25">
      <c r="A12" t="s">
        <v>47</v>
      </c>
      <c r="B12" t="s">
        <v>46</v>
      </c>
      <c r="C12" t="s">
        <v>48</v>
      </c>
    </row>
    <row r="13" spans="1:3" x14ac:dyDescent="0.25">
      <c r="A13" t="s">
        <v>89</v>
      </c>
      <c r="B13" t="s">
        <v>90</v>
      </c>
      <c r="C13" t="s">
        <v>91</v>
      </c>
    </row>
    <row r="14" spans="1:3" x14ac:dyDescent="0.25">
      <c r="A14" t="s">
        <v>92</v>
      </c>
      <c r="B14" t="s">
        <v>93</v>
      </c>
      <c r="C14" t="s">
        <v>94</v>
      </c>
    </row>
    <row r="15" spans="1:3" x14ac:dyDescent="0.25">
      <c r="A15" t="s">
        <v>95</v>
      </c>
      <c r="B15" t="s">
        <v>96</v>
      </c>
      <c r="C15" t="s">
        <v>97</v>
      </c>
    </row>
    <row r="16" spans="1:3" x14ac:dyDescent="0.25">
      <c r="A16" t="s">
        <v>98</v>
      </c>
      <c r="B16" t="s">
        <v>99</v>
      </c>
      <c r="C16" t="s">
        <v>100</v>
      </c>
    </row>
    <row r="17" spans="1:3" x14ac:dyDescent="0.25">
      <c r="A17" t="s">
        <v>101</v>
      </c>
      <c r="B17" t="s">
        <v>102</v>
      </c>
      <c r="C17" t="s">
        <v>103</v>
      </c>
    </row>
    <row r="18" spans="1:3" x14ac:dyDescent="0.25">
      <c r="A18" t="s">
        <v>104</v>
      </c>
      <c r="B18" t="s">
        <v>105</v>
      </c>
      <c r="C18" t="s">
        <v>106</v>
      </c>
    </row>
    <row r="19" spans="1:3" x14ac:dyDescent="0.25">
      <c r="A19" t="s">
        <v>107</v>
      </c>
      <c r="B19" t="s">
        <v>108</v>
      </c>
      <c r="C19" t="s">
        <v>109</v>
      </c>
    </row>
    <row r="20" spans="1:3" x14ac:dyDescent="0.25">
      <c r="A20" t="s">
        <v>110</v>
      </c>
      <c r="B20" t="s">
        <v>111</v>
      </c>
      <c r="C20" t="s">
        <v>112</v>
      </c>
    </row>
    <row r="21" spans="1:3" x14ac:dyDescent="0.25">
      <c r="A21" t="s">
        <v>113</v>
      </c>
      <c r="B21" t="s">
        <v>114</v>
      </c>
      <c r="C21" t="s">
        <v>115</v>
      </c>
    </row>
    <row r="22" spans="1:3" x14ac:dyDescent="0.25">
      <c r="A22" t="s">
        <v>116</v>
      </c>
      <c r="B22" t="s">
        <v>117</v>
      </c>
      <c r="C22" t="s">
        <v>118</v>
      </c>
    </row>
    <row r="23" spans="1:3" x14ac:dyDescent="0.25">
      <c r="A23" t="s">
        <v>119</v>
      </c>
      <c r="B23" t="s">
        <v>120</v>
      </c>
      <c r="C23" t="s">
        <v>121</v>
      </c>
    </row>
    <row r="24" spans="1:3" x14ac:dyDescent="0.25">
      <c r="A24" t="s">
        <v>122</v>
      </c>
      <c r="B24" t="s">
        <v>123</v>
      </c>
      <c r="C24" t="s">
        <v>124</v>
      </c>
    </row>
    <row r="25" spans="1:3" x14ac:dyDescent="0.25">
      <c r="A25" t="s">
        <v>125</v>
      </c>
      <c r="B25" t="s">
        <v>126</v>
      </c>
      <c r="C25" t="s">
        <v>127</v>
      </c>
    </row>
    <row r="26" spans="1:3" x14ac:dyDescent="0.25">
      <c r="A26" t="s">
        <v>128</v>
      </c>
      <c r="B26" t="s">
        <v>129</v>
      </c>
      <c r="C26" t="s">
        <v>130</v>
      </c>
    </row>
    <row r="27" spans="1:3" x14ac:dyDescent="0.25">
      <c r="A27" t="s">
        <v>131</v>
      </c>
      <c r="B27" t="s">
        <v>132</v>
      </c>
      <c r="C27" t="s">
        <v>133</v>
      </c>
    </row>
    <row r="28" spans="1:3" x14ac:dyDescent="0.25">
      <c r="A28" t="s">
        <v>134</v>
      </c>
      <c r="B28" t="s">
        <v>135</v>
      </c>
      <c r="C28" t="s">
        <v>136</v>
      </c>
    </row>
    <row r="29" spans="1:3" x14ac:dyDescent="0.25">
      <c r="A29" t="s">
        <v>137</v>
      </c>
      <c r="B29" t="s">
        <v>138</v>
      </c>
      <c r="C29" t="s">
        <v>139</v>
      </c>
    </row>
    <row r="30" spans="1:3" x14ac:dyDescent="0.25">
      <c r="A30" t="s">
        <v>140</v>
      </c>
      <c r="B30" t="s">
        <v>141</v>
      </c>
      <c r="C30" t="s">
        <v>142</v>
      </c>
    </row>
    <row r="31" spans="1:3" x14ac:dyDescent="0.25">
      <c r="A31" t="s">
        <v>143</v>
      </c>
      <c r="B31" t="s">
        <v>144</v>
      </c>
      <c r="C31" t="s">
        <v>145</v>
      </c>
    </row>
    <row r="32" spans="1:3" x14ac:dyDescent="0.25">
      <c r="A32" t="s">
        <v>146</v>
      </c>
      <c r="B32" t="s">
        <v>147</v>
      </c>
      <c r="C32" t="s">
        <v>148</v>
      </c>
    </row>
    <row r="33" spans="1:3" x14ac:dyDescent="0.25">
      <c r="A33" t="s">
        <v>149</v>
      </c>
      <c r="B33" t="s">
        <v>150</v>
      </c>
      <c r="C33" t="s">
        <v>151</v>
      </c>
    </row>
    <row r="34" spans="1:3" x14ac:dyDescent="0.25">
      <c r="A34" t="s">
        <v>152</v>
      </c>
      <c r="B34" t="s">
        <v>153</v>
      </c>
      <c r="C34" t="s">
        <v>154</v>
      </c>
    </row>
    <row r="35" spans="1:3" x14ac:dyDescent="0.25">
      <c r="A35" t="s">
        <v>155</v>
      </c>
      <c r="B35" t="s">
        <v>156</v>
      </c>
      <c r="C35" t="s">
        <v>157</v>
      </c>
    </row>
    <row r="36" spans="1:3" x14ac:dyDescent="0.25">
      <c r="A36" t="s">
        <v>158</v>
      </c>
      <c r="B36" t="s">
        <v>159</v>
      </c>
      <c r="C36" t="s">
        <v>160</v>
      </c>
    </row>
    <row r="37" spans="1:3" x14ac:dyDescent="0.25">
      <c r="A37" t="s">
        <v>161</v>
      </c>
      <c r="B37" t="s">
        <v>162</v>
      </c>
      <c r="C37" t="s">
        <v>163</v>
      </c>
    </row>
    <row r="38" spans="1:3" x14ac:dyDescent="0.25">
      <c r="A38" t="s">
        <v>164</v>
      </c>
      <c r="B38" t="s">
        <v>165</v>
      </c>
      <c r="C38" t="s">
        <v>166</v>
      </c>
    </row>
    <row r="39" spans="1:3" x14ac:dyDescent="0.25">
      <c r="A39" t="s">
        <v>167</v>
      </c>
      <c r="B39" t="s">
        <v>168</v>
      </c>
      <c r="C39" t="s">
        <v>169</v>
      </c>
    </row>
    <row r="40" spans="1:3" x14ac:dyDescent="0.25">
      <c r="A40" t="s">
        <v>170</v>
      </c>
      <c r="B40" t="s">
        <v>171</v>
      </c>
      <c r="C40" t="s">
        <v>172</v>
      </c>
    </row>
    <row r="41" spans="1:3" x14ac:dyDescent="0.25">
      <c r="A41" t="s">
        <v>173</v>
      </c>
      <c r="B41" t="s">
        <v>174</v>
      </c>
      <c r="C41" t="s">
        <v>175</v>
      </c>
    </row>
    <row r="42" spans="1:3" x14ac:dyDescent="0.25">
      <c r="A42" t="s">
        <v>176</v>
      </c>
      <c r="B42" t="s">
        <v>177</v>
      </c>
      <c r="C42" t="s">
        <v>178</v>
      </c>
    </row>
    <row r="43" spans="1:3" x14ac:dyDescent="0.25">
      <c r="A43" t="s">
        <v>179</v>
      </c>
      <c r="B43" t="s">
        <v>180</v>
      </c>
      <c r="C43" t="s">
        <v>181</v>
      </c>
    </row>
    <row r="44" spans="1:3" x14ac:dyDescent="0.25">
      <c r="A44" t="s">
        <v>182</v>
      </c>
      <c r="B44" t="s">
        <v>183</v>
      </c>
      <c r="C44" t="s">
        <v>184</v>
      </c>
    </row>
    <row r="45" spans="1:3" x14ac:dyDescent="0.25">
      <c r="A45" t="s">
        <v>185</v>
      </c>
      <c r="B45" t="s">
        <v>186</v>
      </c>
      <c r="C45" t="s">
        <v>187</v>
      </c>
    </row>
    <row r="46" spans="1:3" x14ac:dyDescent="0.25">
      <c r="A46" t="s">
        <v>188</v>
      </c>
      <c r="B46" t="s">
        <v>189</v>
      </c>
      <c r="C46" t="s">
        <v>190</v>
      </c>
    </row>
    <row r="47" spans="1:3" x14ac:dyDescent="0.25">
      <c r="A47" t="s">
        <v>191</v>
      </c>
      <c r="B47" t="s">
        <v>192</v>
      </c>
      <c r="C47" t="s">
        <v>193</v>
      </c>
    </row>
    <row r="48" spans="1:3" x14ac:dyDescent="0.25">
      <c r="A48" t="s">
        <v>194</v>
      </c>
      <c r="B48" t="s">
        <v>195</v>
      </c>
      <c r="C48" t="s">
        <v>196</v>
      </c>
    </row>
    <row r="49" spans="1:3" x14ac:dyDescent="0.25">
      <c r="A49" t="s">
        <v>197</v>
      </c>
      <c r="B49" t="s">
        <v>198</v>
      </c>
      <c r="C49" t="s">
        <v>199</v>
      </c>
    </row>
    <row r="50" spans="1:3" x14ac:dyDescent="0.25">
      <c r="A50" t="s">
        <v>200</v>
      </c>
      <c r="B50" t="s">
        <v>201</v>
      </c>
      <c r="C50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Data_Gabungan</vt:lpstr>
      <vt:lpstr>Ringkasan_Match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OHS2021</cp:lastModifiedBy>
  <dcterms:created xsi:type="dcterms:W3CDTF">2026-06-29T15:23:51Z</dcterms:created>
  <dcterms:modified xsi:type="dcterms:W3CDTF">2026-06-29T15:23:51Z</dcterms:modified>
</cp:coreProperties>
</file>