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 VICTUS\Documents\Dropbox\file-penting\ASA\2026\"/>
    </mc:Choice>
  </mc:AlternateContent>
  <xr:revisionPtr revIDLastSave="0" documentId="8_{74CF8C45-67CE-4EBB-B3C2-93ACF7D4EE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  <sheet name="Sheet1" sheetId="4" r:id="rId2"/>
    <sheet name="Data_Gabungan" sheetId="2" r:id="rId3"/>
    <sheet name="Ringkasan_Match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1" l="1"/>
  <c r="K9" i="1" s="1"/>
  <c r="M9" i="1" s="1"/>
  <c r="G10" i="1"/>
  <c r="K10" i="1" s="1"/>
  <c r="M10" i="1" s="1"/>
  <c r="G11" i="1"/>
  <c r="K11" i="1" s="1"/>
  <c r="M11" i="1" s="1"/>
  <c r="G12" i="1"/>
  <c r="K12" i="1" s="1"/>
  <c r="M12" i="1" s="1"/>
  <c r="G13" i="1"/>
  <c r="G14" i="1"/>
  <c r="K14" i="1" s="1"/>
  <c r="L14" i="1" s="1"/>
  <c r="G15" i="1"/>
  <c r="G16" i="1"/>
  <c r="G17" i="1"/>
  <c r="G8" i="1"/>
  <c r="L9" i="4"/>
  <c r="L10" i="4"/>
  <c r="L11" i="4"/>
  <c r="L12" i="4"/>
  <c r="L13" i="4"/>
  <c r="L14" i="4"/>
  <c r="L15" i="4"/>
  <c r="L16" i="4"/>
  <c r="L17" i="4"/>
  <c r="L8" i="4"/>
  <c r="K17" i="1"/>
  <c r="M17" i="1" s="1"/>
  <c r="K16" i="1"/>
  <c r="M16" i="1" s="1"/>
  <c r="K15" i="1"/>
  <c r="M15" i="1" s="1"/>
  <c r="K13" i="1"/>
  <c r="M13" i="1" s="1"/>
  <c r="K8" i="1"/>
  <c r="M8" i="1" s="1"/>
  <c r="L10" i="1" l="1"/>
  <c r="L11" i="1"/>
  <c r="M14" i="1"/>
  <c r="L15" i="1"/>
  <c r="L16" i="1"/>
  <c r="L12" i="1"/>
  <c r="L13" i="1"/>
  <c r="L17" i="1"/>
  <c r="L8" i="1"/>
  <c r="L9" i="1"/>
</calcChain>
</file>

<file path=xl/sharedStrings.xml><?xml version="1.0" encoding="utf-8"?>
<sst xmlns="http://schemas.openxmlformats.org/spreadsheetml/2006/main" count="344" uniqueCount="208">
  <si>
    <t>Mata Kuliah</t>
  </si>
  <si>
    <t>: PAIK6601 - Analisis dan Strategi Algoritma</t>
  </si>
  <si>
    <t>Tahun Ajaran</t>
  </si>
  <si>
    <t>: 2025</t>
  </si>
  <si>
    <t>NDk5NDg5</t>
  </si>
  <si>
    <t>Semester</t>
  </si>
  <si>
    <t>: Genap</t>
  </si>
  <si>
    <t>Kelas</t>
  </si>
  <si>
    <t>: B</t>
  </si>
  <si>
    <t>Prodi</t>
  </si>
  <si>
    <t>: S1-TEKNIK INFORMATIKA</t>
  </si>
  <si>
    <t>NIM</t>
  </si>
  <si>
    <t>Nama Mahasiswa</t>
  </si>
  <si>
    <t>Status</t>
  </si>
  <si>
    <t>Nilai Aktivitas Partisipatif (0,00-100,00) (10%)</t>
  </si>
  <si>
    <t>Nilai Hasil Proyek (0,00-100,00) (40%)</t>
  </si>
  <si>
    <t>Nilai Tugas (0,00-100,00) (5%)</t>
  </si>
  <si>
    <t>Nilai Quiz (0,00-100,00) (5%)</t>
  </si>
  <si>
    <t>Nilai UTS (0,00-100,00) (20%)</t>
  </si>
  <si>
    <t>Nilai UAS (0,00-100) (20%)</t>
  </si>
  <si>
    <t>Nilai Akhir Angka (0,00-100,00)</t>
  </si>
  <si>
    <t>Nilai Akhir Huruf (A/B/C/D/E)</t>
  </si>
  <si>
    <t>Nilai Bobot (0-4)</t>
  </si>
  <si>
    <t>First name</t>
  </si>
  <si>
    <t>Last name</t>
  </si>
  <si>
    <t>ID number</t>
  </si>
  <si>
    <t>Institution</t>
  </si>
  <si>
    <t>Department</t>
  </si>
  <si>
    <t>Email address</t>
  </si>
  <si>
    <t>Quiz: Quis 1 (Real)</t>
  </si>
  <si>
    <t>Quiz: Quis 2 (Real)</t>
  </si>
  <si>
    <t>Quiz: quis 3 (Real)</t>
  </si>
  <si>
    <t>Quiz: Quis 4 (Real)</t>
  </si>
  <si>
    <t>Quiz: quis 5 (Real)</t>
  </si>
  <si>
    <t>Quiz: latihan UTS (Real)</t>
  </si>
  <si>
    <t>Quiz: UTS (Real)</t>
  </si>
  <si>
    <t>Last downloaded from this course</t>
  </si>
  <si>
    <t>24060123140161</t>
  </si>
  <si>
    <t>AURA CANTIKA NABILA AMELIA</t>
  </si>
  <si>
    <t>BARU</t>
  </si>
  <si>
    <t>Aura Cantika Nabila Amelia</t>
  </si>
  <si>
    <t>199cb5ff-2bcd-4ecd-b034-eaebb41a0228</t>
  </si>
  <si>
    <t>auracantikanabilaame@students.undip.ac.id</t>
  </si>
  <si>
    <t>-</t>
  </si>
  <si>
    <t>24060123140198</t>
  </si>
  <si>
    <t>BENJAMIN HAMONANGAN TUA</t>
  </si>
  <si>
    <t>Benjamin Hamonangan Tua</t>
  </si>
  <si>
    <t>72581d79-740e-48cd-a371-92cf13a1b314</t>
  </si>
  <si>
    <t>benjaminhamonangantu@students.undip.ac.id</t>
  </si>
  <si>
    <t>24060122130082</t>
  </si>
  <si>
    <t>FATHIA RAHMA (&lt; 75%)</t>
  </si>
  <si>
    <t>PERBAIKAN</t>
  </si>
  <si>
    <t>24060122140126</t>
  </si>
  <si>
    <t>RADITYA ARYA WICAKSANA</t>
  </si>
  <si>
    <t>ULANG</t>
  </si>
  <si>
    <t>Raditya Arya Wicaksana</t>
  </si>
  <si>
    <t>4ca256f5-c736-4f37-8de6-60a2ab3d7b4f</t>
  </si>
  <si>
    <t>radityaarya@students.undip.ac.id</t>
  </si>
  <si>
    <t>24060122140162</t>
  </si>
  <si>
    <t>ZAHRA NISAA' FITRIA NUR'AFIFAH (&lt; 75%)</t>
  </si>
  <si>
    <t>24060123140128</t>
  </si>
  <si>
    <t>FAKHRI ALI AZADI</t>
  </si>
  <si>
    <t>Fakhri Ali Azadi</t>
  </si>
  <si>
    <t>9c518235-cd49-42fb-b96a-598a6f512b44</t>
  </si>
  <si>
    <t>aaliiazadi@students.undip.ac.id</t>
  </si>
  <si>
    <t>24060123140159</t>
  </si>
  <si>
    <t>GADING ARSANA RACHMAN (&lt; 75%)</t>
  </si>
  <si>
    <t>24060123140172</t>
  </si>
  <si>
    <t>CIPTA FIKRI WIRATAMA</t>
  </si>
  <si>
    <t>Cipta Fikri Wiratama</t>
  </si>
  <si>
    <t>3fe4ca1a-a688-4325-b46c-4a80910d0320</t>
  </si>
  <si>
    <t>fikriw@students.undip.ac.id</t>
  </si>
  <si>
    <t>24060123140194</t>
  </si>
  <si>
    <t>STEPHEN ANDREW PAKPAHAN</t>
  </si>
  <si>
    <t>Stephen Andrew Pakpahan</t>
  </si>
  <si>
    <t>bf4e7d96-33a4-4242-8063-9327c138cb46</t>
  </si>
  <si>
    <t>stephenn03@students.undip.ac.id</t>
  </si>
  <si>
    <t>24060123140120</t>
  </si>
  <si>
    <t>MUHAMMAD SHAFWAN RAIHAN SERUNTING</t>
  </si>
  <si>
    <t>Muhammad Shafwan Raihan Serunting</t>
  </si>
  <si>
    <t>875dbde6-3abb-4477-8622-714abadf4af9</t>
  </si>
  <si>
    <t>muhammadshafwanraiha@students.undip.ac.id</t>
  </si>
  <si>
    <t>Fathia Rahma</t>
  </si>
  <si>
    <t>f713bfbf-63f8-4f2a-bf4e-f4fd5a9b65cc</t>
  </si>
  <si>
    <t>fathiarahma@students.undip.ac.id</t>
  </si>
  <si>
    <t>Zahra Nisaa' Fitria Nur'afifah</t>
  </si>
  <si>
    <t>ec25763f-e67c-4bc3-a0a4-1160405b6d01</t>
  </si>
  <si>
    <t>zahranisaafitrianura@students.undip.ac.id</t>
  </si>
  <si>
    <t>Gading Arsana Rachman</t>
  </si>
  <si>
    <t>ecf8bf13-dd5c-4d6a-8f5a-dbe099521a7f</t>
  </si>
  <si>
    <t>gadingarsana@students.undip.ac.id</t>
  </si>
  <si>
    <t>Rizky Saefirdaus</t>
  </si>
  <si>
    <t>025c65de-44f5-4ffb-bbf4-461e11f9468a</t>
  </si>
  <si>
    <t>saefirdaus@students.undip.ac.id</t>
  </si>
  <si>
    <t>Birela Miadeta Purita</t>
  </si>
  <si>
    <t>f70db285-5e78-448d-af71-00e59cbfebf7</t>
  </si>
  <si>
    <t>birelamiadeta@students.undip.ac.id</t>
  </si>
  <si>
    <t>Lintang Aulia Nuraini</t>
  </si>
  <si>
    <t>82ca6965-edbf-4d20-9bbc-ca193d79dd75</t>
  </si>
  <si>
    <t>lintangaulianuraini@students.undip.ac.id</t>
  </si>
  <si>
    <t>Ganendra Satya Sindhunata</t>
  </si>
  <si>
    <t>8a5caf17-6e23-4f22-acc4-94f0abe349d6</t>
  </si>
  <si>
    <t>ganendrasatya@students.undip.ac.id</t>
  </si>
  <si>
    <t>Muhammad Nauval Fadli</t>
  </si>
  <si>
    <t>2e0407a8-5f1f-4b94-8112-a5ceb6906f5d</t>
  </si>
  <si>
    <t>val145@students.undip.ac.id</t>
  </si>
  <si>
    <t>Diah Maulida Pratiwi</t>
  </si>
  <si>
    <t>26674a22-3f22-4587-a7f8-0053b02acbbd</t>
  </si>
  <si>
    <t>diahmaulida555@students.undip.ac.id</t>
  </si>
  <si>
    <t>Alyssa Shane Kurniawan</t>
  </si>
  <si>
    <t>c2c3d44a-c7d2-4dc6-af91-ef49b01c0c0f</t>
  </si>
  <si>
    <t>alyssashane@students.undip.ac.id</t>
  </si>
  <si>
    <t>Nawaal Hanif Mumtaz Arriye</t>
  </si>
  <si>
    <t>f47148a3-6267-4f7a-a384-120d434a70ec</t>
  </si>
  <si>
    <t>nawaal123@students.undip.ac.id</t>
  </si>
  <si>
    <t>Syifa Aeni Mudrikah</t>
  </si>
  <si>
    <t>5fc98607-6d44-4154-b85c-a80c2976ed46</t>
  </si>
  <si>
    <t>syifaaenimudrikah@students.undip.ac.id</t>
  </si>
  <si>
    <t>Jordan Tenggara</t>
  </si>
  <si>
    <t>e6b246f8-b6c4-4e85-bbbb-66b8c5f89c74</t>
  </si>
  <si>
    <t>jordantenggara@students.undip.ac.id</t>
  </si>
  <si>
    <t>Olivia Oktaviani</t>
  </si>
  <si>
    <t>fac41eea-b385-44a8-9592-331bcecea80f</t>
  </si>
  <si>
    <t>oliviaoktaviani@students.undip.ac.id</t>
  </si>
  <si>
    <t>Rafi Anandra Dharmawan</t>
  </si>
  <si>
    <t>291e39af-c4fa-4ae9-8643-6494da5278be</t>
  </si>
  <si>
    <t>rafianandra@students.undip.ac.id</t>
  </si>
  <si>
    <t>Laurensius Brian Prayoga</t>
  </si>
  <si>
    <t>61e63fbc-e9d2-4c66-9c5b-c85cbefabf1a</t>
  </si>
  <si>
    <t>lbrianprayoga18@students.undip.ac.id</t>
  </si>
  <si>
    <t>Restu Surya</t>
  </si>
  <si>
    <t>c39c5cdf-e358-4105-83a1-faded57d4c91</t>
  </si>
  <si>
    <t>restusurya@students.undip.ac.id</t>
  </si>
  <si>
    <t>Hana Nafi'atul Haq</t>
  </si>
  <si>
    <t>9f2605e9-8801-43d5-8dd2-3da4b05da32d</t>
  </si>
  <si>
    <t>hananafi@students.undip.ac.id</t>
  </si>
  <si>
    <t>Raffa Putra Nugroho</t>
  </si>
  <si>
    <t>73297ac4-2e3f-4d82-80ef-2caea3944731</t>
  </si>
  <si>
    <t>raffaputnugr0@students.undip.ac.id</t>
  </si>
  <si>
    <t>Moses Morell Yosefan</t>
  </si>
  <si>
    <t>da3173cf-2b20-4de6-8e38-7d6981dd1b3a</t>
  </si>
  <si>
    <t>mosesmorell@students.undip.ac.id</t>
  </si>
  <si>
    <t>Galang Bintang Ramadhan</t>
  </si>
  <si>
    <t>2829bd85-1e6f-4882-a55d-613e56e88cc5</t>
  </si>
  <si>
    <t>galangbintang@students.undip.ac.id</t>
  </si>
  <si>
    <t>Dewangga Raja Ari Wiyasa</t>
  </si>
  <si>
    <t>872fd5f0-03b7-4ed5-876a-74db3806172c</t>
  </si>
  <si>
    <t>dewanggarajaari@students.undip.ac.id</t>
  </si>
  <si>
    <t>Shofwan Fikrul Huda</t>
  </si>
  <si>
    <t>691eb548-58f9-43e1-9e7b-9ac0c4c017cf</t>
  </si>
  <si>
    <t>shofwanfikrulhuda@students.undip.ac.id</t>
  </si>
  <si>
    <t>Fazl Nizam Priyambodho</t>
  </si>
  <si>
    <t>04fc40a2-f2a6-4d89-96fc-ee81ae6a6bec</t>
  </si>
  <si>
    <t>fazlnizampriyambodho@students.undip.ac.id</t>
  </si>
  <si>
    <t>Ida Bagus Ngurah Yudistira Kemenuh</t>
  </si>
  <si>
    <t>5fba966f-06a0-4636-b644-bcffd705eb35</t>
  </si>
  <si>
    <t>yudist@students.undip.ac.id</t>
  </si>
  <si>
    <t>Puti Shasta Khafiyani</t>
  </si>
  <si>
    <t>17fb50d2-437c-443e-b0dd-c648fd526201</t>
  </si>
  <si>
    <t>putishasta@students.undip.ac.id</t>
  </si>
  <si>
    <t>Muhammad Ibrahim Alghifari</t>
  </si>
  <si>
    <t>58da7198-1741-437e-be28-dd32b9b77136</t>
  </si>
  <si>
    <t>ibrahimalghifari@students.undip.ac.id</t>
  </si>
  <si>
    <t>Muchammad Rajib Tafrichan</t>
  </si>
  <si>
    <t>9a4f396d-30bf-431c-9081-8ee443bfcd9b</t>
  </si>
  <si>
    <t>mrajibtafrichan@students.undip.ac.id</t>
  </si>
  <si>
    <t>Shafa Aqilla Zahira</t>
  </si>
  <si>
    <t>c78e8a5a-0831-401f-994b-384ce1559204</t>
  </si>
  <si>
    <t>shafaaqillazahira@students.undip.ac.id</t>
  </si>
  <si>
    <t>Adhyaksa Margandatua Banjar Nahor</t>
  </si>
  <si>
    <t>f70e11a9-b5fb-4048-b4f1-b4bd22d01332</t>
  </si>
  <si>
    <t>mbnadhyaksa@students.undip.ac.id</t>
  </si>
  <si>
    <t>Iza Yunus Andhika</t>
  </si>
  <si>
    <t>80f9312f-8258-49cb-9c59-297ebfed2ebc</t>
  </si>
  <si>
    <t>zandhika13@students.undip.ac.id</t>
  </si>
  <si>
    <t>Revalina Salwa Aliya Wicaksono Prabowo</t>
  </si>
  <si>
    <t>597859a9-c1eb-4ab3-9b2e-f3749dd367f7</t>
  </si>
  <si>
    <t>revalinasaliya@students.undip.ac.id</t>
  </si>
  <si>
    <t>Reynaldi Bertinus Hutagaol</t>
  </si>
  <si>
    <t>f92fc13b-312b-43f3-a1df-37a03703561d</t>
  </si>
  <si>
    <t>reynaldihutagaol@students.undip.ac.id</t>
  </si>
  <si>
    <t>Galvin Shalahudin Mumtaz</t>
  </si>
  <si>
    <t>a8a2ebef-a8e1-4ac3-b818-b3131ec7676c</t>
  </si>
  <si>
    <t>galvin@students.undip.ac.id</t>
  </si>
  <si>
    <t>Raihan Lazuardi</t>
  </si>
  <si>
    <t>fe6d6ef2-571f-4010-b827-9a40afea4300</t>
  </si>
  <si>
    <t>raihanlazuardi@students.undip.ac.id</t>
  </si>
  <si>
    <t>Adam Mulya Rasyid</t>
  </si>
  <si>
    <t>167cf67b-bce1-472d-b0d1-a2d0b41d72b0</t>
  </si>
  <si>
    <t>adamrasyid@students.undip.ac.id</t>
  </si>
  <si>
    <t>Farhan Muhtaram</t>
  </si>
  <si>
    <t>e6aa7bf8-45aa-4faf-b401-4bc798718a9f</t>
  </si>
  <si>
    <t>farhanmuhtaram@students.undip.ac.id</t>
  </si>
  <si>
    <t>Michael Stevano</t>
  </si>
  <si>
    <t>3cf9233b-1519-40f7-aa76-466203df786f</t>
  </si>
  <si>
    <t>michaelstevano@students.undip.ac.id</t>
  </si>
  <si>
    <t>Arga Yura Danendra</t>
  </si>
  <si>
    <t>5774e22c-186e-4a1c-b1a9-38b79aaee659</t>
  </si>
  <si>
    <t>argayura@students.undip.ac.id</t>
  </si>
  <si>
    <t>Mohammad Banyuputra Eka Pramudhita</t>
  </si>
  <si>
    <t>5cba7c74-8059-4161-a8e7-3bdf75cb641d</t>
  </si>
  <si>
    <t>banyuputraekap@students.undip.ac.id</t>
  </si>
  <si>
    <t>Metric</t>
  </si>
  <si>
    <t>Value</t>
  </si>
  <si>
    <t>Template</t>
  </si>
  <si>
    <t>Berhasil cocok</t>
  </si>
  <si>
    <t>Tidak cocok</t>
  </si>
  <si>
    <t>Data awal tidak ada di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</si>
</sst>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FFFF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2" fontId="0" fillId="0" borderId="0" xfId="0" applyNumberFormat="1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7"/>
  <sheetViews>
    <sheetView tabSelected="1" workbookViewId="0">
      <selection activeCell="A17" sqref="A17"/>
    </sheetView>
  </sheetViews>
  <sheetFormatPr defaultRowHeight="15" x14ac:dyDescent="0.25"/>
  <cols>
    <col min="1" max="1" width="17.5703125" bestFit="1" customWidth="1"/>
    <col min="2" max="2" width="53" bestFit="1" customWidth="1"/>
    <col min="3" max="3" width="10.5703125" bestFit="1" customWidth="1"/>
    <col min="4" max="4" width="11.7109375" bestFit="1" customWidth="1"/>
    <col min="5" max="5" width="57.7109375" bestFit="1" customWidth="1"/>
    <col min="6" max="6" width="45.85546875" bestFit="1" customWidth="1"/>
    <col min="7" max="7" width="36.42578125" bestFit="1" customWidth="1"/>
    <col min="8" max="9" width="35.28515625" bestFit="1" customWidth="1"/>
    <col min="10" max="10" width="31.7109375" bestFit="1" customWidth="1"/>
    <col min="11" max="11" width="37.7109375" bestFit="1" customWidth="1"/>
    <col min="12" max="12" width="35.28515625" bestFit="1" customWidth="1"/>
    <col min="13" max="13" width="21.140625" bestFit="1" customWidth="1"/>
  </cols>
  <sheetData>
    <row r="1" spans="1:28" x14ac:dyDescent="0.25">
      <c r="A1" t="s">
        <v>0</v>
      </c>
      <c r="B1" t="s">
        <v>1</v>
      </c>
    </row>
    <row r="2" spans="1:28" x14ac:dyDescent="0.25">
      <c r="A2" t="s">
        <v>2</v>
      </c>
      <c r="B2" t="s">
        <v>3</v>
      </c>
      <c r="I2" s="1" t="s">
        <v>4</v>
      </c>
    </row>
    <row r="3" spans="1:28" x14ac:dyDescent="0.25">
      <c r="A3" t="s">
        <v>5</v>
      </c>
      <c r="B3" t="s">
        <v>6</v>
      </c>
    </row>
    <row r="4" spans="1:28" x14ac:dyDescent="0.25">
      <c r="A4" t="s">
        <v>7</v>
      </c>
      <c r="B4" t="s">
        <v>8</v>
      </c>
    </row>
    <row r="5" spans="1:28" x14ac:dyDescent="0.25">
      <c r="A5" t="s">
        <v>9</v>
      </c>
      <c r="B5" t="s">
        <v>10</v>
      </c>
    </row>
    <row r="7" spans="1:28" x14ac:dyDescent="0.25">
      <c r="A7" t="s">
        <v>11</v>
      </c>
      <c r="B7" t="s">
        <v>12</v>
      </c>
      <c r="C7" t="s">
        <v>5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 t="s">
        <v>21</v>
      </c>
      <c r="M7" t="s">
        <v>22</v>
      </c>
      <c r="N7" t="s">
        <v>23</v>
      </c>
      <c r="O7" t="s">
        <v>24</v>
      </c>
      <c r="P7" t="s">
        <v>25</v>
      </c>
      <c r="Q7" t="s">
        <v>26</v>
      </c>
      <c r="R7" t="s">
        <v>27</v>
      </c>
      <c r="S7" t="s">
        <v>28</v>
      </c>
      <c r="T7" t="s">
        <v>29</v>
      </c>
      <c r="U7" t="s">
        <v>30</v>
      </c>
      <c r="V7" t="s">
        <v>31</v>
      </c>
      <c r="W7" t="s">
        <v>32</v>
      </c>
      <c r="X7" t="s">
        <v>33</v>
      </c>
      <c r="Z7" t="s">
        <v>34</v>
      </c>
      <c r="AA7" t="s">
        <v>35</v>
      </c>
      <c r="AB7" t="s">
        <v>36</v>
      </c>
    </row>
    <row r="8" spans="1:28" x14ac:dyDescent="0.25">
      <c r="A8" t="s">
        <v>37</v>
      </c>
      <c r="B8" t="s">
        <v>38</v>
      </c>
      <c r="C8">
        <v>6</v>
      </c>
      <c r="D8" t="s">
        <v>39</v>
      </c>
      <c r="E8" s="4">
        <v>99</v>
      </c>
      <c r="F8" s="3"/>
      <c r="G8" s="3">
        <f>(E8*0.8)+(H8*0.2)</f>
        <v>92.866800000000012</v>
      </c>
      <c r="H8" s="3">
        <v>68.334000000000003</v>
      </c>
      <c r="I8" s="3"/>
      <c r="J8" s="3"/>
      <c r="K8" s="2">
        <f t="shared" ref="K8:K17" si="0">ROUND( ((E8*10+F8*40+G8*5+H8*5+I8*20+J8*20) / 100), 2)</f>
        <v>17.96</v>
      </c>
      <c r="L8" s="2" t="str">
        <f t="shared" ref="L8:L17" si="1">IF(AND(K8&gt;=80, K8&lt;=100), "A", IF(AND(K8&gt;=70, K8&lt;=79.99999999999), "B", IF(AND(K8&gt;=60, K8&lt;=69.9999999999), "C", IF(AND(K8&gt;=51, K8&lt;=59.999999999), "D", IF(AND(K8&gt;=0, K8&lt;=50.999999999), "E",  "E"  )  )  )  )  )</f>
        <v>E</v>
      </c>
      <c r="M8" t="str">
        <f t="shared" ref="M8:M17" si="2">IF(AND(K8&gt;=80, K8&lt;=100), "4", IF(AND(K8&gt;=70, K8&lt;=79.99999999999), "3", IF(AND(K8&gt;=60, K8&lt;=69.9999999999), "2", IF(AND(K8&gt;=51, K8&lt;=59.999999999), "1", IF(AND(K8&gt;=0, K8&lt;=50.999999999), "0",  "0"  )  )  )  )  )</f>
        <v>0</v>
      </c>
      <c r="N8" t="s">
        <v>40</v>
      </c>
      <c r="O8">
        <v>24060123140161</v>
      </c>
      <c r="P8" t="s">
        <v>41</v>
      </c>
      <c r="S8" t="s">
        <v>42</v>
      </c>
      <c r="T8" t="s">
        <v>43</v>
      </c>
      <c r="U8">
        <v>83.33</v>
      </c>
      <c r="V8">
        <v>86.67</v>
      </c>
      <c r="W8">
        <v>96.67</v>
      </c>
      <c r="X8">
        <v>75</v>
      </c>
      <c r="Z8">
        <v>9.59</v>
      </c>
      <c r="AA8">
        <v>99</v>
      </c>
      <c r="AB8">
        <v>1782745205</v>
      </c>
    </row>
    <row r="9" spans="1:28" x14ac:dyDescent="0.25">
      <c r="A9" t="s">
        <v>44</v>
      </c>
      <c r="B9" t="s">
        <v>45</v>
      </c>
      <c r="C9">
        <v>6</v>
      </c>
      <c r="D9" t="s">
        <v>39</v>
      </c>
      <c r="E9" s="4">
        <v>0</v>
      </c>
      <c r="F9" s="3"/>
      <c r="G9" s="3">
        <f t="shared" ref="G9:G17" si="3">(E9*0.8)+(H9*0.2)</f>
        <v>11.684800000000001</v>
      </c>
      <c r="H9" s="3">
        <v>58.423999999999999</v>
      </c>
      <c r="I9" s="3"/>
      <c r="J9" s="3"/>
      <c r="K9" s="2">
        <f t="shared" si="0"/>
        <v>3.51</v>
      </c>
      <c r="L9" s="2" t="str">
        <f t="shared" si="1"/>
        <v>E</v>
      </c>
      <c r="M9" t="str">
        <f t="shared" si="2"/>
        <v>0</v>
      </c>
      <c r="N9" t="s">
        <v>46</v>
      </c>
      <c r="O9">
        <v>24060123140198</v>
      </c>
      <c r="P9" t="s">
        <v>47</v>
      </c>
      <c r="S9" t="s">
        <v>48</v>
      </c>
      <c r="T9" t="s">
        <v>43</v>
      </c>
      <c r="U9">
        <v>95.45</v>
      </c>
      <c r="V9" t="s">
        <v>43</v>
      </c>
      <c r="W9">
        <v>96.67</v>
      </c>
      <c r="X9">
        <v>100</v>
      </c>
      <c r="Z9" t="s">
        <v>43</v>
      </c>
      <c r="AA9" t="s">
        <v>43</v>
      </c>
      <c r="AB9">
        <v>1782745205</v>
      </c>
    </row>
    <row r="10" spans="1:28" x14ac:dyDescent="0.25">
      <c r="A10" t="s">
        <v>49</v>
      </c>
      <c r="B10" t="s">
        <v>50</v>
      </c>
      <c r="C10">
        <v>8</v>
      </c>
      <c r="D10" t="s">
        <v>51</v>
      </c>
      <c r="E10" s="4">
        <v>0</v>
      </c>
      <c r="F10" s="3"/>
      <c r="G10" s="3">
        <f t="shared" si="3"/>
        <v>0</v>
      </c>
      <c r="H10" s="3">
        <v>0</v>
      </c>
      <c r="I10" s="3"/>
      <c r="J10" s="2"/>
      <c r="K10" s="2">
        <f t="shared" si="0"/>
        <v>0</v>
      </c>
      <c r="L10" s="2" t="str">
        <f t="shared" si="1"/>
        <v>E</v>
      </c>
      <c r="M10" t="str">
        <f t="shared" si="2"/>
        <v>0</v>
      </c>
    </row>
    <row r="11" spans="1:28" x14ac:dyDescent="0.25">
      <c r="A11" t="s">
        <v>52</v>
      </c>
      <c r="B11" t="s">
        <v>53</v>
      </c>
      <c r="C11">
        <v>8</v>
      </c>
      <c r="D11" t="s">
        <v>54</v>
      </c>
      <c r="E11" s="4">
        <v>0</v>
      </c>
      <c r="F11" s="3"/>
      <c r="G11" s="3">
        <f t="shared" si="3"/>
        <v>15.3576</v>
      </c>
      <c r="H11" s="3">
        <v>76.787999999999997</v>
      </c>
      <c r="I11" s="3"/>
      <c r="J11" s="3"/>
      <c r="K11" s="2">
        <f t="shared" si="0"/>
        <v>4.6100000000000003</v>
      </c>
      <c r="L11" s="2" t="str">
        <f t="shared" si="1"/>
        <v>E</v>
      </c>
      <c r="M11" t="str">
        <f t="shared" si="2"/>
        <v>0</v>
      </c>
      <c r="N11" t="s">
        <v>55</v>
      </c>
      <c r="O11">
        <v>24060122140126</v>
      </c>
      <c r="P11" t="s">
        <v>56</v>
      </c>
      <c r="S11" t="s">
        <v>57</v>
      </c>
      <c r="T11">
        <v>75</v>
      </c>
      <c r="U11">
        <v>77.27</v>
      </c>
      <c r="V11">
        <v>46.67</v>
      </c>
      <c r="W11">
        <v>90</v>
      </c>
      <c r="X11">
        <v>95</v>
      </c>
      <c r="Z11" t="s">
        <v>43</v>
      </c>
      <c r="AA11" t="s">
        <v>43</v>
      </c>
      <c r="AB11">
        <v>1782745205</v>
      </c>
    </row>
    <row r="12" spans="1:28" x14ac:dyDescent="0.25">
      <c r="A12" t="s">
        <v>58</v>
      </c>
      <c r="B12" t="s">
        <v>59</v>
      </c>
      <c r="C12">
        <v>8</v>
      </c>
      <c r="D12" t="s">
        <v>51</v>
      </c>
      <c r="E12" s="4">
        <v>0</v>
      </c>
      <c r="F12" s="3"/>
      <c r="G12" s="3">
        <f t="shared" si="3"/>
        <v>0</v>
      </c>
      <c r="H12" s="3">
        <v>0</v>
      </c>
      <c r="I12" s="3"/>
      <c r="J12" s="2"/>
      <c r="K12" s="2">
        <f t="shared" si="0"/>
        <v>0</v>
      </c>
      <c r="L12" s="2" t="str">
        <f t="shared" si="1"/>
        <v>E</v>
      </c>
      <c r="M12" t="str">
        <f t="shared" si="2"/>
        <v>0</v>
      </c>
    </row>
    <row r="13" spans="1:28" x14ac:dyDescent="0.25">
      <c r="A13" t="s">
        <v>60</v>
      </c>
      <c r="B13" t="s">
        <v>61</v>
      </c>
      <c r="C13">
        <v>6</v>
      </c>
      <c r="D13" t="s">
        <v>39</v>
      </c>
      <c r="E13" s="4">
        <v>0</v>
      </c>
      <c r="F13" s="3"/>
      <c r="G13" s="3">
        <f t="shared" si="3"/>
        <v>14.818000000000001</v>
      </c>
      <c r="H13" s="3">
        <v>74.09</v>
      </c>
      <c r="I13" s="3"/>
      <c r="J13" s="3"/>
      <c r="K13" s="2">
        <f t="shared" si="0"/>
        <v>4.45</v>
      </c>
      <c r="L13" s="2" t="str">
        <f t="shared" si="1"/>
        <v>E</v>
      </c>
      <c r="M13" t="str">
        <f t="shared" si="2"/>
        <v>0</v>
      </c>
      <c r="N13" t="s">
        <v>62</v>
      </c>
      <c r="O13">
        <v>24060123140128</v>
      </c>
      <c r="P13" t="s">
        <v>63</v>
      </c>
      <c r="S13" t="s">
        <v>64</v>
      </c>
      <c r="T13" t="s">
        <v>43</v>
      </c>
      <c r="U13">
        <v>95.45</v>
      </c>
      <c r="V13">
        <v>93.33</v>
      </c>
      <c r="W13">
        <v>96.67</v>
      </c>
      <c r="X13">
        <v>85</v>
      </c>
      <c r="Z13" t="s">
        <v>43</v>
      </c>
      <c r="AA13" t="s">
        <v>43</v>
      </c>
      <c r="AB13">
        <v>1782745205</v>
      </c>
    </row>
    <row r="14" spans="1:28" x14ac:dyDescent="0.25">
      <c r="A14" t="s">
        <v>65</v>
      </c>
      <c r="B14" t="s">
        <v>66</v>
      </c>
      <c r="C14">
        <v>6</v>
      </c>
      <c r="D14" t="s">
        <v>51</v>
      </c>
      <c r="E14" s="4">
        <v>0</v>
      </c>
      <c r="F14" s="3"/>
      <c r="G14" s="3">
        <f t="shared" si="3"/>
        <v>0</v>
      </c>
      <c r="H14" s="3">
        <v>0</v>
      </c>
      <c r="I14" s="3"/>
      <c r="J14" s="2"/>
      <c r="K14" s="2">
        <f t="shared" si="0"/>
        <v>0</v>
      </c>
      <c r="L14" s="2" t="str">
        <f t="shared" si="1"/>
        <v>E</v>
      </c>
      <c r="M14" t="str">
        <f t="shared" si="2"/>
        <v>0</v>
      </c>
    </row>
    <row r="15" spans="1:28" x14ac:dyDescent="0.25">
      <c r="A15" t="s">
        <v>67</v>
      </c>
      <c r="B15" t="s">
        <v>68</v>
      </c>
      <c r="C15">
        <v>6</v>
      </c>
      <c r="D15" t="s">
        <v>39</v>
      </c>
      <c r="E15" s="4">
        <v>96</v>
      </c>
      <c r="F15" s="3"/>
      <c r="G15" s="3">
        <f t="shared" si="3"/>
        <v>93.066400000000016</v>
      </c>
      <c r="H15" s="3">
        <v>81.332000000000008</v>
      </c>
      <c r="I15" s="3"/>
      <c r="J15" s="3"/>
      <c r="K15" s="2">
        <f t="shared" si="0"/>
        <v>18.32</v>
      </c>
      <c r="L15" s="2" t="str">
        <f t="shared" si="1"/>
        <v>E</v>
      </c>
      <c r="M15" t="str">
        <f t="shared" si="2"/>
        <v>0</v>
      </c>
      <c r="N15" t="s">
        <v>69</v>
      </c>
      <c r="O15">
        <v>24060123140172</v>
      </c>
      <c r="P15" t="s">
        <v>70</v>
      </c>
      <c r="S15" t="s">
        <v>71</v>
      </c>
      <c r="T15">
        <v>33.33</v>
      </c>
      <c r="U15">
        <v>83.33</v>
      </c>
      <c r="V15">
        <v>93.33</v>
      </c>
      <c r="W15">
        <v>96.67</v>
      </c>
      <c r="X15">
        <v>100</v>
      </c>
      <c r="Z15">
        <v>1.55</v>
      </c>
      <c r="AA15">
        <v>96</v>
      </c>
      <c r="AB15">
        <v>1782745205</v>
      </c>
    </row>
    <row r="16" spans="1:28" x14ac:dyDescent="0.25">
      <c r="A16" t="s">
        <v>72</v>
      </c>
      <c r="B16" t="s">
        <v>73</v>
      </c>
      <c r="C16">
        <v>6</v>
      </c>
      <c r="D16" t="s">
        <v>39</v>
      </c>
      <c r="E16" s="4">
        <v>0</v>
      </c>
      <c r="F16" s="3"/>
      <c r="G16" s="3">
        <f t="shared" si="3"/>
        <v>17.418000000000003</v>
      </c>
      <c r="H16" s="3">
        <v>87.09</v>
      </c>
      <c r="I16" s="3"/>
      <c r="J16" s="3"/>
      <c r="K16" s="2">
        <f t="shared" si="0"/>
        <v>5.23</v>
      </c>
      <c r="L16" s="2" t="str">
        <f t="shared" si="1"/>
        <v>E</v>
      </c>
      <c r="M16" t="str">
        <f t="shared" si="2"/>
        <v>0</v>
      </c>
      <c r="N16" t="s">
        <v>74</v>
      </c>
      <c r="O16">
        <v>24060123140194</v>
      </c>
      <c r="P16" t="s">
        <v>75</v>
      </c>
      <c r="S16" t="s">
        <v>76</v>
      </c>
      <c r="T16">
        <v>83.33</v>
      </c>
      <c r="U16">
        <v>95.45</v>
      </c>
      <c r="V16">
        <v>76.67</v>
      </c>
      <c r="W16">
        <v>80</v>
      </c>
      <c r="X16">
        <v>100</v>
      </c>
      <c r="Z16" t="s">
        <v>43</v>
      </c>
      <c r="AA16" t="s">
        <v>43</v>
      </c>
      <c r="AB16">
        <v>1782745205</v>
      </c>
    </row>
    <row r="17" spans="1:28" x14ac:dyDescent="0.25">
      <c r="A17" t="s">
        <v>77</v>
      </c>
      <c r="B17" t="s">
        <v>78</v>
      </c>
      <c r="C17">
        <v>6</v>
      </c>
      <c r="D17" t="s">
        <v>39</v>
      </c>
      <c r="E17" s="4">
        <v>92</v>
      </c>
      <c r="F17" s="3"/>
      <c r="G17" s="3">
        <f t="shared" si="3"/>
        <v>89.795600000000007</v>
      </c>
      <c r="H17" s="3">
        <v>80.977999999999994</v>
      </c>
      <c r="I17" s="3"/>
      <c r="J17" s="3"/>
      <c r="K17" s="2">
        <f t="shared" si="0"/>
        <v>17.739999999999998</v>
      </c>
      <c r="L17" s="2" t="str">
        <f t="shared" si="1"/>
        <v>E</v>
      </c>
      <c r="M17" t="str">
        <f t="shared" si="2"/>
        <v>0</v>
      </c>
      <c r="N17" t="s">
        <v>79</v>
      </c>
      <c r="O17">
        <v>24060123140120</v>
      </c>
      <c r="P17" t="s">
        <v>80</v>
      </c>
      <c r="S17" t="s">
        <v>81</v>
      </c>
      <c r="T17">
        <v>83.33</v>
      </c>
      <c r="U17">
        <v>95.45</v>
      </c>
      <c r="V17">
        <v>73.33</v>
      </c>
      <c r="W17">
        <v>97.78</v>
      </c>
      <c r="X17">
        <v>55</v>
      </c>
      <c r="Z17">
        <v>9.69</v>
      </c>
      <c r="AA17">
        <v>92</v>
      </c>
      <c r="AB17">
        <v>1782745205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6E734-434A-49CF-9D3A-17634BC12E2A}">
  <dimension ref="A7:L17"/>
  <sheetViews>
    <sheetView workbookViewId="0">
      <selection activeCell="L8" sqref="L8:L17"/>
    </sheetView>
  </sheetViews>
  <sheetFormatPr defaultRowHeight="15" x14ac:dyDescent="0.25"/>
  <sheetData>
    <row r="7" spans="1:12" x14ac:dyDescent="0.25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</row>
    <row r="8" spans="1:12" x14ac:dyDescent="0.25">
      <c r="A8" t="s">
        <v>40</v>
      </c>
      <c r="B8">
        <v>24060123140161</v>
      </c>
      <c r="C8" t="s">
        <v>41</v>
      </c>
      <c r="F8" t="s">
        <v>42</v>
      </c>
      <c r="G8" t="s">
        <v>43</v>
      </c>
      <c r="H8">
        <v>83.33</v>
      </c>
      <c r="I8">
        <v>86.67</v>
      </c>
      <c r="J8">
        <v>96.67</v>
      </c>
      <c r="K8">
        <v>75</v>
      </c>
      <c r="L8">
        <f>(SUM(G8:K8)/5)</f>
        <v>68.334000000000003</v>
      </c>
    </row>
    <row r="9" spans="1:12" x14ac:dyDescent="0.25">
      <c r="A9" t="s">
        <v>46</v>
      </c>
      <c r="B9">
        <v>24060123140198</v>
      </c>
      <c r="C9" t="s">
        <v>47</v>
      </c>
      <c r="F9" t="s">
        <v>48</v>
      </c>
      <c r="G9" t="s">
        <v>43</v>
      </c>
      <c r="H9">
        <v>95.45</v>
      </c>
      <c r="I9" t="s">
        <v>43</v>
      </c>
      <c r="J9">
        <v>96.67</v>
      </c>
      <c r="K9">
        <v>100</v>
      </c>
      <c r="L9">
        <f t="shared" ref="L9:L17" si="0">(SUM(G9:K9)/5)</f>
        <v>58.423999999999999</v>
      </c>
    </row>
    <row r="10" spans="1:12" x14ac:dyDescent="0.25">
      <c r="L10">
        <f t="shared" si="0"/>
        <v>0</v>
      </c>
    </row>
    <row r="11" spans="1:12" x14ac:dyDescent="0.25">
      <c r="A11" t="s">
        <v>55</v>
      </c>
      <c r="B11">
        <v>24060122140126</v>
      </c>
      <c r="C11" t="s">
        <v>56</v>
      </c>
      <c r="F11" t="s">
        <v>57</v>
      </c>
      <c r="G11">
        <v>75</v>
      </c>
      <c r="H11">
        <v>77.27</v>
      </c>
      <c r="I11">
        <v>46.67</v>
      </c>
      <c r="J11">
        <v>90</v>
      </c>
      <c r="K11">
        <v>95</v>
      </c>
      <c r="L11">
        <f t="shared" si="0"/>
        <v>76.787999999999997</v>
      </c>
    </row>
    <row r="12" spans="1:12" x14ac:dyDescent="0.25">
      <c r="L12">
        <f t="shared" si="0"/>
        <v>0</v>
      </c>
    </row>
    <row r="13" spans="1:12" x14ac:dyDescent="0.25">
      <c r="A13" t="s">
        <v>62</v>
      </c>
      <c r="B13">
        <v>24060123140128</v>
      </c>
      <c r="C13" t="s">
        <v>63</v>
      </c>
      <c r="F13" t="s">
        <v>64</v>
      </c>
      <c r="G13" t="s">
        <v>43</v>
      </c>
      <c r="H13">
        <v>95.45</v>
      </c>
      <c r="I13">
        <v>93.33</v>
      </c>
      <c r="J13">
        <v>96.67</v>
      </c>
      <c r="K13">
        <v>85</v>
      </c>
      <c r="L13">
        <f t="shared" si="0"/>
        <v>74.09</v>
      </c>
    </row>
    <row r="14" spans="1:12" x14ac:dyDescent="0.25">
      <c r="L14">
        <f t="shared" si="0"/>
        <v>0</v>
      </c>
    </row>
    <row r="15" spans="1:12" x14ac:dyDescent="0.25">
      <c r="A15" t="s">
        <v>69</v>
      </c>
      <c r="B15">
        <v>24060123140172</v>
      </c>
      <c r="C15" t="s">
        <v>70</v>
      </c>
      <c r="F15" t="s">
        <v>71</v>
      </c>
      <c r="G15">
        <v>33.33</v>
      </c>
      <c r="H15">
        <v>83.33</v>
      </c>
      <c r="I15">
        <v>93.33</v>
      </c>
      <c r="J15">
        <v>96.67</v>
      </c>
      <c r="K15">
        <v>100</v>
      </c>
      <c r="L15">
        <f t="shared" si="0"/>
        <v>81.332000000000008</v>
      </c>
    </row>
    <row r="16" spans="1:12" x14ac:dyDescent="0.25">
      <c r="A16" t="s">
        <v>74</v>
      </c>
      <c r="B16">
        <v>24060123140194</v>
      </c>
      <c r="C16" t="s">
        <v>75</v>
      </c>
      <c r="F16" t="s">
        <v>76</v>
      </c>
      <c r="G16">
        <v>83.33</v>
      </c>
      <c r="H16">
        <v>95.45</v>
      </c>
      <c r="I16">
        <v>76.67</v>
      </c>
      <c r="J16">
        <v>80</v>
      </c>
      <c r="K16">
        <v>100</v>
      </c>
      <c r="L16">
        <f t="shared" si="0"/>
        <v>87.09</v>
      </c>
    </row>
    <row r="17" spans="1:12" x14ac:dyDescent="0.25">
      <c r="A17" t="s">
        <v>79</v>
      </c>
      <c r="B17">
        <v>24060123140120</v>
      </c>
      <c r="C17" t="s">
        <v>80</v>
      </c>
      <c r="F17" t="s">
        <v>81</v>
      </c>
      <c r="G17">
        <v>83.33</v>
      </c>
      <c r="H17">
        <v>95.45</v>
      </c>
      <c r="I17">
        <v>73.33</v>
      </c>
      <c r="J17">
        <v>97.78</v>
      </c>
      <c r="K17">
        <v>55</v>
      </c>
      <c r="L17">
        <f t="shared" si="0"/>
        <v>80.977999999999994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8"/>
  <sheetViews>
    <sheetView workbookViewId="0"/>
  </sheetViews>
  <sheetFormatPr defaultRowHeight="15" x14ac:dyDescent="0.25"/>
  <sheetData>
    <row r="1" spans="1:14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</row>
    <row r="2" spans="1:14" x14ac:dyDescent="0.25">
      <c r="A2" t="s">
        <v>82</v>
      </c>
      <c r="B2">
        <v>24060122130082</v>
      </c>
      <c r="C2" t="s">
        <v>83</v>
      </c>
      <c r="F2" t="s">
        <v>84</v>
      </c>
      <c r="G2">
        <v>66.67</v>
      </c>
      <c r="H2">
        <v>95.45</v>
      </c>
      <c r="I2">
        <v>80</v>
      </c>
      <c r="J2">
        <v>81.11</v>
      </c>
      <c r="K2">
        <v>100</v>
      </c>
      <c r="L2" t="s">
        <v>43</v>
      </c>
      <c r="M2">
        <v>93</v>
      </c>
      <c r="N2">
        <v>1782745205</v>
      </c>
    </row>
    <row r="3" spans="1:14" x14ac:dyDescent="0.25">
      <c r="A3" t="s">
        <v>55</v>
      </c>
      <c r="B3">
        <v>24060122140126</v>
      </c>
      <c r="C3" t="s">
        <v>56</v>
      </c>
      <c r="F3" t="s">
        <v>57</v>
      </c>
      <c r="G3">
        <v>75</v>
      </c>
      <c r="H3">
        <v>77.27</v>
      </c>
      <c r="I3">
        <v>46.67</v>
      </c>
      <c r="J3">
        <v>90</v>
      </c>
      <c r="K3">
        <v>95</v>
      </c>
      <c r="L3" t="s">
        <v>43</v>
      </c>
      <c r="M3" t="s">
        <v>43</v>
      </c>
      <c r="N3">
        <v>1782745205</v>
      </c>
    </row>
    <row r="4" spans="1:14" x14ac:dyDescent="0.25">
      <c r="A4" t="s">
        <v>85</v>
      </c>
      <c r="B4">
        <v>24060122140162</v>
      </c>
      <c r="C4" t="s">
        <v>86</v>
      </c>
      <c r="F4" t="s">
        <v>87</v>
      </c>
      <c r="G4">
        <v>66.67</v>
      </c>
      <c r="H4">
        <v>90.91</v>
      </c>
      <c r="I4">
        <v>86.67</v>
      </c>
      <c r="J4">
        <v>96.67</v>
      </c>
      <c r="K4">
        <v>95</v>
      </c>
      <c r="L4">
        <v>9.7899999999999991</v>
      </c>
      <c r="M4">
        <v>95</v>
      </c>
      <c r="N4">
        <v>1782745205</v>
      </c>
    </row>
    <row r="5" spans="1:14" x14ac:dyDescent="0.25">
      <c r="A5" t="s">
        <v>79</v>
      </c>
      <c r="B5">
        <v>24060123140120</v>
      </c>
      <c r="C5" t="s">
        <v>80</v>
      </c>
      <c r="F5" t="s">
        <v>81</v>
      </c>
      <c r="G5">
        <v>83.33</v>
      </c>
      <c r="H5">
        <v>95.45</v>
      </c>
      <c r="I5">
        <v>73.33</v>
      </c>
      <c r="J5">
        <v>97.78</v>
      </c>
      <c r="K5">
        <v>55</v>
      </c>
      <c r="L5">
        <v>9.69</v>
      </c>
      <c r="M5">
        <v>92</v>
      </c>
      <c r="N5">
        <v>1782745205</v>
      </c>
    </row>
    <row r="6" spans="1:14" x14ac:dyDescent="0.25">
      <c r="A6" t="s">
        <v>62</v>
      </c>
      <c r="B6">
        <v>24060123140128</v>
      </c>
      <c r="C6" t="s">
        <v>63</v>
      </c>
      <c r="F6" t="s">
        <v>64</v>
      </c>
      <c r="G6" t="s">
        <v>43</v>
      </c>
      <c r="H6">
        <v>95.45</v>
      </c>
      <c r="I6">
        <v>93.33</v>
      </c>
      <c r="J6">
        <v>96.67</v>
      </c>
      <c r="K6">
        <v>85</v>
      </c>
      <c r="L6" t="s">
        <v>43</v>
      </c>
      <c r="M6" t="s">
        <v>43</v>
      </c>
      <c r="N6">
        <v>1782745205</v>
      </c>
    </row>
    <row r="7" spans="1:14" x14ac:dyDescent="0.25">
      <c r="A7" t="s">
        <v>88</v>
      </c>
      <c r="B7">
        <v>24060123140159</v>
      </c>
      <c r="C7" t="s">
        <v>89</v>
      </c>
      <c r="F7" t="s">
        <v>90</v>
      </c>
      <c r="G7">
        <v>75</v>
      </c>
      <c r="H7">
        <v>92.05</v>
      </c>
      <c r="I7">
        <v>53.33</v>
      </c>
      <c r="J7" t="s">
        <v>43</v>
      </c>
      <c r="K7" t="s">
        <v>43</v>
      </c>
      <c r="L7" t="s">
        <v>43</v>
      </c>
      <c r="M7" t="s">
        <v>43</v>
      </c>
      <c r="N7">
        <v>1782745205</v>
      </c>
    </row>
    <row r="8" spans="1:14" x14ac:dyDescent="0.25">
      <c r="A8" t="s">
        <v>40</v>
      </c>
      <c r="B8">
        <v>24060123140161</v>
      </c>
      <c r="C8" t="s">
        <v>41</v>
      </c>
      <c r="F8" t="s">
        <v>42</v>
      </c>
      <c r="G8" t="s">
        <v>43</v>
      </c>
      <c r="H8">
        <v>83.33</v>
      </c>
      <c r="I8">
        <v>86.67</v>
      </c>
      <c r="J8">
        <v>96.67</v>
      </c>
      <c r="K8">
        <v>75</v>
      </c>
      <c r="L8">
        <v>9.59</v>
      </c>
      <c r="M8">
        <v>99</v>
      </c>
      <c r="N8">
        <v>1782745205</v>
      </c>
    </row>
    <row r="9" spans="1:14" x14ac:dyDescent="0.25">
      <c r="A9" t="s">
        <v>69</v>
      </c>
      <c r="B9">
        <v>24060123140172</v>
      </c>
      <c r="C9" t="s">
        <v>70</v>
      </c>
      <c r="F9" t="s">
        <v>71</v>
      </c>
      <c r="G9">
        <v>33.33</v>
      </c>
      <c r="H9">
        <v>83.33</v>
      </c>
      <c r="I9">
        <v>93.33</v>
      </c>
      <c r="J9">
        <v>96.67</v>
      </c>
      <c r="K9">
        <v>100</v>
      </c>
      <c r="L9">
        <v>1.55</v>
      </c>
      <c r="M9">
        <v>96</v>
      </c>
      <c r="N9">
        <v>1782745205</v>
      </c>
    </row>
    <row r="10" spans="1:14" x14ac:dyDescent="0.25">
      <c r="A10" t="s">
        <v>74</v>
      </c>
      <c r="B10">
        <v>24060123140194</v>
      </c>
      <c r="C10" t="s">
        <v>75</v>
      </c>
      <c r="F10" t="s">
        <v>76</v>
      </c>
      <c r="G10">
        <v>83.33</v>
      </c>
      <c r="H10">
        <v>95.45</v>
      </c>
      <c r="I10">
        <v>76.67</v>
      </c>
      <c r="J10">
        <v>80</v>
      </c>
      <c r="K10">
        <v>100</v>
      </c>
      <c r="L10" t="s">
        <v>43</v>
      </c>
      <c r="M10" t="s">
        <v>43</v>
      </c>
      <c r="N10">
        <v>1782745205</v>
      </c>
    </row>
    <row r="11" spans="1:14" x14ac:dyDescent="0.25">
      <c r="A11" t="s">
        <v>46</v>
      </c>
      <c r="B11">
        <v>24060123140198</v>
      </c>
      <c r="C11" t="s">
        <v>47</v>
      </c>
      <c r="F11" t="s">
        <v>48</v>
      </c>
      <c r="G11" t="s">
        <v>43</v>
      </c>
      <c r="H11">
        <v>95.45</v>
      </c>
      <c r="I11" t="s">
        <v>43</v>
      </c>
      <c r="J11">
        <v>96.67</v>
      </c>
      <c r="K11">
        <v>100</v>
      </c>
      <c r="L11" t="s">
        <v>43</v>
      </c>
      <c r="M11" t="s">
        <v>43</v>
      </c>
      <c r="N11">
        <v>1782745205</v>
      </c>
    </row>
    <row r="12" spans="1:14" x14ac:dyDescent="0.25">
      <c r="A12" t="s">
        <v>91</v>
      </c>
      <c r="B12">
        <v>24060124120001</v>
      </c>
      <c r="C12" t="s">
        <v>92</v>
      </c>
      <c r="F12" t="s">
        <v>93</v>
      </c>
      <c r="G12">
        <v>50</v>
      </c>
      <c r="H12">
        <v>72.73</v>
      </c>
      <c r="I12">
        <v>26.67</v>
      </c>
      <c r="J12">
        <v>93.33</v>
      </c>
      <c r="K12">
        <v>95</v>
      </c>
      <c r="L12">
        <v>9.7899999999999991</v>
      </c>
      <c r="M12">
        <v>98</v>
      </c>
      <c r="N12">
        <v>1782745205</v>
      </c>
    </row>
    <row r="13" spans="1:14" x14ac:dyDescent="0.25">
      <c r="A13" t="s">
        <v>94</v>
      </c>
      <c r="B13">
        <v>24060124120002</v>
      </c>
      <c r="C13" t="s">
        <v>95</v>
      </c>
      <c r="F13" t="s">
        <v>96</v>
      </c>
      <c r="G13">
        <v>75</v>
      </c>
      <c r="H13">
        <v>95.45</v>
      </c>
      <c r="I13">
        <v>90</v>
      </c>
      <c r="J13">
        <v>96.67</v>
      </c>
      <c r="K13">
        <v>100</v>
      </c>
      <c r="L13">
        <v>9.59</v>
      </c>
      <c r="M13">
        <v>95.33</v>
      </c>
      <c r="N13">
        <v>1782745205</v>
      </c>
    </row>
    <row r="14" spans="1:14" x14ac:dyDescent="0.25">
      <c r="A14" t="s">
        <v>97</v>
      </c>
      <c r="B14">
        <v>24060124120017</v>
      </c>
      <c r="C14" t="s">
        <v>98</v>
      </c>
      <c r="F14" t="s">
        <v>99</v>
      </c>
      <c r="G14">
        <v>66.67</v>
      </c>
      <c r="H14">
        <v>95.45</v>
      </c>
      <c r="I14">
        <v>93.33</v>
      </c>
      <c r="J14">
        <v>91.67</v>
      </c>
      <c r="K14">
        <v>85</v>
      </c>
      <c r="L14">
        <v>8.66</v>
      </c>
      <c r="M14">
        <v>97</v>
      </c>
      <c r="N14">
        <v>1782745205</v>
      </c>
    </row>
    <row r="15" spans="1:14" x14ac:dyDescent="0.25">
      <c r="A15" t="s">
        <v>100</v>
      </c>
      <c r="B15">
        <v>24060124120025</v>
      </c>
      <c r="C15" t="s">
        <v>101</v>
      </c>
      <c r="F15" t="s">
        <v>102</v>
      </c>
      <c r="G15">
        <v>41.67</v>
      </c>
      <c r="H15">
        <v>68.180000000000007</v>
      </c>
      <c r="I15">
        <v>56.67</v>
      </c>
      <c r="J15">
        <v>90</v>
      </c>
      <c r="K15">
        <v>100</v>
      </c>
      <c r="L15" t="s">
        <v>43</v>
      </c>
      <c r="M15">
        <v>92</v>
      </c>
      <c r="N15">
        <v>1782745205</v>
      </c>
    </row>
    <row r="16" spans="1:14" x14ac:dyDescent="0.25">
      <c r="A16" t="s">
        <v>103</v>
      </c>
      <c r="B16">
        <v>24060124120027</v>
      </c>
      <c r="C16" t="s">
        <v>104</v>
      </c>
      <c r="F16" t="s">
        <v>105</v>
      </c>
      <c r="G16">
        <v>58.33</v>
      </c>
      <c r="H16">
        <v>77.27</v>
      </c>
      <c r="I16">
        <v>90</v>
      </c>
      <c r="J16">
        <v>100</v>
      </c>
      <c r="K16">
        <v>100</v>
      </c>
      <c r="L16" t="s">
        <v>43</v>
      </c>
      <c r="M16">
        <v>96</v>
      </c>
      <c r="N16">
        <v>1782745205</v>
      </c>
    </row>
    <row r="17" spans="1:14" x14ac:dyDescent="0.25">
      <c r="A17" t="s">
        <v>106</v>
      </c>
      <c r="B17">
        <v>24060124120034</v>
      </c>
      <c r="C17" t="s">
        <v>107</v>
      </c>
      <c r="F17" t="s">
        <v>108</v>
      </c>
      <c r="G17">
        <v>50</v>
      </c>
      <c r="H17">
        <v>86.36</v>
      </c>
      <c r="I17">
        <v>63.33</v>
      </c>
      <c r="J17">
        <v>74.44</v>
      </c>
      <c r="K17">
        <v>60</v>
      </c>
      <c r="L17" t="s">
        <v>43</v>
      </c>
      <c r="M17">
        <v>89</v>
      </c>
      <c r="N17">
        <v>1782745205</v>
      </c>
    </row>
    <row r="18" spans="1:14" x14ac:dyDescent="0.25">
      <c r="A18" t="s">
        <v>109</v>
      </c>
      <c r="B18">
        <v>24060124120038</v>
      </c>
      <c r="C18" t="s">
        <v>110</v>
      </c>
      <c r="F18" t="s">
        <v>111</v>
      </c>
      <c r="G18">
        <v>83.33</v>
      </c>
      <c r="H18">
        <v>86.36</v>
      </c>
      <c r="I18">
        <v>96.67</v>
      </c>
      <c r="J18">
        <v>100</v>
      </c>
      <c r="K18">
        <v>95</v>
      </c>
      <c r="L18" t="s">
        <v>43</v>
      </c>
      <c r="M18">
        <v>99</v>
      </c>
      <c r="N18">
        <v>1782745205</v>
      </c>
    </row>
    <row r="19" spans="1:14" x14ac:dyDescent="0.25">
      <c r="A19" t="s">
        <v>112</v>
      </c>
      <c r="B19">
        <v>24060124120041</v>
      </c>
      <c r="C19" t="s">
        <v>113</v>
      </c>
      <c r="F19" t="s">
        <v>114</v>
      </c>
      <c r="G19">
        <v>83.33</v>
      </c>
      <c r="H19">
        <v>83.33</v>
      </c>
      <c r="I19">
        <v>56.67</v>
      </c>
      <c r="J19">
        <v>93.33</v>
      </c>
      <c r="K19">
        <v>95</v>
      </c>
      <c r="L19" t="s">
        <v>43</v>
      </c>
      <c r="M19">
        <v>94.33</v>
      </c>
      <c r="N19">
        <v>1782745205</v>
      </c>
    </row>
    <row r="20" spans="1:14" x14ac:dyDescent="0.25">
      <c r="A20" t="s">
        <v>115</v>
      </c>
      <c r="B20">
        <v>24060124120043</v>
      </c>
      <c r="C20" t="s">
        <v>116</v>
      </c>
      <c r="F20" t="s">
        <v>117</v>
      </c>
      <c r="G20">
        <v>75</v>
      </c>
      <c r="H20">
        <v>90.91</v>
      </c>
      <c r="I20">
        <v>73.33</v>
      </c>
      <c r="J20">
        <v>90</v>
      </c>
      <c r="K20">
        <v>90</v>
      </c>
      <c r="L20">
        <v>8.9700000000000006</v>
      </c>
      <c r="M20">
        <v>95</v>
      </c>
      <c r="N20">
        <v>1782745205</v>
      </c>
    </row>
    <row r="21" spans="1:14" x14ac:dyDescent="0.25">
      <c r="A21" t="s">
        <v>118</v>
      </c>
      <c r="B21">
        <v>24060124120044</v>
      </c>
      <c r="C21" t="s">
        <v>119</v>
      </c>
      <c r="F21" t="s">
        <v>120</v>
      </c>
      <c r="G21">
        <v>66.67</v>
      </c>
      <c r="H21">
        <v>92.42</v>
      </c>
      <c r="I21">
        <v>63.33</v>
      </c>
      <c r="J21">
        <v>93.33</v>
      </c>
      <c r="K21">
        <v>80</v>
      </c>
      <c r="L21">
        <v>9.48</v>
      </c>
      <c r="M21">
        <v>100</v>
      </c>
      <c r="N21">
        <v>1782745205</v>
      </c>
    </row>
    <row r="22" spans="1:14" x14ac:dyDescent="0.25">
      <c r="A22" t="s">
        <v>121</v>
      </c>
      <c r="B22">
        <v>24060124120050</v>
      </c>
      <c r="C22" t="s">
        <v>122</v>
      </c>
      <c r="F22" t="s">
        <v>123</v>
      </c>
      <c r="G22">
        <v>83.33</v>
      </c>
      <c r="H22">
        <v>72.73</v>
      </c>
      <c r="I22">
        <v>90</v>
      </c>
      <c r="J22">
        <v>100</v>
      </c>
      <c r="K22">
        <v>90</v>
      </c>
      <c r="L22">
        <v>9.59</v>
      </c>
      <c r="M22">
        <v>99</v>
      </c>
      <c r="N22">
        <v>1782745205</v>
      </c>
    </row>
    <row r="23" spans="1:14" x14ac:dyDescent="0.25">
      <c r="A23" t="s">
        <v>124</v>
      </c>
      <c r="B23">
        <v>24060124130071</v>
      </c>
      <c r="C23" t="s">
        <v>125</v>
      </c>
      <c r="F23" t="s">
        <v>126</v>
      </c>
      <c r="G23">
        <v>75</v>
      </c>
      <c r="H23">
        <v>92.42</v>
      </c>
      <c r="I23">
        <v>80</v>
      </c>
      <c r="J23">
        <v>96.67</v>
      </c>
      <c r="K23">
        <v>85</v>
      </c>
      <c r="L23">
        <v>8.7799999999999994</v>
      </c>
      <c r="M23">
        <v>98</v>
      </c>
      <c r="N23">
        <v>1782745205</v>
      </c>
    </row>
    <row r="24" spans="1:14" x14ac:dyDescent="0.25">
      <c r="A24" t="s">
        <v>127</v>
      </c>
      <c r="B24">
        <v>24060124130077</v>
      </c>
      <c r="C24" t="s">
        <v>128</v>
      </c>
      <c r="F24" t="s">
        <v>129</v>
      </c>
      <c r="G24">
        <v>75</v>
      </c>
      <c r="H24">
        <v>78.790000000000006</v>
      </c>
      <c r="I24">
        <v>66.67</v>
      </c>
      <c r="J24">
        <v>96.67</v>
      </c>
      <c r="K24">
        <v>85</v>
      </c>
      <c r="L24">
        <v>8.3800000000000008</v>
      </c>
      <c r="M24">
        <v>84</v>
      </c>
      <c r="N24">
        <v>1782745205</v>
      </c>
    </row>
    <row r="25" spans="1:14" x14ac:dyDescent="0.25">
      <c r="A25" t="s">
        <v>130</v>
      </c>
      <c r="B25">
        <v>24060124130078</v>
      </c>
      <c r="C25" t="s">
        <v>131</v>
      </c>
      <c r="F25" t="s">
        <v>132</v>
      </c>
      <c r="G25">
        <v>66.67</v>
      </c>
      <c r="H25">
        <v>95.45</v>
      </c>
      <c r="I25">
        <v>56.67</v>
      </c>
      <c r="J25">
        <v>93.33</v>
      </c>
      <c r="K25">
        <v>95</v>
      </c>
      <c r="L25">
        <v>6.29</v>
      </c>
      <c r="M25">
        <v>93</v>
      </c>
      <c r="N25">
        <v>1782745205</v>
      </c>
    </row>
    <row r="26" spans="1:14" x14ac:dyDescent="0.25">
      <c r="A26" t="s">
        <v>133</v>
      </c>
      <c r="B26">
        <v>24060124130081</v>
      </c>
      <c r="C26" t="s">
        <v>134</v>
      </c>
      <c r="F26" t="s">
        <v>135</v>
      </c>
      <c r="G26">
        <v>66.67</v>
      </c>
      <c r="H26">
        <v>87.88</v>
      </c>
      <c r="I26">
        <v>80</v>
      </c>
      <c r="J26">
        <v>93.33</v>
      </c>
      <c r="K26">
        <v>100</v>
      </c>
      <c r="L26">
        <v>9.3800000000000008</v>
      </c>
      <c r="M26">
        <v>96</v>
      </c>
      <c r="N26">
        <v>1782745205</v>
      </c>
    </row>
    <row r="27" spans="1:14" x14ac:dyDescent="0.25">
      <c r="A27" t="s">
        <v>136</v>
      </c>
      <c r="B27">
        <v>24060124130085</v>
      </c>
      <c r="C27" t="s">
        <v>137</v>
      </c>
      <c r="F27" t="s">
        <v>138</v>
      </c>
      <c r="G27" t="s">
        <v>43</v>
      </c>
      <c r="H27">
        <v>86.36</v>
      </c>
      <c r="I27">
        <v>56.67</v>
      </c>
      <c r="J27">
        <v>94.44</v>
      </c>
      <c r="K27">
        <v>85</v>
      </c>
      <c r="L27" t="s">
        <v>43</v>
      </c>
      <c r="M27">
        <v>93</v>
      </c>
      <c r="N27">
        <v>1782745205</v>
      </c>
    </row>
    <row r="28" spans="1:14" x14ac:dyDescent="0.25">
      <c r="A28" t="s">
        <v>139</v>
      </c>
      <c r="B28">
        <v>24060124130094</v>
      </c>
      <c r="C28" t="s">
        <v>140</v>
      </c>
      <c r="F28" t="s">
        <v>141</v>
      </c>
      <c r="G28">
        <v>66.67</v>
      </c>
      <c r="H28">
        <v>95.45</v>
      </c>
      <c r="I28">
        <v>60</v>
      </c>
      <c r="J28">
        <v>96.67</v>
      </c>
      <c r="K28">
        <v>95</v>
      </c>
      <c r="L28" t="s">
        <v>43</v>
      </c>
      <c r="M28">
        <v>94</v>
      </c>
      <c r="N28">
        <v>1782745205</v>
      </c>
    </row>
    <row r="29" spans="1:14" x14ac:dyDescent="0.25">
      <c r="A29" t="s">
        <v>142</v>
      </c>
      <c r="B29">
        <v>24060124130101</v>
      </c>
      <c r="C29" t="s">
        <v>143</v>
      </c>
      <c r="F29" t="s">
        <v>144</v>
      </c>
      <c r="G29">
        <v>83.33</v>
      </c>
      <c r="H29">
        <v>95.45</v>
      </c>
      <c r="I29">
        <v>66.67</v>
      </c>
      <c r="J29">
        <v>90</v>
      </c>
      <c r="K29">
        <v>100</v>
      </c>
      <c r="L29">
        <v>9.7899999999999991</v>
      </c>
      <c r="M29">
        <v>100</v>
      </c>
      <c r="N29">
        <v>1782745205</v>
      </c>
    </row>
    <row r="30" spans="1:14" x14ac:dyDescent="0.25">
      <c r="A30" t="s">
        <v>145</v>
      </c>
      <c r="B30">
        <v>24060124130105</v>
      </c>
      <c r="C30" t="s">
        <v>146</v>
      </c>
      <c r="F30" t="s">
        <v>147</v>
      </c>
      <c r="G30" t="s">
        <v>43</v>
      </c>
      <c r="H30" t="s">
        <v>43</v>
      </c>
      <c r="I30" t="s">
        <v>43</v>
      </c>
      <c r="J30" t="s">
        <v>43</v>
      </c>
      <c r="K30" t="s">
        <v>43</v>
      </c>
      <c r="L30" t="s">
        <v>43</v>
      </c>
      <c r="M30" t="s">
        <v>43</v>
      </c>
      <c r="N30">
        <v>1782745205</v>
      </c>
    </row>
    <row r="31" spans="1:14" x14ac:dyDescent="0.25">
      <c r="A31" t="s">
        <v>148</v>
      </c>
      <c r="B31">
        <v>24060124130106</v>
      </c>
      <c r="C31" t="s">
        <v>149</v>
      </c>
      <c r="F31" t="s">
        <v>150</v>
      </c>
      <c r="G31">
        <v>75</v>
      </c>
      <c r="H31">
        <v>86.36</v>
      </c>
      <c r="I31">
        <v>76.67</v>
      </c>
      <c r="J31">
        <v>89.44</v>
      </c>
      <c r="K31">
        <v>100</v>
      </c>
      <c r="L31" t="s">
        <v>43</v>
      </c>
      <c r="M31">
        <v>89.33</v>
      </c>
      <c r="N31">
        <v>1782745205</v>
      </c>
    </row>
    <row r="32" spans="1:14" x14ac:dyDescent="0.25">
      <c r="A32" t="s">
        <v>151</v>
      </c>
      <c r="B32">
        <v>24060124130121</v>
      </c>
      <c r="C32" t="s">
        <v>152</v>
      </c>
      <c r="F32" t="s">
        <v>153</v>
      </c>
      <c r="G32">
        <v>75</v>
      </c>
      <c r="H32">
        <v>72.73</v>
      </c>
      <c r="I32">
        <v>70</v>
      </c>
      <c r="J32">
        <v>90</v>
      </c>
      <c r="K32">
        <v>100</v>
      </c>
      <c r="L32" t="s">
        <v>43</v>
      </c>
      <c r="M32">
        <v>88</v>
      </c>
      <c r="N32">
        <v>1782745205</v>
      </c>
    </row>
    <row r="33" spans="1:14" x14ac:dyDescent="0.25">
      <c r="A33" t="s">
        <v>154</v>
      </c>
      <c r="B33">
        <v>24060124140128</v>
      </c>
      <c r="C33" t="s">
        <v>155</v>
      </c>
      <c r="F33" t="s">
        <v>156</v>
      </c>
      <c r="G33">
        <v>66.67</v>
      </c>
      <c r="H33">
        <v>83.33</v>
      </c>
      <c r="I33">
        <v>90</v>
      </c>
      <c r="J33">
        <v>86.67</v>
      </c>
      <c r="K33">
        <v>100</v>
      </c>
      <c r="L33" t="s">
        <v>43</v>
      </c>
      <c r="M33">
        <v>89</v>
      </c>
      <c r="N33">
        <v>1782745205</v>
      </c>
    </row>
    <row r="34" spans="1:14" x14ac:dyDescent="0.25">
      <c r="A34" t="s">
        <v>157</v>
      </c>
      <c r="B34">
        <v>24060124140132</v>
      </c>
      <c r="C34" t="s">
        <v>158</v>
      </c>
      <c r="F34" t="s">
        <v>159</v>
      </c>
      <c r="G34">
        <v>83.33</v>
      </c>
      <c r="H34">
        <v>87.88</v>
      </c>
      <c r="I34">
        <v>70</v>
      </c>
      <c r="J34">
        <v>93.33</v>
      </c>
      <c r="K34">
        <v>95</v>
      </c>
      <c r="L34">
        <v>9.2799999999999994</v>
      </c>
      <c r="M34">
        <v>90</v>
      </c>
      <c r="N34">
        <v>1782745205</v>
      </c>
    </row>
    <row r="35" spans="1:14" x14ac:dyDescent="0.25">
      <c r="A35" t="s">
        <v>160</v>
      </c>
      <c r="B35">
        <v>24060124140140</v>
      </c>
      <c r="C35" t="s">
        <v>161</v>
      </c>
      <c r="F35" t="s">
        <v>162</v>
      </c>
      <c r="G35">
        <v>75</v>
      </c>
      <c r="H35">
        <v>90.91</v>
      </c>
      <c r="I35">
        <v>70</v>
      </c>
      <c r="J35">
        <v>83.33</v>
      </c>
      <c r="K35">
        <v>90</v>
      </c>
      <c r="L35">
        <v>8.69</v>
      </c>
      <c r="M35">
        <v>86</v>
      </c>
      <c r="N35">
        <v>1782745205</v>
      </c>
    </row>
    <row r="36" spans="1:14" x14ac:dyDescent="0.25">
      <c r="A36" t="s">
        <v>163</v>
      </c>
      <c r="B36">
        <v>24060124140141</v>
      </c>
      <c r="C36" t="s">
        <v>164</v>
      </c>
      <c r="F36" t="s">
        <v>165</v>
      </c>
      <c r="G36">
        <v>58.33</v>
      </c>
      <c r="H36">
        <v>84.09</v>
      </c>
      <c r="I36">
        <v>63.33</v>
      </c>
      <c r="J36">
        <v>80</v>
      </c>
      <c r="K36">
        <v>90</v>
      </c>
      <c r="L36" t="s">
        <v>43</v>
      </c>
      <c r="M36">
        <v>69</v>
      </c>
      <c r="N36">
        <v>1782745205</v>
      </c>
    </row>
    <row r="37" spans="1:14" x14ac:dyDescent="0.25">
      <c r="A37" t="s">
        <v>166</v>
      </c>
      <c r="B37">
        <v>24060124140146</v>
      </c>
      <c r="C37" t="s">
        <v>167</v>
      </c>
      <c r="F37" t="s">
        <v>168</v>
      </c>
      <c r="G37">
        <v>50</v>
      </c>
      <c r="H37">
        <v>54.55</v>
      </c>
      <c r="I37">
        <v>63.33</v>
      </c>
      <c r="J37">
        <v>93.33</v>
      </c>
      <c r="K37">
        <v>90</v>
      </c>
      <c r="L37" t="s">
        <v>43</v>
      </c>
      <c r="M37">
        <v>92</v>
      </c>
      <c r="N37">
        <v>1782745205</v>
      </c>
    </row>
    <row r="38" spans="1:14" x14ac:dyDescent="0.25">
      <c r="A38" t="s">
        <v>169</v>
      </c>
      <c r="B38">
        <v>24060124140152</v>
      </c>
      <c r="C38" t="s">
        <v>170</v>
      </c>
      <c r="F38" t="s">
        <v>171</v>
      </c>
      <c r="G38">
        <v>58.33</v>
      </c>
      <c r="H38">
        <v>78.790000000000006</v>
      </c>
      <c r="I38">
        <v>96.67</v>
      </c>
      <c r="J38">
        <v>81.67</v>
      </c>
      <c r="K38">
        <v>90</v>
      </c>
      <c r="L38">
        <v>9.24</v>
      </c>
      <c r="M38">
        <v>87.33</v>
      </c>
      <c r="N38">
        <v>1782745205</v>
      </c>
    </row>
    <row r="39" spans="1:14" x14ac:dyDescent="0.25">
      <c r="A39" t="s">
        <v>172</v>
      </c>
      <c r="B39">
        <v>24060124140153</v>
      </c>
      <c r="C39" t="s">
        <v>173</v>
      </c>
      <c r="F39" t="s">
        <v>174</v>
      </c>
      <c r="G39">
        <v>66.67</v>
      </c>
      <c r="H39">
        <v>95.45</v>
      </c>
      <c r="I39">
        <v>86.67</v>
      </c>
      <c r="J39">
        <v>96.67</v>
      </c>
      <c r="K39">
        <v>95</v>
      </c>
      <c r="L39" t="s">
        <v>43</v>
      </c>
      <c r="M39">
        <v>92</v>
      </c>
      <c r="N39">
        <v>1782745205</v>
      </c>
    </row>
    <row r="40" spans="1:14" x14ac:dyDescent="0.25">
      <c r="A40" t="s">
        <v>175</v>
      </c>
      <c r="B40">
        <v>24060124140155</v>
      </c>
      <c r="C40" t="s">
        <v>176</v>
      </c>
      <c r="F40" t="s">
        <v>177</v>
      </c>
      <c r="G40" t="s">
        <v>43</v>
      </c>
      <c r="H40">
        <v>77.27</v>
      </c>
      <c r="I40">
        <v>86.67</v>
      </c>
      <c r="J40">
        <v>86.67</v>
      </c>
      <c r="K40">
        <v>90</v>
      </c>
      <c r="L40" t="s">
        <v>43</v>
      </c>
      <c r="M40">
        <v>92</v>
      </c>
      <c r="N40">
        <v>1782745205</v>
      </c>
    </row>
    <row r="41" spans="1:14" x14ac:dyDescent="0.25">
      <c r="A41" t="s">
        <v>178</v>
      </c>
      <c r="B41">
        <v>24060124140157</v>
      </c>
      <c r="C41" t="s">
        <v>179</v>
      </c>
      <c r="F41" t="s">
        <v>180</v>
      </c>
      <c r="G41">
        <v>75</v>
      </c>
      <c r="H41">
        <v>90.91</v>
      </c>
      <c r="I41">
        <v>63.33</v>
      </c>
      <c r="J41">
        <v>93.33</v>
      </c>
      <c r="K41">
        <v>95</v>
      </c>
      <c r="L41">
        <v>9.48</v>
      </c>
      <c r="M41">
        <v>96</v>
      </c>
      <c r="N41">
        <v>1782745205</v>
      </c>
    </row>
    <row r="42" spans="1:14" x14ac:dyDescent="0.25">
      <c r="A42" t="s">
        <v>181</v>
      </c>
      <c r="B42">
        <v>24060124140162</v>
      </c>
      <c r="C42" t="s">
        <v>182</v>
      </c>
      <c r="F42" t="s">
        <v>183</v>
      </c>
      <c r="G42">
        <v>50</v>
      </c>
      <c r="H42">
        <v>95.45</v>
      </c>
      <c r="I42">
        <v>83.33</v>
      </c>
      <c r="J42" t="s">
        <v>43</v>
      </c>
      <c r="K42">
        <v>100</v>
      </c>
      <c r="L42">
        <v>7.84</v>
      </c>
      <c r="M42">
        <v>87</v>
      </c>
      <c r="N42">
        <v>1782745205</v>
      </c>
    </row>
    <row r="43" spans="1:14" x14ac:dyDescent="0.25">
      <c r="A43" t="s">
        <v>184</v>
      </c>
      <c r="B43">
        <v>24060124140178</v>
      </c>
      <c r="C43" t="s">
        <v>185</v>
      </c>
      <c r="F43" t="s">
        <v>186</v>
      </c>
      <c r="G43">
        <v>58.33</v>
      </c>
      <c r="H43">
        <v>86.36</v>
      </c>
      <c r="I43">
        <v>86.67</v>
      </c>
      <c r="J43">
        <v>100</v>
      </c>
      <c r="K43">
        <v>85</v>
      </c>
      <c r="L43" t="s">
        <v>43</v>
      </c>
      <c r="M43">
        <v>96</v>
      </c>
      <c r="N43">
        <v>1782745205</v>
      </c>
    </row>
    <row r="44" spans="1:14" x14ac:dyDescent="0.25">
      <c r="A44" t="s">
        <v>187</v>
      </c>
      <c r="B44">
        <v>24060124140179</v>
      </c>
      <c r="C44" t="s">
        <v>188</v>
      </c>
      <c r="F44" t="s">
        <v>189</v>
      </c>
      <c r="G44">
        <v>83.33</v>
      </c>
      <c r="H44">
        <v>93.94</v>
      </c>
      <c r="I44">
        <v>96.67</v>
      </c>
      <c r="J44">
        <v>96.67</v>
      </c>
      <c r="K44">
        <v>100</v>
      </c>
      <c r="L44">
        <v>0.21</v>
      </c>
      <c r="M44">
        <v>95</v>
      </c>
      <c r="N44">
        <v>1782745205</v>
      </c>
    </row>
    <row r="45" spans="1:14" x14ac:dyDescent="0.25">
      <c r="A45" t="s">
        <v>190</v>
      </c>
      <c r="B45">
        <v>24060124140185</v>
      </c>
      <c r="C45" t="s">
        <v>191</v>
      </c>
      <c r="F45" t="s">
        <v>192</v>
      </c>
      <c r="G45">
        <v>66.67</v>
      </c>
      <c r="H45">
        <v>51.52</v>
      </c>
      <c r="I45">
        <v>63.33</v>
      </c>
      <c r="J45">
        <v>88.61</v>
      </c>
      <c r="K45">
        <v>95</v>
      </c>
      <c r="L45" t="s">
        <v>43</v>
      </c>
      <c r="M45">
        <v>94</v>
      </c>
      <c r="N45">
        <v>1782745205</v>
      </c>
    </row>
    <row r="46" spans="1:14" x14ac:dyDescent="0.25">
      <c r="A46" t="s">
        <v>193</v>
      </c>
      <c r="B46">
        <v>24060124140187</v>
      </c>
      <c r="C46" t="s">
        <v>194</v>
      </c>
      <c r="F46" t="s">
        <v>195</v>
      </c>
      <c r="G46">
        <v>66.67</v>
      </c>
      <c r="H46">
        <v>95.45</v>
      </c>
      <c r="I46">
        <v>33.33</v>
      </c>
      <c r="J46" t="s">
        <v>43</v>
      </c>
      <c r="K46">
        <v>70</v>
      </c>
      <c r="L46" t="s">
        <v>43</v>
      </c>
      <c r="M46">
        <v>87.67</v>
      </c>
      <c r="N46">
        <v>1782745205</v>
      </c>
    </row>
    <row r="47" spans="1:14" x14ac:dyDescent="0.25">
      <c r="A47" t="s">
        <v>196</v>
      </c>
      <c r="B47">
        <v>24060124140191</v>
      </c>
      <c r="C47" t="s">
        <v>197</v>
      </c>
      <c r="F47" t="s">
        <v>198</v>
      </c>
      <c r="G47">
        <v>41.67</v>
      </c>
      <c r="H47">
        <v>50</v>
      </c>
      <c r="I47">
        <v>70</v>
      </c>
      <c r="J47">
        <v>80</v>
      </c>
      <c r="K47">
        <v>75</v>
      </c>
      <c r="L47" t="s">
        <v>43</v>
      </c>
      <c r="M47">
        <v>81</v>
      </c>
      <c r="N47">
        <v>1782745205</v>
      </c>
    </row>
    <row r="48" spans="1:14" x14ac:dyDescent="0.25">
      <c r="A48" t="s">
        <v>199</v>
      </c>
      <c r="B48">
        <v>24060124140193</v>
      </c>
      <c r="C48" t="s">
        <v>200</v>
      </c>
      <c r="F48" t="s">
        <v>201</v>
      </c>
      <c r="G48">
        <v>75</v>
      </c>
      <c r="H48">
        <v>78.790000000000006</v>
      </c>
      <c r="I48">
        <v>50</v>
      </c>
      <c r="J48">
        <v>90</v>
      </c>
      <c r="K48">
        <v>95</v>
      </c>
      <c r="L48">
        <v>5.82</v>
      </c>
      <c r="M48">
        <v>93</v>
      </c>
      <c r="N48">
        <v>1782745205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5" x14ac:dyDescent="0.25"/>
  <sheetData>
    <row r="1" spans="1:2" x14ac:dyDescent="0.25">
      <c r="A1" t="s">
        <v>202</v>
      </c>
      <c r="B1" t="s">
        <v>203</v>
      </c>
    </row>
    <row r="2" spans="1:2" x14ac:dyDescent="0.25">
      <c r="A2" t="s">
        <v>204</v>
      </c>
      <c r="B2">
        <v>10</v>
      </c>
    </row>
    <row r="3" spans="1:2" x14ac:dyDescent="0.25">
      <c r="A3" t="s">
        <v>205</v>
      </c>
      <c r="B3">
        <v>7</v>
      </c>
    </row>
    <row r="4" spans="1:2" x14ac:dyDescent="0.25">
      <c r="A4" t="s">
        <v>206</v>
      </c>
      <c r="B4">
        <v>3</v>
      </c>
    </row>
    <row r="5" spans="1:2" x14ac:dyDescent="0.25">
      <c r="A5" t="s">
        <v>207</v>
      </c>
      <c r="B5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Worksheet</vt:lpstr>
      <vt:lpstr>Sheet1</vt:lpstr>
      <vt:lpstr>Data_Gabungan</vt:lpstr>
      <vt:lpstr>Ringkasan_Match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SIAP UNDIP</dc:creator>
  <cp:keywords>office 2007 openxml php</cp:keywords>
  <dc:description>Test document for Office 2007 XLSX, generated using PHP classes.</dc:description>
  <cp:lastModifiedBy>HP OHS2021</cp:lastModifiedBy>
  <dcterms:created xsi:type="dcterms:W3CDTF">2026-06-29T22:22:00Z</dcterms:created>
  <dcterms:modified xsi:type="dcterms:W3CDTF">2026-06-29T15:28:04Z</dcterms:modified>
  <cp:category>Test result file</cp:category>
</cp:coreProperties>
</file>