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Worksheet" sheetId="1" state="visible" r:id="rId1"/>
    <sheet name="Sheet1" sheetId="2" state="visible" r:id="rId2"/>
    <sheet name="Data_Gabungan" sheetId="3" state="visible" r:id="rId3"/>
    <sheet name="Ringkasan_Match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color rgb="FF000000"/>
      <sz val="11"/>
    </font>
    <font>
      <name val="Calibri"/>
      <color rgb="FFFFFFFF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2" fontId="0" fillId="0" borderId="0" applyProtection="1" pivotButton="0" quotePrefix="0" xfId="0">
      <protection locked="0" hidden="0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42"/>
  <sheetViews>
    <sheetView tabSelected="1" topLeftCell="H1" workbookViewId="0">
      <selection activeCell="G8" sqref="G8:G42"/>
    </sheetView>
  </sheetViews>
  <sheetFormatPr baseColWidth="8" defaultRowHeight="15"/>
  <cols>
    <col width="17.5703125" bestFit="1" customWidth="1" min="1" max="1"/>
    <col width="55.28515625" bestFit="1" customWidth="1" min="2" max="2"/>
    <col width="10.5703125" bestFit="1" customWidth="1" min="3" max="3"/>
    <col width="8.140625" bestFit="1" customWidth="1" min="4" max="4"/>
    <col width="57.7109375" bestFit="1" customWidth="1" min="5" max="5"/>
    <col width="45.85546875" bestFit="1" customWidth="1" min="6" max="6"/>
    <col width="36.42578125" bestFit="1" customWidth="1" min="7" max="7"/>
    <col width="35.28515625" bestFit="1" customWidth="1" min="8" max="9"/>
    <col width="31.7109375" bestFit="1" customWidth="1" min="10" max="10"/>
    <col width="37.7109375" bestFit="1" customWidth="1" min="11" max="11"/>
    <col width="35.28515625" bestFit="1" customWidth="1" min="12" max="12"/>
    <col width="21.140625" bestFit="1" customWidth="1" min="13" max="13"/>
  </cols>
  <sheetData>
    <row r="1">
      <c r="A1" t="inlineStr">
        <is>
          <t>Mata Kuliah</t>
        </is>
      </c>
      <c r="B1" t="inlineStr">
        <is>
          <t>: MIK1624404 - Analisis dan Strategi Algoritma</t>
        </is>
      </c>
    </row>
    <row r="2">
      <c r="A2" t="inlineStr">
        <is>
          <t>Tahun Ajaran</t>
        </is>
      </c>
      <c r="B2" t="inlineStr">
        <is>
          <t>: 2025</t>
        </is>
      </c>
      <c r="I2" s="1" t="inlineStr">
        <is>
          <t>NDk5NDg1</t>
        </is>
      </c>
    </row>
    <row r="3">
      <c r="A3" t="inlineStr">
        <is>
          <t>Semester</t>
        </is>
      </c>
      <c r="B3" t="inlineStr">
        <is>
          <t>: Genap</t>
        </is>
      </c>
    </row>
    <row r="4">
      <c r="A4" t="inlineStr">
        <is>
          <t>Kelas</t>
        </is>
      </c>
      <c r="B4" t="inlineStr">
        <is>
          <t>: E</t>
        </is>
      </c>
    </row>
    <row r="5">
      <c r="A5" t="inlineStr">
        <is>
          <t>Prodi</t>
        </is>
      </c>
      <c r="B5" t="inlineStr">
        <is>
          <t>: S1-TEKNIK INFORMATIKA</t>
        </is>
      </c>
    </row>
    <row r="7">
      <c r="A7" t="inlineStr">
        <is>
          <t>NIM</t>
        </is>
      </c>
      <c r="B7" t="inlineStr">
        <is>
          <t>Nama Mahasiswa</t>
        </is>
      </c>
      <c r="C7" t="inlineStr">
        <is>
          <t>Semester</t>
        </is>
      </c>
      <c r="D7" t="inlineStr">
        <is>
          <t>Status</t>
        </is>
      </c>
      <c r="E7" t="inlineStr">
        <is>
          <t>Nilai Aktivitas Partisipatif (0,00-100,00) (10%)</t>
        </is>
      </c>
      <c r="F7" t="inlineStr">
        <is>
          <t>Nilai Hasil Proyek (0,00-100,00) (40%)</t>
        </is>
      </c>
      <c r="G7" t="inlineStr">
        <is>
          <t>Nilai Tugas (0,00-100,00) (5%)</t>
        </is>
      </c>
      <c r="H7" t="inlineStr">
        <is>
          <t>Nilai Quiz (0,00-100,00) (5%)</t>
        </is>
      </c>
      <c r="I7" t="inlineStr">
        <is>
          <t>Nilai UTS (0,00-100,00) (20%)</t>
        </is>
      </c>
      <c r="J7" t="inlineStr">
        <is>
          <t>Nilai UAS (0,00-100) (20%)</t>
        </is>
      </c>
      <c r="K7" t="inlineStr">
        <is>
          <t>Nilai Akhir Angka (0,00-100,00)</t>
        </is>
      </c>
      <c r="L7" t="inlineStr">
        <is>
          <t>Nilai Akhir Huruf (A/B/C/D/E)</t>
        </is>
      </c>
      <c r="M7" t="inlineStr">
        <is>
          <t>Nilai Bobot (0-4)</t>
        </is>
      </c>
      <c r="N7" t="inlineStr">
        <is>
          <t>First name</t>
        </is>
      </c>
      <c r="O7" t="inlineStr">
        <is>
          <t>Last name</t>
        </is>
      </c>
      <c r="P7" t="inlineStr">
        <is>
          <t>ID number</t>
        </is>
      </c>
      <c r="Q7" t="inlineStr">
        <is>
          <t>Institution</t>
        </is>
      </c>
      <c r="R7" t="inlineStr">
        <is>
          <t>Department</t>
        </is>
      </c>
      <c r="S7" t="inlineStr">
        <is>
          <t>Email address</t>
        </is>
      </c>
      <c r="T7" t="inlineStr">
        <is>
          <t>Quiz: Quis 1 (Real)</t>
        </is>
      </c>
      <c r="U7" t="inlineStr">
        <is>
          <t>Quiz: quis 2 (Real)</t>
        </is>
      </c>
      <c r="V7" t="inlineStr">
        <is>
          <t>Quiz: Quis 3 (Real)</t>
        </is>
      </c>
      <c r="W7" t="inlineStr">
        <is>
          <t>Quiz: Quis 3 (bonus-testing) (Real)</t>
        </is>
      </c>
      <c r="X7" t="inlineStr">
        <is>
          <t>Quiz: quis 4 (Real)</t>
        </is>
      </c>
      <c r="Y7" t="inlineStr">
        <is>
          <t>Quiz: quis 5 (Real)</t>
        </is>
      </c>
      <c r="Z7" t="inlineStr">
        <is>
          <t>Quiz: Latihan UTS (Real)</t>
        </is>
      </c>
      <c r="AA7" t="inlineStr">
        <is>
          <t>Quiz: UTS (Real)</t>
        </is>
      </c>
      <c r="AB7" t="inlineStr">
        <is>
          <t>Last downloaded from this course</t>
        </is>
      </c>
    </row>
    <row r="8">
      <c r="A8" t="inlineStr">
        <is>
          <t>24060124130086</t>
        </is>
      </c>
      <c r="B8" t="inlineStr">
        <is>
          <t>ARON SORIMUDA JOHANES PASARIBU</t>
        </is>
      </c>
      <c r="C8" t="n">
        <v>4</v>
      </c>
      <c r="D8" t="inlineStr">
        <is>
          <t>BARU</t>
        </is>
      </c>
      <c r="E8" s="3" t="n">
        <v>87</v>
      </c>
      <c r="F8" s="3" t="n"/>
      <c r="G8" s="3">
        <f>(E8*0.8)+(H8*0.2)</f>
        <v/>
      </c>
      <c r="H8" s="3" t="n">
        <v>76.42400000000001</v>
      </c>
      <c r="I8" s="3" t="n">
        <v>81</v>
      </c>
      <c r="J8" s="3" t="n"/>
      <c r="K8" s="2">
        <f>ROUND( ((E8*10+F8*40+G8*5+H8*5+I8*20+J8*20) / 100), 2)</f>
        <v/>
      </c>
      <c r="L8" s="2">
        <f>IF(AND(K8&gt;=85, K8&lt;=100), "A", IF(AND(K8&gt;=80, K8&lt;=84.999999999), "AB", IF(AND(K8&gt;=75, K8&lt;=79.999999999), "B", IF(AND(K8&gt;=70, K8&lt;=74.999999999), "BC", IF(AND(K8&gt;=60, K8&lt;=69.9999999999), "C", IF(AND(K8&gt;=40, K8&lt;=59.999999999), "D", IF(AND(K8&gt;=0, K8&lt;=39.999999999), "E",  "E"  )  )  )  )  )  )  )</f>
        <v/>
      </c>
      <c r="M8">
        <f>IF(AND(K8&gt;=85, K8&lt;=100), "4", IF(AND(K8&gt;=80, K8&lt;=84.999999999), "3.5", IF(AND(K8&gt;=75, K8&lt;=79.999999999), "3", IF(AND(K8&gt;=70, K8&lt;=74.999999999), "2.5", IF(AND(K8&gt;=60, K8&lt;=69.9999999999), "2", IF(AND(K8&gt;=40, K8&lt;=59.999999999), "1", IF(AND(K8&gt;=0, K8&lt;=39.999999999), "0",  "0"  )  )  )  )  )  )  )</f>
        <v/>
      </c>
      <c r="N8" t="inlineStr">
        <is>
          <t>Aron Sorimuda Johanes Pasaribu</t>
        </is>
      </c>
      <c r="O8" t="n">
        <v>24060124130086</v>
      </c>
      <c r="P8" t="inlineStr">
        <is>
          <t>02393cc8-e423-4b8a-b9f5-71590c0ad1a6</t>
        </is>
      </c>
      <c r="S8" t="inlineStr">
        <is>
          <t>sorimudaaron@students.undip.ac.id</t>
        </is>
      </c>
      <c r="T8" t="n">
        <v>58.33</v>
      </c>
      <c r="U8" t="n">
        <v>84.62</v>
      </c>
      <c r="V8" t="n">
        <v>87.5</v>
      </c>
      <c r="W8" t="n">
        <v>76.67</v>
      </c>
      <c r="X8" t="inlineStr">
        <is>
          <t>-</t>
        </is>
      </c>
      <c r="Y8" t="n">
        <v>75</v>
      </c>
      <c r="Z8" t="n">
        <v>8.039999999999999</v>
      </c>
      <c r="AA8" t="n">
        <v>87</v>
      </c>
      <c r="AB8" t="n">
        <v>1782748444</v>
      </c>
    </row>
    <row r="9">
      <c r="A9" t="inlineStr">
        <is>
          <t>24060124140124</t>
        </is>
      </c>
      <c r="B9" t="inlineStr">
        <is>
          <t>AQIATILLAH REZI ZHAFRAN</t>
        </is>
      </c>
      <c r="C9" t="n">
        <v>4</v>
      </c>
      <c r="D9" t="inlineStr">
        <is>
          <t>BARU</t>
        </is>
      </c>
      <c r="E9" s="3" t="n">
        <v>93</v>
      </c>
      <c r="F9" s="3" t="n"/>
      <c r="G9" s="3">
        <f>(E9*0.8)+(H9*0.2)</f>
        <v/>
      </c>
      <c r="H9" s="3" t="n">
        <v>67.72999999999999</v>
      </c>
      <c r="I9" s="3" t="n">
        <v>83</v>
      </c>
      <c r="J9" s="3" t="n"/>
      <c r="K9" s="2">
        <f>ROUND( ((E9*10+F9*40+G9*5+H9*5+I9*20+J9*20) / 100), 2)</f>
        <v/>
      </c>
      <c r="L9" s="2">
        <f>IF(AND(K9&gt;=85, K9&lt;=100), "A", IF(AND(K9&gt;=80, K9&lt;=84.999999999), "AB", IF(AND(K9&gt;=75, K9&lt;=79.999999999), "B", IF(AND(K9&gt;=70, K9&lt;=74.999999999), "BC", IF(AND(K9&gt;=60, K9&lt;=69.9999999999), "C", IF(AND(K9&gt;=40, K9&lt;=59.999999999), "D", IF(AND(K9&gt;=0, K9&lt;=39.999999999), "E", "E" ) ) ) ) ) ) )</f>
        <v/>
      </c>
      <c r="M9">
        <f>IF(AND(K9&gt;=85, K9&lt;=100), "4", IF(AND(K9&gt;=80, K9&lt;=84.999999999), "3.5", IF(AND(K9&gt;=75, K9&lt;=79.999999999), "3", IF(AND(K9&gt;=70, K9&lt;=74.999999999), "2.5", IF(AND(K9&gt;=60, K9&lt;=69.9999999999), "2", IF(AND(K9&gt;=40, K9&lt;=59.999999999), "1", IF(AND(K9&gt;=0, K9&lt;=39.999999999), "0", "0" ) ) ) ) ) ) )</f>
        <v/>
      </c>
      <c r="N9" t="inlineStr">
        <is>
          <t>Aqiatillah Rezi Zhafran</t>
        </is>
      </c>
      <c r="O9" t="n">
        <v>24060124140124</v>
      </c>
      <c r="P9" t="inlineStr">
        <is>
          <t>684577c9-821d-4fd4-93b7-0fe1733c0948</t>
        </is>
      </c>
      <c r="S9" t="inlineStr">
        <is>
          <t>aqiatillahrezizhaf@students.undip.ac.id</t>
        </is>
      </c>
      <c r="T9" t="n">
        <v>75</v>
      </c>
      <c r="U9" t="n">
        <v>62.82</v>
      </c>
      <c r="V9" t="n">
        <v>62.5</v>
      </c>
      <c r="W9" t="n">
        <v>53.33</v>
      </c>
      <c r="X9" t="inlineStr">
        <is>
          <t>-</t>
        </is>
      </c>
      <c r="Y9" t="n">
        <v>85</v>
      </c>
      <c r="Z9" t="n">
        <v>9.69</v>
      </c>
      <c r="AA9" t="n">
        <v>93</v>
      </c>
      <c r="AB9" t="n">
        <v>1782748444</v>
      </c>
    </row>
    <row r="10">
      <c r="A10" t="inlineStr">
        <is>
          <t>24060124120012</t>
        </is>
      </c>
      <c r="B10" t="inlineStr">
        <is>
          <t>FELICIA EVELINA</t>
        </is>
      </c>
      <c r="C10" t="n">
        <v>4</v>
      </c>
      <c r="D10" t="inlineStr">
        <is>
          <t>BARU</t>
        </is>
      </c>
      <c r="E10" s="3" t="n">
        <v>94</v>
      </c>
      <c r="F10" s="3" t="n"/>
      <c r="G10" s="3">
        <f>(E10*0.8)+(H10*0.2)</f>
        <v/>
      </c>
      <c r="H10" s="3" t="n">
        <v>80.616</v>
      </c>
      <c r="I10" s="3" t="n">
        <v>87</v>
      </c>
      <c r="J10" s="3" t="n"/>
      <c r="K10" s="2">
        <f>ROUND( ((E10*10+F10*40+G10*5+H10*5+I10*20+J10*20) / 100), 2)</f>
        <v/>
      </c>
      <c r="L10" s="2">
        <f>IF(AND(K10&gt;=85, K10&lt;=100), "A", IF(AND(K10&gt;=80, K10&lt;=84.999999999), "AB", IF(AND(K10&gt;=75, K10&lt;=79.999999999), "B", IF(AND(K10&gt;=70, K10&lt;=74.999999999), "BC", IF(AND(K10&gt;=60, K10&lt;=69.9999999999), "C", IF(AND(K10&gt;=40, K10&lt;=59.999999999), "D", IF(AND(K10&gt;=0, K10&lt;=39.999999999), "E", "E" ) ) ) ) ) ) )</f>
        <v/>
      </c>
      <c r="M10">
        <f>IF(AND(K10&gt;=85, K10&lt;=100), "4", IF(AND(K10&gt;=80, K10&lt;=84.999999999), "3.5", IF(AND(K10&gt;=75, K10&lt;=79.999999999), "3", IF(AND(K10&gt;=70, K10&lt;=74.999999999), "2.5", IF(AND(K10&gt;=60, K10&lt;=69.9999999999), "2", IF(AND(K10&gt;=40, K10&lt;=59.999999999), "1", IF(AND(K10&gt;=0, K10&lt;=39.999999999), "0", "0" ) ) ) ) ) ) )</f>
        <v/>
      </c>
      <c r="N10" t="inlineStr">
        <is>
          <t>Felicia Evelina</t>
        </is>
      </c>
      <c r="O10" t="n">
        <v>24060124120012</v>
      </c>
      <c r="P10" t="inlineStr">
        <is>
          <t>3fd13274-4692-4a32-87a5-b01b66f7c29f</t>
        </is>
      </c>
      <c r="S10" t="inlineStr">
        <is>
          <t>feliciaevelina@students.undip.ac.id</t>
        </is>
      </c>
      <c r="T10" t="n">
        <v>75</v>
      </c>
      <c r="U10" t="n">
        <v>73.08</v>
      </c>
      <c r="V10" t="n">
        <v>100</v>
      </c>
      <c r="W10" t="n">
        <v>60</v>
      </c>
      <c r="X10" t="inlineStr">
        <is>
          <t>-</t>
        </is>
      </c>
      <c r="Y10" t="n">
        <v>95</v>
      </c>
      <c r="Z10" t="n">
        <v>9.41</v>
      </c>
      <c r="AA10" t="n">
        <v>94</v>
      </c>
      <c r="AB10" t="n">
        <v>1782748444</v>
      </c>
    </row>
    <row r="11">
      <c r="A11" t="inlineStr">
        <is>
          <t>24060124120026</t>
        </is>
      </c>
      <c r="B11" t="inlineStr">
        <is>
          <t>GREGORIUS SEPTIANO ARIADI</t>
        </is>
      </c>
      <c r="C11" t="n">
        <v>4</v>
      </c>
      <c r="D11" t="inlineStr">
        <is>
          <t>BARU</t>
        </is>
      </c>
      <c r="E11" s="3" t="n">
        <v>100</v>
      </c>
      <c r="F11" s="3" t="n"/>
      <c r="G11" s="3">
        <f>(E11*0.8)+(H11*0.2)</f>
        <v/>
      </c>
      <c r="H11" s="3" t="n">
        <v>89.178</v>
      </c>
      <c r="I11" s="3" t="n">
        <v>78</v>
      </c>
      <c r="J11" s="3" t="n"/>
      <c r="K11" s="2">
        <f>ROUND( ((E11*10+F11*40+G11*5+H11*5+I11*20+J11*20) / 100), 2)</f>
        <v/>
      </c>
      <c r="L11" s="2">
        <f>IF(AND(K11&gt;=85, K11&lt;=100), "A", IF(AND(K11&gt;=80, K11&lt;=84.999999999), "AB", IF(AND(K11&gt;=75, K11&lt;=79.999999999), "B", IF(AND(K11&gt;=70, K11&lt;=74.999999999), "BC", IF(AND(K11&gt;=60, K11&lt;=69.9999999999), "C", IF(AND(K11&gt;=40, K11&lt;=59.999999999), "D", IF(AND(K11&gt;=0, K11&lt;=39.999999999), "E", "E" ) ) ) ) ) ) )</f>
        <v/>
      </c>
      <c r="M11">
        <f>IF(AND(K11&gt;=85, K11&lt;=100), "4", IF(AND(K11&gt;=80, K11&lt;=84.999999999), "3.5", IF(AND(K11&gt;=75, K11&lt;=79.999999999), "3", IF(AND(K11&gt;=70, K11&lt;=74.999999999), "2.5", IF(AND(K11&gt;=60, K11&lt;=69.9999999999), "2", IF(AND(K11&gt;=40, K11&lt;=59.999999999), "1", IF(AND(K11&gt;=0, K11&lt;=39.999999999), "0", "0" ) ) ) ) ) ) )</f>
        <v/>
      </c>
      <c r="N11" t="inlineStr">
        <is>
          <t>Gregorius Septiano Ariadi</t>
        </is>
      </c>
      <c r="O11" t="n">
        <v>24060124120026</v>
      </c>
      <c r="P11" t="inlineStr">
        <is>
          <t>6a4e2f20-a268-49b9-a39e-a367ab85ba9c</t>
        </is>
      </c>
      <c r="S11" t="inlineStr">
        <is>
          <t>gregoriusseptiano@students.undip.ac.id</t>
        </is>
      </c>
      <c r="T11" t="n">
        <v>83.33</v>
      </c>
      <c r="U11" t="n">
        <v>81.73</v>
      </c>
      <c r="V11" t="n">
        <v>87.5</v>
      </c>
      <c r="W11" t="n">
        <v>93.33</v>
      </c>
      <c r="X11" t="inlineStr">
        <is>
          <t>-</t>
        </is>
      </c>
      <c r="Y11" t="n">
        <v>100</v>
      </c>
      <c r="Z11" t="n">
        <v>9.69</v>
      </c>
      <c r="AA11" t="n">
        <v>100</v>
      </c>
      <c r="AB11" t="n">
        <v>1782748444</v>
      </c>
    </row>
    <row r="12">
      <c r="A12" t="inlineStr">
        <is>
          <t>24060124140137</t>
        </is>
      </c>
      <c r="B12" t="inlineStr">
        <is>
          <t>FARHAN DWIYAN AKBAR</t>
        </is>
      </c>
      <c r="C12" t="n">
        <v>4</v>
      </c>
      <c r="D12" t="inlineStr">
        <is>
          <t>BARU</t>
        </is>
      </c>
      <c r="E12" s="3" t="n">
        <v>86</v>
      </c>
      <c r="F12" s="3" t="n"/>
      <c r="G12" s="3">
        <f>(E12*0.8)+(H12*0.2)</f>
        <v/>
      </c>
      <c r="H12" s="3" t="n">
        <v>86.07599999999999</v>
      </c>
      <c r="I12" s="3" t="n">
        <v>78</v>
      </c>
      <c r="J12" s="3" t="n"/>
      <c r="K12" s="2">
        <f>ROUND( ((E12*10+F12*40+G12*5+H12*5+I12*20+J12*20) / 100), 2)</f>
        <v/>
      </c>
      <c r="L12" s="2">
        <f>IF(AND(K12&gt;=85, K12&lt;=100), "A", IF(AND(K12&gt;=80, K12&lt;=84.999999999), "AB", IF(AND(K12&gt;=75, K12&lt;=79.999999999), "B", IF(AND(K12&gt;=70, K12&lt;=74.999999999), "BC", IF(AND(K12&gt;=60, K12&lt;=69.9999999999), "C", IF(AND(K12&gt;=40, K12&lt;=59.999999999), "D", IF(AND(K12&gt;=0, K12&lt;=39.999999999), "E", "E" ) ) ) ) ) ) )</f>
        <v/>
      </c>
      <c r="M12">
        <f>IF(AND(K12&gt;=85, K12&lt;=100), "4", IF(AND(K12&gt;=80, K12&lt;=84.999999999), "3.5", IF(AND(K12&gt;=75, K12&lt;=79.999999999), "3", IF(AND(K12&gt;=70, K12&lt;=74.999999999), "2.5", IF(AND(K12&gt;=60, K12&lt;=69.9999999999), "2", IF(AND(K12&gt;=40, K12&lt;=59.999999999), "1", IF(AND(K12&gt;=0, K12&lt;=39.999999999), "0", "0" ) ) ) ) ) ) )</f>
        <v/>
      </c>
      <c r="N12" t="inlineStr">
        <is>
          <t>Farhan Dwiyan Akbar</t>
        </is>
      </c>
      <c r="O12" t="n">
        <v>24060124140137</v>
      </c>
      <c r="P12" t="inlineStr">
        <is>
          <t>95a0ff37-af2b-4a62-9843-26321cb1b716</t>
        </is>
      </c>
      <c r="S12" t="inlineStr">
        <is>
          <t>farhandwiyanakbar@students.undip.ac.id</t>
        </is>
      </c>
      <c r="T12" t="n">
        <v>83.33</v>
      </c>
      <c r="U12" t="n">
        <v>82.05</v>
      </c>
      <c r="V12" t="n">
        <v>100</v>
      </c>
      <c r="W12" t="n">
        <v>80</v>
      </c>
      <c r="X12" t="inlineStr">
        <is>
          <t>-</t>
        </is>
      </c>
      <c r="Y12" t="n">
        <v>85</v>
      </c>
      <c r="Z12" t="n">
        <v>8.69</v>
      </c>
      <c r="AA12" t="n">
        <v>86</v>
      </c>
      <c r="AB12" t="n">
        <v>1782748444</v>
      </c>
    </row>
    <row r="13">
      <c r="A13" t="inlineStr">
        <is>
          <t>24060124140169</t>
        </is>
      </c>
      <c r="B13" t="inlineStr">
        <is>
          <t>FADHIL YAAFI WIDODO</t>
        </is>
      </c>
      <c r="C13" t="n">
        <v>4</v>
      </c>
      <c r="D13" t="inlineStr">
        <is>
          <t>BARU</t>
        </is>
      </c>
      <c r="E13" s="3" t="n">
        <v>88.33</v>
      </c>
      <c r="F13" s="3" t="n"/>
      <c r="G13" s="3">
        <f>(E13*0.8)+(H13*0.2)</f>
        <v/>
      </c>
      <c r="H13" s="3" t="n">
        <v>79.396</v>
      </c>
      <c r="I13" s="3" t="n">
        <v>78</v>
      </c>
      <c r="J13" s="3" t="n"/>
      <c r="K13" s="2">
        <f>ROUND( ((E13*10+F13*40+G13*5+H13*5+I13*20+J13*20) / 100), 2)</f>
        <v/>
      </c>
      <c r="L13" s="2">
        <f>IF(AND(K13&gt;=85, K13&lt;=100), "A", IF(AND(K13&gt;=80, K13&lt;=84.999999999), "AB", IF(AND(K13&gt;=75, K13&lt;=79.999999999), "B", IF(AND(K13&gt;=70, K13&lt;=74.999999999), "BC", IF(AND(K13&gt;=60, K13&lt;=69.9999999999), "C", IF(AND(K13&gt;=40, K13&lt;=59.999999999), "D", IF(AND(K13&gt;=0, K13&lt;=39.999999999), "E", "E" ) ) ) ) ) ) )</f>
        <v/>
      </c>
      <c r="M13">
        <f>IF(AND(K13&gt;=85, K13&lt;=100), "4", IF(AND(K13&gt;=80, K13&lt;=84.999999999), "3.5", IF(AND(K13&gt;=75, K13&lt;=79.999999999), "3", IF(AND(K13&gt;=70, K13&lt;=74.999999999), "2.5", IF(AND(K13&gt;=60, K13&lt;=69.9999999999), "2", IF(AND(K13&gt;=40, K13&lt;=59.999999999), "1", IF(AND(K13&gt;=0, K13&lt;=39.999999999), "0", "0" ) ) ) ) ) ) )</f>
        <v/>
      </c>
      <c r="N13" t="inlineStr">
        <is>
          <t>Fadhil Yaafi Widodo</t>
        </is>
      </c>
      <c r="O13" t="n">
        <v>24060124140169</v>
      </c>
      <c r="P13" t="inlineStr">
        <is>
          <t>222c5aab-6c66-429c-a021-b15ed085bee1</t>
        </is>
      </c>
      <c r="S13" t="inlineStr">
        <is>
          <t>fadhilyaafiwidodo@students.undip.ac.id</t>
        </is>
      </c>
      <c r="T13" t="n">
        <v>83.33</v>
      </c>
      <c r="U13" t="n">
        <v>71.15000000000001</v>
      </c>
      <c r="V13" t="n">
        <v>87.5</v>
      </c>
      <c r="W13" t="n">
        <v>70</v>
      </c>
      <c r="X13" t="inlineStr">
        <is>
          <t>-</t>
        </is>
      </c>
      <c r="Y13" t="n">
        <v>85</v>
      </c>
      <c r="Z13" t="n">
        <v>6.48</v>
      </c>
      <c r="AA13" t="n">
        <v>88.33</v>
      </c>
      <c r="AB13" t="n">
        <v>1782748444</v>
      </c>
    </row>
    <row r="14">
      <c r="A14" t="inlineStr">
        <is>
          <t>24060124120015</t>
        </is>
      </c>
      <c r="B14" t="inlineStr">
        <is>
          <t>WAHYU EKO SETYO PRIBOWO</t>
        </is>
      </c>
      <c r="C14" t="n">
        <v>4</v>
      </c>
      <c r="D14" t="inlineStr">
        <is>
          <t>BARU</t>
        </is>
      </c>
      <c r="E14" s="3" t="n">
        <v>83</v>
      </c>
      <c r="F14" s="3" t="n"/>
      <c r="G14" s="3">
        <f>(E14*0.8)+(H14*0.2)</f>
        <v/>
      </c>
      <c r="H14" s="3" t="n">
        <v>55.614</v>
      </c>
      <c r="I14" s="3" t="n">
        <v>84</v>
      </c>
      <c r="J14" s="3" t="n"/>
      <c r="K14" s="2">
        <f>ROUND( ((E14*10+F14*40+G14*5+H14*5+I14*20+J14*20) / 100), 2)</f>
        <v/>
      </c>
      <c r="L14" s="2">
        <f>IF(AND(K14&gt;=85, K14&lt;=100), "A", IF(AND(K14&gt;=80, K14&lt;=84.999999999), "AB", IF(AND(K14&gt;=75, K14&lt;=79.999999999), "B", IF(AND(K14&gt;=70, K14&lt;=74.999999999), "BC", IF(AND(K14&gt;=60, K14&lt;=69.9999999999), "C", IF(AND(K14&gt;=40, K14&lt;=59.999999999), "D", IF(AND(K14&gt;=0, K14&lt;=39.999999999), "E", "E" ) ) ) ) ) ) )</f>
        <v/>
      </c>
      <c r="M14">
        <f>IF(AND(K14&gt;=85, K14&lt;=100), "4", IF(AND(K14&gt;=80, K14&lt;=84.999999999), "3.5", IF(AND(K14&gt;=75, K14&lt;=79.999999999), "3", IF(AND(K14&gt;=70, K14&lt;=74.999999999), "2.5", IF(AND(K14&gt;=60, K14&lt;=69.9999999999), "2", IF(AND(K14&gt;=40, K14&lt;=59.999999999), "1", IF(AND(K14&gt;=0, K14&lt;=39.999999999), "0", "0" ) ) ) ) ) ) )</f>
        <v/>
      </c>
      <c r="N14" t="inlineStr">
        <is>
          <t>Wahyu Eko Setyo Pribowo</t>
        </is>
      </c>
      <c r="O14" t="n">
        <v>24060124120015</v>
      </c>
      <c r="P14" t="inlineStr">
        <is>
          <t>33452c4c-def3-4b8d-9e50-c060e183afe9</t>
        </is>
      </c>
      <c r="S14" t="inlineStr">
        <is>
          <t>wahyuekosetyopribowo@students.undip.ac.id</t>
        </is>
      </c>
      <c r="T14" t="n">
        <v>58.33</v>
      </c>
      <c r="U14" t="n">
        <v>52.24</v>
      </c>
      <c r="V14" t="n">
        <v>37.5</v>
      </c>
      <c r="W14" t="n">
        <v>40</v>
      </c>
      <c r="X14" t="inlineStr">
        <is>
          <t>-</t>
        </is>
      </c>
      <c r="Y14" t="n">
        <v>90</v>
      </c>
      <c r="Z14" t="inlineStr">
        <is>
          <t>-</t>
        </is>
      </c>
      <c r="AA14" t="n">
        <v>83</v>
      </c>
      <c r="AB14" t="n">
        <v>1782748444</v>
      </c>
    </row>
    <row r="15">
      <c r="A15" t="inlineStr">
        <is>
          <t>24060124120020</t>
        </is>
      </c>
      <c r="B15" t="inlineStr">
        <is>
          <t>RAFFI ARDITAMA</t>
        </is>
      </c>
      <c r="C15" t="n">
        <v>4</v>
      </c>
      <c r="D15" t="inlineStr">
        <is>
          <t>BARU</t>
        </is>
      </c>
      <c r="E15" s="3" t="n">
        <v>95</v>
      </c>
      <c r="F15" s="3" t="n"/>
      <c r="G15" s="3">
        <f>(E15*0.8)+(H15*0.2)</f>
        <v/>
      </c>
      <c r="H15" s="3" t="n">
        <v>71.616</v>
      </c>
      <c r="I15" s="3" t="n">
        <v>83</v>
      </c>
      <c r="J15" s="3" t="n"/>
      <c r="K15" s="2">
        <f>ROUND( ((E15*10+F15*40+G15*5+H15*5+I15*20+J15*20) / 100), 2)</f>
        <v/>
      </c>
      <c r="L15" s="2">
        <f>IF(AND(K15&gt;=85, K15&lt;=100), "A", IF(AND(K15&gt;=80, K15&lt;=84.999999999), "AB", IF(AND(K15&gt;=75, K15&lt;=79.999999999), "B", IF(AND(K15&gt;=70, K15&lt;=74.999999999), "BC", IF(AND(K15&gt;=60, K15&lt;=69.9999999999), "C", IF(AND(K15&gt;=40, K15&lt;=59.999999999), "D", IF(AND(K15&gt;=0, K15&lt;=39.999999999), "E", "E" ) ) ) ) ) ) )</f>
        <v/>
      </c>
      <c r="M15">
        <f>IF(AND(K15&gt;=85, K15&lt;=100), "4", IF(AND(K15&gt;=80, K15&lt;=84.999999999), "3.5", IF(AND(K15&gt;=75, K15&lt;=79.999999999), "3", IF(AND(K15&gt;=70, K15&lt;=74.999999999), "2.5", IF(AND(K15&gt;=60, K15&lt;=69.9999999999), "2", IF(AND(K15&gt;=40, K15&lt;=59.999999999), "1", IF(AND(K15&gt;=0, K15&lt;=39.999999999), "0", "0" ) ) ) ) ) ) )</f>
        <v/>
      </c>
      <c r="N15" t="inlineStr">
        <is>
          <t>Raffi Arditama</t>
        </is>
      </c>
      <c r="O15" t="n">
        <v>24060124120020</v>
      </c>
      <c r="P15" t="inlineStr">
        <is>
          <t>5ed03eae-170a-41f9-960d-ce39b0e49942</t>
        </is>
      </c>
      <c r="S15" t="inlineStr">
        <is>
          <t>raffiarditama@students.undip.ac.id</t>
        </is>
      </c>
      <c r="T15" t="n">
        <v>66.67</v>
      </c>
      <c r="U15" t="n">
        <v>73.08</v>
      </c>
      <c r="V15" t="n">
        <v>75</v>
      </c>
      <c r="W15" t="n">
        <v>63.33</v>
      </c>
      <c r="X15" t="inlineStr">
        <is>
          <t>-</t>
        </is>
      </c>
      <c r="Y15" t="n">
        <v>80</v>
      </c>
      <c r="Z15" t="inlineStr">
        <is>
          <t>-</t>
        </is>
      </c>
      <c r="AA15" t="n">
        <v>95</v>
      </c>
      <c r="AB15" t="n">
        <v>1782748444</v>
      </c>
    </row>
    <row r="16">
      <c r="A16" t="inlineStr">
        <is>
          <t>24060124130061</t>
        </is>
      </c>
      <c r="B16" t="inlineStr">
        <is>
          <t>RAHMAT ARGYANDHA AMINUDDIN</t>
        </is>
      </c>
      <c r="C16" t="n">
        <v>4</v>
      </c>
      <c r="D16" t="inlineStr">
        <is>
          <t>BARU</t>
        </is>
      </c>
      <c r="E16" s="3" t="n">
        <v>85</v>
      </c>
      <c r="F16" s="3" t="n"/>
      <c r="G16" s="3">
        <f>(E16*0.8)+(H16*0.2)</f>
        <v/>
      </c>
      <c r="H16" s="3" t="n">
        <v>61.564</v>
      </c>
      <c r="I16" s="3" t="n">
        <v>91</v>
      </c>
      <c r="J16" s="3" t="n"/>
      <c r="K16" s="2">
        <f>ROUND( ((E16*10+F16*40+G16*5+H16*5+I16*20+J16*20) / 100), 2)</f>
        <v/>
      </c>
      <c r="L16" s="2">
        <f>IF(AND(K16&gt;=85, K16&lt;=100), "A", IF(AND(K16&gt;=80, K16&lt;=84.999999999), "AB", IF(AND(K16&gt;=75, K16&lt;=79.999999999), "B", IF(AND(K16&gt;=70, K16&lt;=74.999999999), "BC", IF(AND(K16&gt;=60, K16&lt;=69.9999999999), "C", IF(AND(K16&gt;=40, K16&lt;=59.999999999), "D", IF(AND(K16&gt;=0, K16&lt;=39.999999999), "E", "E" ) ) ) ) ) ) )</f>
        <v/>
      </c>
      <c r="M16">
        <f>IF(AND(K16&gt;=85, K16&lt;=100), "4", IF(AND(K16&gt;=80, K16&lt;=84.999999999), "3.5", IF(AND(K16&gt;=75, K16&lt;=79.999999999), "3", IF(AND(K16&gt;=70, K16&lt;=74.999999999), "2.5", IF(AND(K16&gt;=60, K16&lt;=69.9999999999), "2", IF(AND(K16&gt;=40, K16&lt;=59.999999999), "1", IF(AND(K16&gt;=0, K16&lt;=39.999999999), "0", "0" ) ) ) ) ) ) )</f>
        <v/>
      </c>
      <c r="N16" t="inlineStr">
        <is>
          <t>Rahmat Argyandha Aminuddin</t>
        </is>
      </c>
      <c r="O16" t="n">
        <v>24060124130061</v>
      </c>
      <c r="P16" t="inlineStr">
        <is>
          <t>1e467a5f-3f1a-418d-a578-3ab30dcc2d83</t>
        </is>
      </c>
      <c r="S16" t="inlineStr">
        <is>
          <t>rahmatargyandha@students.undip.ac.id</t>
        </is>
      </c>
      <c r="T16" t="n">
        <v>41.67</v>
      </c>
      <c r="U16" t="n">
        <v>71.15000000000001</v>
      </c>
      <c r="V16" t="n">
        <v>50</v>
      </c>
      <c r="W16" t="n">
        <v>60</v>
      </c>
      <c r="X16" t="inlineStr">
        <is>
          <t>-</t>
        </is>
      </c>
      <c r="Y16" t="n">
        <v>85</v>
      </c>
      <c r="Z16" t="n">
        <v>7.87</v>
      </c>
      <c r="AA16" t="n">
        <v>85</v>
      </c>
      <c r="AB16" t="n">
        <v>1782748444</v>
      </c>
    </row>
    <row r="17">
      <c r="A17" t="inlineStr">
        <is>
          <t>24060124130115</t>
        </is>
      </c>
      <c r="B17" t="inlineStr">
        <is>
          <t>RAFIF SETYA IMADUDDIN</t>
        </is>
      </c>
      <c r="C17" t="n">
        <v>4</v>
      </c>
      <c r="D17" t="inlineStr">
        <is>
          <t>BARU</t>
        </is>
      </c>
      <c r="E17" s="3" t="n">
        <v>78</v>
      </c>
      <c r="F17" s="3" t="n"/>
      <c r="G17" s="3">
        <f>(E17*0.8)+(H17*0.2)</f>
        <v/>
      </c>
      <c r="H17" s="3" t="n">
        <v>78.94800000000001</v>
      </c>
      <c r="I17" s="3" t="n">
        <v>83</v>
      </c>
      <c r="J17" s="3" t="n"/>
      <c r="K17" s="2">
        <f>ROUND( ((E17*10+F17*40+G17*5+H17*5+I17*20+J17*20) / 100), 2)</f>
        <v/>
      </c>
      <c r="L17" s="2">
        <f>IF(AND(K17&gt;=85, K17&lt;=100), "A", IF(AND(K17&gt;=80, K17&lt;=84.999999999), "AB", IF(AND(K17&gt;=75, K17&lt;=79.999999999), "B", IF(AND(K17&gt;=70, K17&lt;=74.999999999), "BC", IF(AND(K17&gt;=60, K17&lt;=69.9999999999), "C", IF(AND(K17&gt;=40, K17&lt;=59.999999999), "D", IF(AND(K17&gt;=0, K17&lt;=39.999999999), "E", "E" ) ) ) ) ) ) )</f>
        <v/>
      </c>
      <c r="M17">
        <f>IF(AND(K17&gt;=85, K17&lt;=100), "4", IF(AND(K17&gt;=80, K17&lt;=84.999999999), "3.5", IF(AND(K17&gt;=75, K17&lt;=79.999999999), "3", IF(AND(K17&gt;=70, K17&lt;=74.999999999), "2.5", IF(AND(K17&gt;=60, K17&lt;=69.9999999999), "2", IF(AND(K17&gt;=40, K17&lt;=59.999999999), "1", IF(AND(K17&gt;=0, K17&lt;=39.999999999), "0", "0" ) ) ) ) ) ) )</f>
        <v/>
      </c>
      <c r="N17" t="inlineStr">
        <is>
          <t>Rafif Setya Imaduddin</t>
        </is>
      </c>
      <c r="O17" t="n">
        <v>24060124130115</v>
      </c>
      <c r="P17" t="inlineStr">
        <is>
          <t>507fd025-3b49-4b2a-b540-59899b374175</t>
        </is>
      </c>
      <c r="S17" t="inlineStr">
        <is>
          <t>rafifsetyaimaduddin@students.undip.ac.id</t>
        </is>
      </c>
      <c r="T17" t="n">
        <v>58.33</v>
      </c>
      <c r="U17" t="n">
        <v>68.91</v>
      </c>
      <c r="V17" t="n">
        <v>87.5</v>
      </c>
      <c r="W17" t="n">
        <v>80</v>
      </c>
      <c r="X17" t="inlineStr">
        <is>
          <t>-</t>
        </is>
      </c>
      <c r="Y17" t="n">
        <v>100</v>
      </c>
      <c r="Z17" t="n">
        <v>8.59</v>
      </c>
      <c r="AA17" t="n">
        <v>78</v>
      </c>
      <c r="AB17" t="n">
        <v>1782748444</v>
      </c>
    </row>
    <row r="18">
      <c r="A18" t="inlineStr">
        <is>
          <t>24060124140125</t>
        </is>
      </c>
      <c r="B18" t="inlineStr">
        <is>
          <t>VARISSA NABILA KIFLI</t>
        </is>
      </c>
      <c r="C18" t="n">
        <v>4</v>
      </c>
      <c r="D18" t="inlineStr">
        <is>
          <t>BARU</t>
        </is>
      </c>
      <c r="E18" s="3" t="n">
        <v>95</v>
      </c>
      <c r="F18" s="3" t="n"/>
      <c r="G18" s="3">
        <f>(E18*0.8)+(H18*0.2)</f>
        <v/>
      </c>
      <c r="H18" s="3" t="n">
        <v>84.462</v>
      </c>
      <c r="I18" s="3" t="n">
        <v>86</v>
      </c>
      <c r="J18" s="3" t="n"/>
      <c r="K18" s="2">
        <f>ROUND( ((E18*10+F18*40+G18*5+H18*5+I18*20+J18*20) / 100), 2)</f>
        <v/>
      </c>
      <c r="L18" s="2">
        <f>IF(AND(K18&gt;=85, K18&lt;=100), "A", IF(AND(K18&gt;=80, K18&lt;=84.999999999), "AB", IF(AND(K18&gt;=75, K18&lt;=79.999999999), "B", IF(AND(K18&gt;=70, K18&lt;=74.999999999), "BC", IF(AND(K18&gt;=60, K18&lt;=69.9999999999), "C", IF(AND(K18&gt;=40, K18&lt;=59.999999999), "D", IF(AND(K18&gt;=0, K18&lt;=39.999999999), "E", "E" ) ) ) ) ) ) )</f>
        <v/>
      </c>
      <c r="M18">
        <f>IF(AND(K18&gt;=85, K18&lt;=100), "4", IF(AND(K18&gt;=80, K18&lt;=84.999999999), "3.5", IF(AND(K18&gt;=75, K18&lt;=79.999999999), "3", IF(AND(K18&gt;=70, K18&lt;=74.999999999), "2.5", IF(AND(K18&gt;=60, K18&lt;=69.9999999999), "2", IF(AND(K18&gt;=40, K18&lt;=59.999999999), "1", IF(AND(K18&gt;=0, K18&lt;=39.999999999), "0", "0" ) ) ) ) ) ) )</f>
        <v/>
      </c>
      <c r="N18" t="inlineStr">
        <is>
          <t>Varissa Nabila Kifli</t>
        </is>
      </c>
      <c r="O18" t="n">
        <v>24060124140125</v>
      </c>
      <c r="P18" t="inlineStr">
        <is>
          <t>343f315f-7288-41cf-8616-6cd54958cfbc</t>
        </is>
      </c>
      <c r="S18" t="inlineStr">
        <is>
          <t>varissanabilakifli@students.undip.ac.id</t>
        </is>
      </c>
      <c r="T18" t="n">
        <v>58.33</v>
      </c>
      <c r="U18" t="n">
        <v>92.31</v>
      </c>
      <c r="V18" t="n">
        <v>100</v>
      </c>
      <c r="W18" t="n">
        <v>76.67</v>
      </c>
      <c r="X18" t="inlineStr">
        <is>
          <t>-</t>
        </is>
      </c>
      <c r="Y18" t="n">
        <v>95</v>
      </c>
      <c r="Z18" t="n">
        <v>9.380000000000001</v>
      </c>
      <c r="AA18" t="n">
        <v>95</v>
      </c>
      <c r="AB18" t="n">
        <v>1782748444</v>
      </c>
    </row>
    <row r="19">
      <c r="A19" t="inlineStr">
        <is>
          <t>24060124140134</t>
        </is>
      </c>
      <c r="B19" t="inlineStr">
        <is>
          <t>WAHYU AJI GUMELAR TRI NUGROHO</t>
        </is>
      </c>
      <c r="C19" t="n">
        <v>4</v>
      </c>
      <c r="D19" t="inlineStr">
        <is>
          <t>BARU</t>
        </is>
      </c>
      <c r="E19" s="3" t="n">
        <v>95</v>
      </c>
      <c r="F19" s="3" t="n"/>
      <c r="G19" s="3">
        <f>(E19*0.8)+(H19*0.2)</f>
        <v/>
      </c>
      <c r="H19" s="3" t="n">
        <v>72.81</v>
      </c>
      <c r="I19" s="3" t="n">
        <v>86</v>
      </c>
      <c r="J19" s="3" t="n"/>
      <c r="K19" s="2">
        <f>ROUND( ((E19*10+F19*40+G19*5+H19*5+I19*20+J19*20) / 100), 2)</f>
        <v/>
      </c>
      <c r="L19" s="2">
        <f>IF(AND(K19&gt;=85, K19&lt;=100), "A", IF(AND(K19&gt;=80, K19&lt;=84.999999999), "AB", IF(AND(K19&gt;=75, K19&lt;=79.999999999), "B", IF(AND(K19&gt;=70, K19&lt;=74.999999999), "BC", IF(AND(K19&gt;=60, K19&lt;=69.9999999999), "C", IF(AND(K19&gt;=40, K19&lt;=59.999999999), "D", IF(AND(K19&gt;=0, K19&lt;=39.999999999), "E", "E" ) ) ) ) ) ) )</f>
        <v/>
      </c>
      <c r="M19">
        <f>IF(AND(K19&gt;=85, K19&lt;=100), "4", IF(AND(K19&gt;=80, K19&lt;=84.999999999), "3.5", IF(AND(K19&gt;=75, K19&lt;=79.999999999), "3", IF(AND(K19&gt;=70, K19&lt;=74.999999999), "2.5", IF(AND(K19&gt;=60, K19&lt;=69.9999999999), "2", IF(AND(K19&gt;=40, K19&lt;=59.999999999), "1", IF(AND(K19&gt;=0, K19&lt;=39.999999999), "0", "0" ) ) ) ) ) ) )</f>
        <v/>
      </c>
      <c r="N19" t="inlineStr">
        <is>
          <t>Wahyu Aji Gumelar Tri Nugroho</t>
        </is>
      </c>
      <c r="O19" t="n">
        <v>24060124140134</v>
      </c>
      <c r="P19" t="inlineStr">
        <is>
          <t>89735219-5dfe-46e7-a955-871b8638836d</t>
        </is>
      </c>
      <c r="S19" t="inlineStr">
        <is>
          <t>monsieurjangkarbumi@students.undip.ac.id</t>
        </is>
      </c>
      <c r="T19" t="n">
        <v>41.67</v>
      </c>
      <c r="U19" t="n">
        <v>78.20999999999999</v>
      </c>
      <c r="V19" t="n">
        <v>87.5</v>
      </c>
      <c r="W19" t="n">
        <v>66.67</v>
      </c>
      <c r="X19" t="inlineStr">
        <is>
          <t>-</t>
        </is>
      </c>
      <c r="Y19" t="n">
        <v>90</v>
      </c>
      <c r="Z19" t="n">
        <v>7.73</v>
      </c>
      <c r="AA19" t="n">
        <v>95</v>
      </c>
      <c r="AB19" t="n">
        <v>1782748444</v>
      </c>
    </row>
    <row r="20">
      <c r="A20" t="inlineStr">
        <is>
          <t>24060124140177</t>
        </is>
      </c>
      <c r="B20" t="inlineStr">
        <is>
          <t>RAYHAN GERARD DARMAWAN (&lt; 75%)</t>
        </is>
      </c>
      <c r="C20" t="n">
        <v>4</v>
      </c>
      <c r="D20" t="inlineStr">
        <is>
          <t>BARU</t>
        </is>
      </c>
      <c r="E20" s="3" t="n"/>
      <c r="F20" s="3" t="n"/>
      <c r="G20" s="3">
        <f>(E20*0.8)+(H20*0.2)</f>
        <v/>
      </c>
      <c r="H20" s="3" t="n">
        <v>0</v>
      </c>
      <c r="I20" s="3" t="n">
        <v>91</v>
      </c>
      <c r="J20" s="2" t="n"/>
      <c r="K20" s="2">
        <f>ROUND( ((E20*10+F20*40+G20*5+H20*5+I20*20+J20*20) / 100), 2)</f>
        <v/>
      </c>
      <c r="L20" s="2">
        <f>IF(AND(K20&gt;=85, K20&lt;=100), "A", IF(AND(K20&gt;=80, K20&lt;=84.999999999), "AB", IF(AND(K20&gt;=75, K20&lt;=79.999999999), "B", IF(AND(K20&gt;=70, K20&lt;=74.999999999), "BC", IF(AND(K20&gt;=60, K20&lt;=69.9999999999), "C", IF(AND(K20&gt;=40, K20&lt;=59.999999999), "D", IF(AND(K20&gt;=0, K20&lt;=39.999999999), "E", "E" ) ) ) ) ) ) )</f>
        <v/>
      </c>
      <c r="M20">
        <f>IF(AND(K20&gt;=85, K20&lt;=100), "4", IF(AND(K20&gt;=80, K20&lt;=84.999999999), "3.5", IF(AND(K20&gt;=75, K20&lt;=79.999999999), "3", IF(AND(K20&gt;=70, K20&lt;=74.999999999), "2.5", IF(AND(K20&gt;=60, K20&lt;=69.9999999999), "2", IF(AND(K20&gt;=40, K20&lt;=59.999999999), "1", IF(AND(K20&gt;=0, K20&lt;=39.999999999), "0", "0" ) ) ) ) ) ) )</f>
        <v/>
      </c>
    </row>
    <row r="21">
      <c r="A21" t="inlineStr">
        <is>
          <t>24060124130067</t>
        </is>
      </c>
      <c r="B21" t="inlineStr">
        <is>
          <t>LEVI RAMOT SIAHAAN</t>
        </is>
      </c>
      <c r="C21" t="n">
        <v>4</v>
      </c>
      <c r="D21" t="inlineStr">
        <is>
          <t>BARU</t>
        </is>
      </c>
      <c r="E21" s="3" t="n">
        <v>94</v>
      </c>
      <c r="F21" s="3" t="n"/>
      <c r="G21" s="3">
        <f>(E21*0.8)+(H21*0.2)</f>
        <v/>
      </c>
      <c r="H21" s="3" t="n">
        <v>72.884</v>
      </c>
      <c r="I21" s="3" t="n">
        <v>81</v>
      </c>
      <c r="J21" s="3" t="n"/>
      <c r="K21" s="2">
        <f>ROUND( ((E21*10+F21*40+G21*5+H21*5+I21*20+J21*20) / 100), 2)</f>
        <v/>
      </c>
      <c r="L21" s="2">
        <f>IF(AND(K21&gt;=85, K21&lt;=100), "A", IF(AND(K21&gt;=80, K21&lt;=84.999999999), "AB", IF(AND(K21&gt;=75, K21&lt;=79.999999999), "B", IF(AND(K21&gt;=70, K21&lt;=74.999999999), "BC", IF(AND(K21&gt;=60, K21&lt;=69.9999999999), "C", IF(AND(K21&gt;=40, K21&lt;=59.999999999), "D", IF(AND(K21&gt;=0, K21&lt;=39.999999999), "E", "E" ) ) ) ) ) ) )</f>
        <v/>
      </c>
      <c r="M21">
        <f>IF(AND(K21&gt;=85, K21&lt;=100), "4", IF(AND(K21&gt;=80, K21&lt;=84.999999999), "3.5", IF(AND(K21&gt;=75, K21&lt;=79.999999999), "3", IF(AND(K21&gt;=70, K21&lt;=74.999999999), "2.5", IF(AND(K21&gt;=60, K21&lt;=69.9999999999), "2", IF(AND(K21&gt;=40, K21&lt;=59.999999999), "1", IF(AND(K21&gt;=0, K21&lt;=39.999999999), "0", "0" ) ) ) ) ) ) )</f>
        <v/>
      </c>
      <c r="N21" t="inlineStr">
        <is>
          <t>Levi Ramot Siahaan</t>
        </is>
      </c>
      <c r="O21" t="n">
        <v>24060124130067</v>
      </c>
      <c r="P21" t="inlineStr">
        <is>
          <t>2a3b0cad-78e0-40e1-9281-084430ee260b</t>
        </is>
      </c>
      <c r="S21" t="inlineStr">
        <is>
          <t>leviramot@students.undip.ac.id</t>
        </is>
      </c>
      <c r="T21" t="n">
        <v>83.33</v>
      </c>
      <c r="U21" t="n">
        <v>26.92</v>
      </c>
      <c r="V21" t="n">
        <v>87.5</v>
      </c>
      <c r="W21" t="n">
        <v>86.67</v>
      </c>
      <c r="X21" t="inlineStr">
        <is>
          <t>-</t>
        </is>
      </c>
      <c r="Y21" t="n">
        <v>80</v>
      </c>
      <c r="Z21" t="inlineStr">
        <is>
          <t>-</t>
        </is>
      </c>
      <c r="AA21" t="n">
        <v>94</v>
      </c>
      <c r="AB21" t="n">
        <v>1782748444</v>
      </c>
    </row>
    <row r="22">
      <c r="A22" t="inlineStr">
        <is>
          <t>24060124140175</t>
        </is>
      </c>
      <c r="B22" t="inlineStr">
        <is>
          <t>MISCHA NATHANAEL LUMBAN TOBING</t>
        </is>
      </c>
      <c r="C22" t="n">
        <v>4</v>
      </c>
      <c r="D22" t="inlineStr">
        <is>
          <t>BARU</t>
        </is>
      </c>
      <c r="E22" s="3" t="n">
        <v>86</v>
      </c>
      <c r="F22" s="3" t="n"/>
      <c r="G22" s="3">
        <f>(E22*0.8)+(H22*0.2)</f>
        <v/>
      </c>
      <c r="H22" s="3" t="n">
        <v>56.384</v>
      </c>
      <c r="I22" s="3" t="n"/>
      <c r="J22" s="3" t="n"/>
      <c r="K22" s="2">
        <f>ROUND( ((E22*10+F22*40+G22*5+H22*5+I22*20+J22*20) / 100), 2)</f>
        <v/>
      </c>
      <c r="L22" s="2">
        <f>IF(AND(K22&gt;=85, K22&lt;=100), "A", IF(AND(K22&gt;=80, K22&lt;=84.999999999), "AB", IF(AND(K22&gt;=75, K22&lt;=79.999999999), "B", IF(AND(K22&gt;=70, K22&lt;=74.999999999), "BC", IF(AND(K22&gt;=60, K22&lt;=69.9999999999), "C", IF(AND(K22&gt;=40, K22&lt;=59.999999999), "D", IF(AND(K22&gt;=0, K22&lt;=39.999999999), "E", "E" ) ) ) ) ) ) )</f>
        <v/>
      </c>
      <c r="M22">
        <f>IF(AND(K22&gt;=85, K22&lt;=100), "4", IF(AND(K22&gt;=80, K22&lt;=84.999999999), "3.5", IF(AND(K22&gt;=75, K22&lt;=79.999999999), "3", IF(AND(K22&gt;=70, K22&lt;=74.999999999), "2.5", IF(AND(K22&gt;=60, K22&lt;=69.9999999999), "2", IF(AND(K22&gt;=40, K22&lt;=59.999999999), "1", IF(AND(K22&gt;=0, K22&lt;=39.999999999), "0", "0" ) ) ) ) ) ) )</f>
        <v/>
      </c>
      <c r="N22" t="inlineStr">
        <is>
          <t>Mischa Nathanael Lumban Tobing</t>
        </is>
      </c>
      <c r="O22" t="n">
        <v>24060124140175</v>
      </c>
      <c r="P22" t="inlineStr">
        <is>
          <t>942ca978-2cca-41bb-ba9d-c5165b589c71</t>
        </is>
      </c>
      <c r="S22" t="inlineStr">
        <is>
          <t>mischatobing@students.undip.ac.id</t>
        </is>
      </c>
      <c r="T22" t="n">
        <v>50</v>
      </c>
      <c r="U22" t="n">
        <v>93.59</v>
      </c>
      <c r="V22" t="n">
        <v>75</v>
      </c>
      <c r="W22" t="n">
        <v>63.33</v>
      </c>
      <c r="X22" t="inlineStr">
        <is>
          <t>-</t>
        </is>
      </c>
      <c r="Y22" t="inlineStr">
        <is>
          <t>-</t>
        </is>
      </c>
      <c r="Z22" t="inlineStr">
        <is>
          <t>-</t>
        </is>
      </c>
      <c r="AA22" t="n">
        <v>86</v>
      </c>
      <c r="AB22" t="n">
        <v>1782748444</v>
      </c>
    </row>
    <row r="23">
      <c r="A23" t="inlineStr">
        <is>
          <t>24060124120047</t>
        </is>
      </c>
      <c r="B23" t="inlineStr">
        <is>
          <t>HUSEIN AVICENNA</t>
        </is>
      </c>
      <c r="C23" t="n">
        <v>4</v>
      </c>
      <c r="D23" t="inlineStr">
        <is>
          <t>BARU</t>
        </is>
      </c>
      <c r="E23" s="3" t="n">
        <v>94</v>
      </c>
      <c r="F23" s="3" t="n"/>
      <c r="G23" s="3">
        <f>(E23*0.8)+(H23*0.2)</f>
        <v/>
      </c>
      <c r="H23" s="3" t="n">
        <v>78.398</v>
      </c>
      <c r="I23" s="3" t="n">
        <v>80</v>
      </c>
      <c r="J23" s="3" t="n"/>
      <c r="K23" s="2">
        <f>ROUND( ((E23*10+F23*40+G23*5+H23*5+I23*20+J23*20) / 100), 2)</f>
        <v/>
      </c>
      <c r="L23" s="2">
        <f>IF(AND(K23&gt;=85, K23&lt;=100), "A", IF(AND(K23&gt;=80, K23&lt;=84.999999999), "AB", IF(AND(K23&gt;=75, K23&lt;=79.999999999), "B", IF(AND(K23&gt;=70, K23&lt;=74.999999999), "BC", IF(AND(K23&gt;=60, K23&lt;=69.9999999999), "C", IF(AND(K23&gt;=40, K23&lt;=59.999999999), "D", IF(AND(K23&gt;=0, K23&lt;=39.999999999), "E", "E" ) ) ) ) ) ) )</f>
        <v/>
      </c>
      <c r="M23">
        <f>IF(AND(K23&gt;=85, K23&lt;=100), "4", IF(AND(K23&gt;=80, K23&lt;=84.999999999), "3.5", IF(AND(K23&gt;=75, K23&lt;=79.999999999), "3", IF(AND(K23&gt;=70, K23&lt;=74.999999999), "2.5", IF(AND(K23&gt;=60, K23&lt;=69.9999999999), "2", IF(AND(K23&gt;=40, K23&lt;=59.999999999), "1", IF(AND(K23&gt;=0, K23&lt;=39.999999999), "0", "0" ) ) ) ) ) ) )</f>
        <v/>
      </c>
      <c r="N23" t="inlineStr">
        <is>
          <t>Husein Avicenna</t>
        </is>
      </c>
      <c r="O23" t="n">
        <v>24060124120047</v>
      </c>
      <c r="P23" t="inlineStr">
        <is>
          <t>ceec07bc-0152-4248-815e-a54b6e5952b3</t>
        </is>
      </c>
      <c r="S23" t="inlineStr">
        <is>
          <t>huseinavicenna5@students.undip.ac.id</t>
        </is>
      </c>
      <c r="T23" t="n">
        <v>58.33</v>
      </c>
      <c r="U23" t="n">
        <v>79.48999999999999</v>
      </c>
      <c r="V23" t="n">
        <v>87.5</v>
      </c>
      <c r="W23" t="n">
        <v>86.67</v>
      </c>
      <c r="X23" t="inlineStr">
        <is>
          <t>-</t>
        </is>
      </c>
      <c r="Y23" t="n">
        <v>80</v>
      </c>
      <c r="Z23" t="n">
        <v>9.59</v>
      </c>
      <c r="AA23" t="n">
        <v>94</v>
      </c>
      <c r="AB23" t="n">
        <v>1782748444</v>
      </c>
    </row>
    <row r="24">
      <c r="A24" t="inlineStr">
        <is>
          <t>24060124130097</t>
        </is>
      </c>
      <c r="B24" t="inlineStr">
        <is>
          <t>HAIKAL IMAM RIDHA</t>
        </is>
      </c>
      <c r="C24" t="n">
        <v>4</v>
      </c>
      <c r="D24" t="inlineStr">
        <is>
          <t>BARU</t>
        </is>
      </c>
      <c r="E24" s="3" t="n">
        <v>87</v>
      </c>
      <c r="F24" s="3" t="n"/>
      <c r="G24" s="3">
        <f>(E24*0.8)+(H24*0.2)</f>
        <v/>
      </c>
      <c r="H24" s="3" t="n">
        <v>71.05199999999999</v>
      </c>
      <c r="I24" s="3" t="n">
        <v>80</v>
      </c>
      <c r="J24" s="3" t="n"/>
      <c r="K24" s="2">
        <f>ROUND( ((E24*10+F24*40+G24*5+H24*5+I24*20+J24*20) / 100), 2)</f>
        <v/>
      </c>
      <c r="L24" s="2">
        <f>IF(AND(K24&gt;=85, K24&lt;=100), "A", IF(AND(K24&gt;=80, K24&lt;=84.999999999), "AB", IF(AND(K24&gt;=75, K24&lt;=79.999999999), "B", IF(AND(K24&gt;=70, K24&lt;=74.999999999), "BC", IF(AND(K24&gt;=60, K24&lt;=69.9999999999), "C", IF(AND(K24&gt;=40, K24&lt;=59.999999999), "D", IF(AND(K24&gt;=0, K24&lt;=39.999999999), "E", "E" ) ) ) ) ) ) )</f>
        <v/>
      </c>
      <c r="M24">
        <f>IF(AND(K24&gt;=85, K24&lt;=100), "4", IF(AND(K24&gt;=80, K24&lt;=84.999999999), "3.5", IF(AND(K24&gt;=75, K24&lt;=79.999999999), "3", IF(AND(K24&gt;=70, K24&lt;=74.999999999), "2.5", IF(AND(K24&gt;=60, K24&lt;=69.9999999999), "2", IF(AND(K24&gt;=40, K24&lt;=59.999999999), "1", IF(AND(K24&gt;=0, K24&lt;=39.999999999), "0", "0" ) ) ) ) ) ) )</f>
        <v/>
      </c>
      <c r="N24" t="inlineStr">
        <is>
          <t>Haikal Imam Ridha</t>
        </is>
      </c>
      <c r="O24" t="n">
        <v>24060124130097</v>
      </c>
      <c r="P24" t="inlineStr">
        <is>
          <t>401a5846-4c49-4dcb-8bb4-d3375cd21d41</t>
        </is>
      </c>
      <c r="S24" t="inlineStr">
        <is>
          <t>haikalimamridha@students.undip.ac.id</t>
        </is>
      </c>
      <c r="T24" t="n">
        <v>75</v>
      </c>
      <c r="U24" t="n">
        <v>60.26</v>
      </c>
      <c r="V24" t="n">
        <v>75</v>
      </c>
      <c r="W24" t="n">
        <v>60</v>
      </c>
      <c r="X24" t="inlineStr">
        <is>
          <t>-</t>
        </is>
      </c>
      <c r="Y24" t="n">
        <v>85</v>
      </c>
      <c r="Z24" t="n">
        <v>3.51</v>
      </c>
      <c r="AA24" t="n">
        <v>87</v>
      </c>
      <c r="AB24" t="n">
        <v>1782748444</v>
      </c>
    </row>
    <row r="25">
      <c r="A25" t="inlineStr">
        <is>
          <t>24060124130113</t>
        </is>
      </c>
      <c r="B25" t="inlineStr">
        <is>
          <t>JOSHUA SATRIA KUSUMA</t>
        </is>
      </c>
      <c r="C25" t="n">
        <v>4</v>
      </c>
      <c r="D25" t="inlineStr">
        <is>
          <t>BARU</t>
        </is>
      </c>
      <c r="E25" s="3" t="n">
        <v>95</v>
      </c>
      <c r="F25" s="3" t="n"/>
      <c r="G25" s="3">
        <f>(E25*0.8)+(H25*0.2)</f>
        <v/>
      </c>
      <c r="H25" s="3" t="n">
        <v>32</v>
      </c>
      <c r="I25" s="3" t="n">
        <v>80</v>
      </c>
      <c r="J25" s="3" t="n"/>
      <c r="K25" s="2">
        <f>ROUND( ((E25*10+F25*40+G25*5+H25*5+I25*20+J25*20) / 100), 2)</f>
        <v/>
      </c>
      <c r="L25" s="2">
        <f>IF(AND(K25&gt;=85, K25&lt;=100), "A", IF(AND(K25&gt;=80, K25&lt;=84.999999999), "AB", IF(AND(K25&gt;=75, K25&lt;=79.999999999), "B", IF(AND(K25&gt;=70, K25&lt;=74.999999999), "BC", IF(AND(K25&gt;=60, K25&lt;=69.9999999999), "C", IF(AND(K25&gt;=40, K25&lt;=59.999999999), "D", IF(AND(K25&gt;=0, K25&lt;=39.999999999), "E", "E" ) ) ) ) ) ) )</f>
        <v/>
      </c>
      <c r="M25">
        <f>IF(AND(K25&gt;=85, K25&lt;=100), "4", IF(AND(K25&gt;=80, K25&lt;=84.999999999), "3.5", IF(AND(K25&gt;=75, K25&lt;=79.999999999), "3", IF(AND(K25&gt;=70, K25&lt;=74.999999999), "2.5", IF(AND(K25&gt;=60, K25&lt;=69.9999999999), "2", IF(AND(K25&gt;=40, K25&lt;=59.999999999), "1", IF(AND(K25&gt;=0, K25&lt;=39.999999999), "0", "0" ) ) ) ) ) ) )</f>
        <v/>
      </c>
      <c r="N25" t="inlineStr">
        <is>
          <t>Joshua Satria Kusuma</t>
        </is>
      </c>
      <c r="O25" t="n">
        <v>24060124130113</v>
      </c>
      <c r="P25" t="inlineStr">
        <is>
          <t>a1a25d6e-b479-4de4-aab0-24bb77ad276e</t>
        </is>
      </c>
      <c r="S25" t="inlineStr">
        <is>
          <t>joshuakusuma@students.undip.ac.id</t>
        </is>
      </c>
      <c r="T25" t="n">
        <v>75</v>
      </c>
      <c r="U25" t="inlineStr">
        <is>
          <t>-</t>
        </is>
      </c>
      <c r="V25" t="inlineStr">
        <is>
          <t>-</t>
        </is>
      </c>
      <c r="W25" t="inlineStr">
        <is>
          <t>-</t>
        </is>
      </c>
      <c r="X25" t="inlineStr">
        <is>
          <t>-</t>
        </is>
      </c>
      <c r="Y25" t="n">
        <v>85</v>
      </c>
      <c r="Z25" t="inlineStr">
        <is>
          <t>-</t>
        </is>
      </c>
      <c r="AA25" t="n">
        <v>95</v>
      </c>
      <c r="AB25" t="n">
        <v>1782748444</v>
      </c>
    </row>
    <row r="26">
      <c r="A26" t="inlineStr">
        <is>
          <t>24060124140131</t>
        </is>
      </c>
      <c r="B26" t="inlineStr">
        <is>
          <t>HARITS PERMANA</t>
        </is>
      </c>
      <c r="C26" t="n">
        <v>4</v>
      </c>
      <c r="D26" t="inlineStr">
        <is>
          <t>BARU</t>
        </is>
      </c>
      <c r="E26" s="3" t="n">
        <v>91</v>
      </c>
      <c r="F26" s="3" t="n"/>
      <c r="G26" s="3">
        <f>(E26*0.8)+(H26*0.2)</f>
        <v/>
      </c>
      <c r="H26" s="3" t="n">
        <v>59.206</v>
      </c>
      <c r="I26" s="3" t="n">
        <v>80</v>
      </c>
      <c r="J26" s="3" t="n"/>
      <c r="K26" s="2">
        <f>ROUND( ((E26*10+F26*40+G26*5+H26*5+I26*20+J26*20) / 100), 2)</f>
        <v/>
      </c>
      <c r="L26" s="2">
        <f>IF(AND(K26&gt;=85, K26&lt;=100), "A", IF(AND(K26&gt;=80, K26&lt;=84.999999999), "AB", IF(AND(K26&gt;=75, K26&lt;=79.999999999), "B", IF(AND(K26&gt;=70, K26&lt;=74.999999999), "BC", IF(AND(K26&gt;=60, K26&lt;=69.9999999999), "C", IF(AND(K26&gt;=40, K26&lt;=59.999999999), "D", IF(AND(K26&gt;=0, K26&lt;=39.999999999), "E", "E" ) ) ) ) ) ) )</f>
        <v/>
      </c>
      <c r="M26">
        <f>IF(AND(K26&gt;=85, K26&lt;=100), "4", IF(AND(K26&gt;=80, K26&lt;=84.999999999), "3.5", IF(AND(K26&gt;=75, K26&lt;=79.999999999), "3", IF(AND(K26&gt;=70, K26&lt;=74.999999999), "2.5", IF(AND(K26&gt;=60, K26&lt;=69.9999999999), "2", IF(AND(K26&gt;=40, K26&lt;=59.999999999), "1", IF(AND(K26&gt;=0, K26&lt;=39.999999999), "0", "0" ) ) ) ) ) ) )</f>
        <v/>
      </c>
      <c r="N26" t="inlineStr">
        <is>
          <t>Harits Permana</t>
        </is>
      </c>
      <c r="O26" t="n">
        <v>24060124140131</v>
      </c>
      <c r="P26" t="inlineStr">
        <is>
          <t>1374dc06-f1e3-4c39-8de4-d95278a4305c</t>
        </is>
      </c>
      <c r="S26" t="inlineStr">
        <is>
          <t>haritsprmn@students.undip.ac.id</t>
        </is>
      </c>
      <c r="T26" t="n">
        <v>66.67</v>
      </c>
      <c r="U26" t="n">
        <v>49.36</v>
      </c>
      <c r="V26" t="n">
        <v>50</v>
      </c>
      <c r="W26" t="n">
        <v>50</v>
      </c>
      <c r="X26" t="inlineStr">
        <is>
          <t>-</t>
        </is>
      </c>
      <c r="Y26" t="n">
        <v>80</v>
      </c>
      <c r="Z26" t="n">
        <v>8.869999999999999</v>
      </c>
      <c r="AA26" t="n">
        <v>91</v>
      </c>
      <c r="AB26" t="n">
        <v>1782748444</v>
      </c>
    </row>
    <row r="27">
      <c r="A27" t="inlineStr">
        <is>
          <t>24060124110142</t>
        </is>
      </c>
      <c r="B27" t="inlineStr">
        <is>
          <t>MUCHAMMAD YUDA TRI ANANDA</t>
        </is>
      </c>
      <c r="C27" t="n">
        <v>4</v>
      </c>
      <c r="D27" t="inlineStr">
        <is>
          <t>BARU</t>
        </is>
      </c>
      <c r="E27" s="3" t="n">
        <v>96</v>
      </c>
      <c r="F27" s="3" t="n"/>
      <c r="G27" s="3">
        <f>(E27*0.8)+(H27*0.2)</f>
        <v/>
      </c>
      <c r="H27" s="3" t="n">
        <v>90.84599999999999</v>
      </c>
      <c r="I27" s="3" t="n">
        <v>74</v>
      </c>
      <c r="J27" s="3" t="n"/>
      <c r="K27" s="2">
        <f>ROUND( ((E27*10+F27*40+G27*5+H27*5+I27*20+J27*20) / 100), 2)</f>
        <v/>
      </c>
      <c r="L27" s="2">
        <f>IF(AND(K27&gt;=85, K27&lt;=100), "A", IF(AND(K27&gt;=80, K27&lt;=84.999999999), "AB", IF(AND(K27&gt;=75, K27&lt;=79.999999999), "B", IF(AND(K27&gt;=70, K27&lt;=74.999999999), "BC", IF(AND(K27&gt;=60, K27&lt;=69.9999999999), "C", IF(AND(K27&gt;=40, K27&lt;=59.999999999), "D", IF(AND(K27&gt;=0, K27&lt;=39.999999999), "E", "E" ) ) ) ) ) ) )</f>
        <v/>
      </c>
      <c r="M27">
        <f>IF(AND(K27&gt;=85, K27&lt;=100), "4", IF(AND(K27&gt;=80, K27&lt;=84.999999999), "3.5", IF(AND(K27&gt;=75, K27&lt;=79.999999999), "3", IF(AND(K27&gt;=70, K27&lt;=74.999999999), "2.5", IF(AND(K27&gt;=60, K27&lt;=69.9999999999), "2", IF(AND(K27&gt;=40, K27&lt;=59.999999999), "1", IF(AND(K27&gt;=0, K27&lt;=39.999999999), "0", "0" ) ) ) ) ) ) )</f>
        <v/>
      </c>
      <c r="N27" t="inlineStr">
        <is>
          <t>Muchammad Yuda Tri Ananda</t>
        </is>
      </c>
      <c r="O27" t="n">
        <v>24060124110142</v>
      </c>
      <c r="P27" t="inlineStr">
        <is>
          <t>8be5dc2a-8eeb-4453-850b-de57e9176d78</t>
        </is>
      </c>
      <c r="S27" t="inlineStr">
        <is>
          <t>myudak@students.undip.ac.id</t>
        </is>
      </c>
      <c r="T27" t="n">
        <v>75</v>
      </c>
      <c r="U27" t="n">
        <v>85.90000000000001</v>
      </c>
      <c r="V27" t="n">
        <v>100</v>
      </c>
      <c r="W27" t="n">
        <v>93.33</v>
      </c>
      <c r="X27" t="inlineStr">
        <is>
          <t>-</t>
        </is>
      </c>
      <c r="Y27" t="n">
        <v>100</v>
      </c>
      <c r="Z27" t="n">
        <v>9.359999999999999</v>
      </c>
      <c r="AA27" t="n">
        <v>96</v>
      </c>
      <c r="AB27" t="n">
        <v>1782748444</v>
      </c>
    </row>
    <row r="28">
      <c r="A28" t="inlineStr">
        <is>
          <t>24060124120013</t>
        </is>
      </c>
      <c r="B28" t="inlineStr">
        <is>
          <t>MUHAMAD KEMAL FAZA</t>
        </is>
      </c>
      <c r="C28" t="n">
        <v>4</v>
      </c>
      <c r="D28" t="inlineStr">
        <is>
          <t>BARU</t>
        </is>
      </c>
      <c r="E28" s="3" t="n">
        <v>93</v>
      </c>
      <c r="F28" s="3" t="n"/>
      <c r="G28" s="3">
        <f>(E28*0.8)+(H28*0.2)</f>
        <v/>
      </c>
      <c r="H28" s="3" t="n">
        <v>75.91</v>
      </c>
      <c r="I28" s="3" t="n">
        <v>74</v>
      </c>
      <c r="J28" s="3" t="n"/>
      <c r="K28" s="2">
        <f>ROUND( ((E28*10+F28*40+G28*5+H28*5+I28*20+J28*20) / 100), 2)</f>
        <v/>
      </c>
      <c r="L28" s="2">
        <f>IF(AND(K28&gt;=85, K28&lt;=100), "A", IF(AND(K28&gt;=80, K28&lt;=84.999999999), "AB", IF(AND(K28&gt;=75, K28&lt;=79.999999999), "B", IF(AND(K28&gt;=70, K28&lt;=74.999999999), "BC", IF(AND(K28&gt;=60, K28&lt;=69.9999999999), "C", IF(AND(K28&gt;=40, K28&lt;=59.999999999), "D", IF(AND(K28&gt;=0, K28&lt;=39.999999999), "E", "E" ) ) ) ) ) ) )</f>
        <v/>
      </c>
      <c r="M28">
        <f>IF(AND(K28&gt;=85, K28&lt;=100), "4", IF(AND(K28&gt;=80, K28&lt;=84.999999999), "3.5", IF(AND(K28&gt;=75, K28&lt;=79.999999999), "3", IF(AND(K28&gt;=70, K28&lt;=74.999999999), "2.5", IF(AND(K28&gt;=60, K28&lt;=69.9999999999), "2", IF(AND(K28&gt;=40, K28&lt;=59.999999999), "1", IF(AND(K28&gt;=0, K28&lt;=39.999999999), "0", "0" ) ) ) ) ) ) )</f>
        <v/>
      </c>
      <c r="N28" t="inlineStr">
        <is>
          <t>Muhamad Kemal Faza</t>
        </is>
      </c>
      <c r="O28" t="n">
        <v>24060124120013</v>
      </c>
      <c r="P28" t="inlineStr">
        <is>
          <t>39774c32-1d0b-43c1-9ef9-7a814f9ae28f</t>
        </is>
      </c>
      <c r="S28" t="inlineStr">
        <is>
          <t>kemalfaza26@students.undip.ac.id</t>
        </is>
      </c>
      <c r="T28" t="n">
        <v>66.67</v>
      </c>
      <c r="U28" t="n">
        <v>65.38</v>
      </c>
      <c r="V28" t="n">
        <v>87.5</v>
      </c>
      <c r="W28" t="n">
        <v>60</v>
      </c>
      <c r="X28" t="inlineStr">
        <is>
          <t>-</t>
        </is>
      </c>
      <c r="Y28" t="n">
        <v>100</v>
      </c>
      <c r="Z28" t="n">
        <v>9.18</v>
      </c>
      <c r="AA28" t="n">
        <v>93</v>
      </c>
      <c r="AB28" t="n">
        <v>1782748444</v>
      </c>
    </row>
    <row r="29">
      <c r="A29" t="inlineStr">
        <is>
          <t>24060124120019</t>
        </is>
      </c>
      <c r="B29" t="inlineStr">
        <is>
          <t>NADIA AZURA NURHANIYA</t>
        </is>
      </c>
      <c r="C29" t="n">
        <v>4</v>
      </c>
      <c r="D29" t="inlineStr">
        <is>
          <t>BARU</t>
        </is>
      </c>
      <c r="E29" s="3" t="n">
        <v>98</v>
      </c>
      <c r="F29" s="3" t="n"/>
      <c r="G29" s="3">
        <f>(E29*0.8)+(H29*0.2)</f>
        <v/>
      </c>
      <c r="H29" s="3" t="n">
        <v>82.884</v>
      </c>
      <c r="I29" s="3" t="n">
        <v>74</v>
      </c>
      <c r="J29" s="3" t="n"/>
      <c r="K29" s="2">
        <f>ROUND( ((E29*10+F29*40+G29*5+H29*5+I29*20+J29*20) / 100), 2)</f>
        <v/>
      </c>
      <c r="L29" s="2">
        <f>IF(AND(K29&gt;=85, K29&lt;=100), "A", IF(AND(K29&gt;=80, K29&lt;=84.999999999), "AB", IF(AND(K29&gt;=75, K29&lt;=79.999999999), "B", IF(AND(K29&gt;=70, K29&lt;=74.999999999), "BC", IF(AND(K29&gt;=60, K29&lt;=69.9999999999), "C", IF(AND(K29&gt;=40, K29&lt;=59.999999999), "D", IF(AND(K29&gt;=0, K29&lt;=39.999999999), "E", "E" ) ) ) ) ) ) )</f>
        <v/>
      </c>
      <c r="M29">
        <f>IF(AND(K29&gt;=85, K29&lt;=100), "4", IF(AND(K29&gt;=80, K29&lt;=84.999999999), "3.5", IF(AND(K29&gt;=75, K29&lt;=79.999999999), "3", IF(AND(K29&gt;=70, K29&lt;=74.999999999), "2.5", IF(AND(K29&gt;=60, K29&lt;=69.9999999999), "2", IF(AND(K29&gt;=40, K29&lt;=59.999999999), "1", IF(AND(K29&gt;=0, K29&lt;=39.999999999), "0", "0" ) ) ) ) ) ) )</f>
        <v/>
      </c>
      <c r="N29" t="inlineStr">
        <is>
          <t>Nadia Azura Nurhaniya</t>
        </is>
      </c>
      <c r="O29" t="n">
        <v>24060124120019</v>
      </c>
      <c r="P29" t="inlineStr">
        <is>
          <t>58575fed-c57a-4e14-87be-56a83e4c725a</t>
        </is>
      </c>
      <c r="S29" t="inlineStr">
        <is>
          <t>nadianurhaniya@students.undip.ac.id</t>
        </is>
      </c>
      <c r="T29" t="n">
        <v>83.33</v>
      </c>
      <c r="U29" t="n">
        <v>76.92</v>
      </c>
      <c r="V29" t="n">
        <v>87.5</v>
      </c>
      <c r="W29" t="n">
        <v>76.67</v>
      </c>
      <c r="X29" t="inlineStr">
        <is>
          <t>-</t>
        </is>
      </c>
      <c r="Y29" t="n">
        <v>90</v>
      </c>
      <c r="Z29" t="n">
        <v>9.69</v>
      </c>
      <c r="AA29" t="n">
        <v>98</v>
      </c>
      <c r="AB29" t="n">
        <v>1782748444</v>
      </c>
    </row>
    <row r="30">
      <c r="A30" t="inlineStr">
        <is>
          <t>24060124140139</t>
        </is>
      </c>
      <c r="B30" t="inlineStr">
        <is>
          <t>MUHAMMAD FAUZAN AKBAR</t>
        </is>
      </c>
      <c r="C30" t="n">
        <v>4</v>
      </c>
      <c r="D30" t="inlineStr">
        <is>
          <t>BARU</t>
        </is>
      </c>
      <c r="E30" s="3" t="n">
        <v>94</v>
      </c>
      <c r="F30" s="3" t="n"/>
      <c r="G30" s="3">
        <f>(E30*0.8)+(H30*0.2)</f>
        <v/>
      </c>
      <c r="H30" s="3" t="n">
        <v>66.884</v>
      </c>
      <c r="I30" s="3" t="n">
        <v>91</v>
      </c>
      <c r="J30" s="3" t="n"/>
      <c r="K30" s="2">
        <f>ROUND( ((E30*10+F30*40+G30*5+H30*5+I30*20+J30*20) / 100), 2)</f>
        <v/>
      </c>
      <c r="L30" s="2">
        <f>IF(AND(K30&gt;=85, K30&lt;=100), "A", IF(AND(K30&gt;=80, K30&lt;=84.999999999), "AB", IF(AND(K30&gt;=75, K30&lt;=79.999999999), "B", IF(AND(K30&gt;=70, K30&lt;=74.999999999), "BC", IF(AND(K30&gt;=60, K30&lt;=69.9999999999), "C", IF(AND(K30&gt;=40, K30&lt;=59.999999999), "D", IF(AND(K30&gt;=0, K30&lt;=39.999999999), "E", "E" ) ) ) ) ) ) )</f>
        <v/>
      </c>
      <c r="M30">
        <f>IF(AND(K30&gt;=85, K30&lt;=100), "4", IF(AND(K30&gt;=80, K30&lt;=84.999999999), "3.5", IF(AND(K30&gt;=75, K30&lt;=79.999999999), "3", IF(AND(K30&gt;=70, K30&lt;=74.999999999), "2.5", IF(AND(K30&gt;=60, K30&lt;=69.9999999999), "2", IF(AND(K30&gt;=40, K30&lt;=59.999999999), "1", IF(AND(K30&gt;=0, K30&lt;=39.999999999), "0", "0" ) ) ) ) ) ) )</f>
        <v/>
      </c>
      <c r="N30" t="inlineStr">
        <is>
          <t>Muhammad Fauzan Akbar</t>
        </is>
      </c>
      <c r="O30" t="n">
        <v>24060124140139</v>
      </c>
      <c r="P30" t="inlineStr">
        <is>
          <t>5f633d8d-2e79-40f5-835d-de64e9b44cb1</t>
        </is>
      </c>
      <c r="S30" t="inlineStr">
        <is>
          <t>muhammadfauzanakbar@students.undip.ac.id</t>
        </is>
      </c>
      <c r="T30" t="n">
        <v>58.33</v>
      </c>
      <c r="U30" t="n">
        <v>72.76000000000001</v>
      </c>
      <c r="V30" t="n">
        <v>75</v>
      </c>
      <c r="W30" t="n">
        <v>53.33</v>
      </c>
      <c r="X30" t="inlineStr">
        <is>
          <t>-</t>
        </is>
      </c>
      <c r="Y30" t="n">
        <v>75</v>
      </c>
      <c r="Z30" t="n">
        <v>9.279999999999999</v>
      </c>
      <c r="AA30" t="n">
        <v>94</v>
      </c>
      <c r="AB30" t="n">
        <v>1782748444</v>
      </c>
    </row>
    <row r="31">
      <c r="A31" t="inlineStr">
        <is>
          <t>24060124140166</t>
        </is>
      </c>
      <c r="B31" t="inlineStr">
        <is>
          <t>MUHAMMAD FARHAN ABDUL AZIS</t>
        </is>
      </c>
      <c r="C31" t="n">
        <v>4</v>
      </c>
      <c r="D31" t="inlineStr">
        <is>
          <t>BARU</t>
        </is>
      </c>
      <c r="E31" s="3" t="n">
        <v>96</v>
      </c>
      <c r="F31" s="3" t="n"/>
      <c r="G31" s="3">
        <f>(E31*0.8)+(H31*0.2)</f>
        <v/>
      </c>
      <c r="H31" s="3" t="n">
        <v>83.69199999999999</v>
      </c>
      <c r="I31" s="3" t="n">
        <v>83</v>
      </c>
      <c r="J31" s="3" t="n"/>
      <c r="K31" s="2">
        <f>ROUND( ((E31*10+F31*40+G31*5+H31*5+I31*20+J31*20) / 100), 2)</f>
        <v/>
      </c>
      <c r="L31" s="2">
        <f>IF(AND(K31&gt;=85, K31&lt;=100), "A", IF(AND(K31&gt;=80, K31&lt;=84.999999999), "AB", IF(AND(K31&gt;=75, K31&lt;=79.999999999), "B", IF(AND(K31&gt;=70, K31&lt;=74.999999999), "BC", IF(AND(K31&gt;=60, K31&lt;=69.9999999999), "C", IF(AND(K31&gt;=40, K31&lt;=59.999999999), "D", IF(AND(K31&gt;=0, K31&lt;=39.999999999), "E", "E" ) ) ) ) ) ) )</f>
        <v/>
      </c>
      <c r="M31">
        <f>IF(AND(K31&gt;=85, K31&lt;=100), "4", IF(AND(K31&gt;=80, K31&lt;=84.999999999), "3.5", IF(AND(K31&gt;=75, K31&lt;=79.999999999), "3", IF(AND(K31&gt;=70, K31&lt;=74.999999999), "2.5", IF(AND(K31&gt;=60, K31&lt;=69.9999999999), "2", IF(AND(K31&gt;=40, K31&lt;=59.999999999), "1", IF(AND(K31&gt;=0, K31&lt;=39.999999999), "0", "0" ) ) ) ) ) ) )</f>
        <v/>
      </c>
      <c r="N31" t="inlineStr">
        <is>
          <t>Muhammad Farhan Abdul Azis</t>
        </is>
      </c>
      <c r="O31" t="n">
        <v>24060124140166</v>
      </c>
      <c r="P31" t="inlineStr">
        <is>
          <t>0b94633b-90db-4d21-914b-6a22cfa50dc6</t>
        </is>
      </c>
      <c r="S31" t="inlineStr">
        <is>
          <t>farhannn@students.undip.ac.id</t>
        </is>
      </c>
      <c r="T31" t="n">
        <v>75</v>
      </c>
      <c r="U31" t="n">
        <v>88.45999999999999</v>
      </c>
      <c r="V31" t="n">
        <v>75</v>
      </c>
      <c r="W31" t="n">
        <v>80</v>
      </c>
      <c r="X31" t="inlineStr">
        <is>
          <t>-</t>
        </is>
      </c>
      <c r="Y31" t="n">
        <v>100</v>
      </c>
      <c r="Z31" t="n">
        <v>1.34</v>
      </c>
      <c r="AA31" t="n">
        <v>96</v>
      </c>
      <c r="AB31" t="n">
        <v>1782748444</v>
      </c>
    </row>
    <row r="32">
      <c r="A32" t="inlineStr">
        <is>
          <t>24060124140200</t>
        </is>
      </c>
      <c r="B32" t="inlineStr">
        <is>
          <t>MUHAMMAD ZAIDAAN ARDIYANSYAH</t>
        </is>
      </c>
      <c r="C32" t="n">
        <v>4</v>
      </c>
      <c r="D32" t="inlineStr">
        <is>
          <t>BARU</t>
        </is>
      </c>
      <c r="E32" s="3" t="n">
        <v>95</v>
      </c>
      <c r="F32" s="3" t="n"/>
      <c r="G32" s="3">
        <f>(E32*0.8)+(H32*0.2)</f>
        <v/>
      </c>
      <c r="H32" s="3" t="n">
        <v>76.102</v>
      </c>
      <c r="I32" s="3" t="n">
        <v>74</v>
      </c>
      <c r="J32" s="3" t="n"/>
      <c r="K32" s="2">
        <f>ROUND( ((E32*10+F32*40+G32*5+H32*5+I32*20+J32*20) / 100), 2)</f>
        <v/>
      </c>
      <c r="L32" s="2">
        <f>IF(AND(K32&gt;=85, K32&lt;=100), "A", IF(AND(K32&gt;=80, K32&lt;=84.999999999), "AB", IF(AND(K32&gt;=75, K32&lt;=79.999999999), "B", IF(AND(K32&gt;=70, K32&lt;=74.999999999), "BC", IF(AND(K32&gt;=60, K32&lt;=69.9999999999), "C", IF(AND(K32&gt;=40, K32&lt;=59.999999999), "D", IF(AND(K32&gt;=0, K32&lt;=39.999999999), "E", "E" ) ) ) ) ) ) )</f>
        <v/>
      </c>
      <c r="M32">
        <f>IF(AND(K32&gt;=85, K32&lt;=100), "4", IF(AND(K32&gt;=80, K32&lt;=84.999999999), "3.5", IF(AND(K32&gt;=75, K32&lt;=79.999999999), "3", IF(AND(K32&gt;=70, K32&lt;=74.999999999), "2.5", IF(AND(K32&gt;=60, K32&lt;=69.9999999999), "2", IF(AND(K32&gt;=40, K32&lt;=59.999999999), "1", IF(AND(K32&gt;=0, K32&lt;=39.999999999), "0", "0" ) ) ) ) ) ) )</f>
        <v/>
      </c>
      <c r="N32" t="inlineStr">
        <is>
          <t>Muhammad Zaidaan Ardiyansyah</t>
        </is>
      </c>
      <c r="O32" t="n">
        <v>24060124140200</v>
      </c>
      <c r="P32" t="inlineStr">
        <is>
          <t>d45dc214-9277-4c54-9992-bd6f84fac501</t>
        </is>
      </c>
      <c r="S32" t="inlineStr">
        <is>
          <t>zaidaanardiansyah@students.undip.ac.id</t>
        </is>
      </c>
      <c r="T32" t="n">
        <v>58.33</v>
      </c>
      <c r="U32" t="n">
        <v>70.51000000000001</v>
      </c>
      <c r="V32" t="n">
        <v>75</v>
      </c>
      <c r="W32" t="n">
        <v>76.67</v>
      </c>
      <c r="X32" t="inlineStr">
        <is>
          <t>-</t>
        </is>
      </c>
      <c r="Y32" t="n">
        <v>100</v>
      </c>
      <c r="Z32" t="n">
        <v>9.18</v>
      </c>
      <c r="AA32" t="n">
        <v>95</v>
      </c>
      <c r="AB32" t="n">
        <v>1782748444</v>
      </c>
    </row>
    <row r="33">
      <c r="A33" t="inlineStr">
        <is>
          <t>24060124120006</t>
        </is>
      </c>
      <c r="B33" t="inlineStr">
        <is>
          <t>ADITYA SULTONUL ULYA</t>
        </is>
      </c>
      <c r="C33" t="n">
        <v>4</v>
      </c>
      <c r="D33" t="inlineStr">
        <is>
          <t>BARU</t>
        </is>
      </c>
      <c r="E33" s="3" t="n">
        <v>96</v>
      </c>
      <c r="F33" s="3" t="n"/>
      <c r="G33" s="3">
        <f>(E33*0.8)+(H33*0.2)</f>
        <v/>
      </c>
      <c r="H33" s="3" t="n">
        <v>80.19199999999999</v>
      </c>
      <c r="I33" s="3" t="n">
        <v>87</v>
      </c>
      <c r="J33" s="3" t="n"/>
      <c r="K33" s="2">
        <f>ROUND( ((E33*10+F33*40+G33*5+H33*5+I33*20+J33*20) / 100), 2)</f>
        <v/>
      </c>
      <c r="L33" s="2">
        <f>IF(AND(K33&gt;=85, K33&lt;=100), "A", IF(AND(K33&gt;=80, K33&lt;=84.999999999), "AB", IF(AND(K33&gt;=75, K33&lt;=79.999999999), "B", IF(AND(K33&gt;=70, K33&lt;=74.999999999), "BC", IF(AND(K33&gt;=60, K33&lt;=69.9999999999), "C", IF(AND(K33&gt;=40, K33&lt;=59.999999999), "D", IF(AND(K33&gt;=0, K33&lt;=39.999999999), "E", "E" ) ) ) ) ) ) )</f>
        <v/>
      </c>
      <c r="M33">
        <f>IF(AND(K33&gt;=85, K33&lt;=100), "4", IF(AND(K33&gt;=80, K33&lt;=84.999999999), "3.5", IF(AND(K33&gt;=75, K33&lt;=79.999999999), "3", IF(AND(K33&gt;=70, K33&lt;=74.999999999), "2.5", IF(AND(K33&gt;=60, K33&lt;=69.9999999999), "2", IF(AND(K33&gt;=40, K33&lt;=59.999999999), "1", IF(AND(K33&gt;=0, K33&lt;=39.999999999), "0", "0" ) ) ) ) ) ) )</f>
        <v/>
      </c>
      <c r="N33" t="inlineStr">
        <is>
          <t>Aditya Sultonul Ulya</t>
        </is>
      </c>
      <c r="O33" t="n">
        <v>24060124120006</v>
      </c>
      <c r="P33" t="inlineStr">
        <is>
          <t>939ac8f4-34a8-4daa-9309-d880afad7a91</t>
        </is>
      </c>
      <c r="S33" t="inlineStr">
        <is>
          <t>adityaulyy@students.undip.ac.id</t>
        </is>
      </c>
      <c r="T33" t="n">
        <v>58.33</v>
      </c>
      <c r="U33" t="n">
        <v>88.45999999999999</v>
      </c>
      <c r="V33" t="n">
        <v>87.5</v>
      </c>
      <c r="W33" t="n">
        <v>66.67</v>
      </c>
      <c r="X33" t="inlineStr">
        <is>
          <t>-</t>
        </is>
      </c>
      <c r="Y33" t="n">
        <v>100</v>
      </c>
      <c r="Z33" t="inlineStr">
        <is>
          <t>-</t>
        </is>
      </c>
      <c r="AA33" t="n">
        <v>96</v>
      </c>
      <c r="AB33" t="n">
        <v>1782748444</v>
      </c>
    </row>
    <row r="34">
      <c r="A34" t="inlineStr">
        <is>
          <t>24060124130053</t>
        </is>
      </c>
      <c r="B34" t="inlineStr">
        <is>
          <t>ANINTYA ABHI WIRYATEJA</t>
        </is>
      </c>
      <c r="C34" t="n">
        <v>4</v>
      </c>
      <c r="D34" t="inlineStr">
        <is>
          <t>BARU</t>
        </is>
      </c>
      <c r="E34" s="3" t="n">
        <v>78</v>
      </c>
      <c r="F34" s="3" t="n"/>
      <c r="G34" s="3">
        <f>(E34*0.8)+(H34*0.2)</f>
        <v/>
      </c>
      <c r="H34" s="3" t="n">
        <v>61.79600000000001</v>
      </c>
      <c r="I34" s="3" t="n">
        <v>87</v>
      </c>
      <c r="J34" s="3" t="n"/>
      <c r="K34" s="2">
        <f>ROUND( ((E34*10+F34*40+G34*5+H34*5+I34*20+J34*20) / 100), 2)</f>
        <v/>
      </c>
      <c r="L34" s="2">
        <f>IF(AND(K34&gt;=85, K34&lt;=100), "A", IF(AND(K34&gt;=80, K34&lt;=84.999999999), "AB", IF(AND(K34&gt;=75, K34&lt;=79.999999999), "B", IF(AND(K34&gt;=70, K34&lt;=74.999999999), "BC", IF(AND(K34&gt;=60, K34&lt;=69.9999999999), "C", IF(AND(K34&gt;=40, K34&lt;=59.999999999), "D", IF(AND(K34&gt;=0, K34&lt;=39.999999999), "E", "E" ) ) ) ) ) ) )</f>
        <v/>
      </c>
      <c r="M34">
        <f>IF(AND(K34&gt;=85, K34&lt;=100), "4", IF(AND(K34&gt;=80, K34&lt;=84.999999999), "3.5", IF(AND(K34&gt;=75, K34&lt;=79.999999999), "3", IF(AND(K34&gt;=70, K34&lt;=74.999999999), "2.5", IF(AND(K34&gt;=60, K34&lt;=69.9999999999), "2", IF(AND(K34&gt;=40, K34&lt;=59.999999999), "1", IF(AND(K34&gt;=0, K34&lt;=39.999999999), "0", "0" ) ) ) ) ) ) )</f>
        <v/>
      </c>
      <c r="N34" t="inlineStr">
        <is>
          <t>Anintya Abhi Wiryateja</t>
        </is>
      </c>
      <c r="O34" t="n">
        <v>24060124130053</v>
      </c>
      <c r="P34" t="inlineStr">
        <is>
          <t>faa98b9b-b187-4922-9fde-b4bf081c6b75</t>
        </is>
      </c>
      <c r="S34" t="inlineStr">
        <is>
          <t>abhiwiryateja@students.undip.ac.id</t>
        </is>
      </c>
      <c r="T34" t="n">
        <v>66.67</v>
      </c>
      <c r="U34" t="n">
        <v>42.31</v>
      </c>
      <c r="V34" t="n">
        <v>75</v>
      </c>
      <c r="W34" t="n">
        <v>80</v>
      </c>
      <c r="X34" t="inlineStr">
        <is>
          <t>-</t>
        </is>
      </c>
      <c r="Y34" t="n">
        <v>45</v>
      </c>
      <c r="Z34" t="inlineStr">
        <is>
          <t>-</t>
        </is>
      </c>
      <c r="AA34" t="n">
        <v>78</v>
      </c>
      <c r="AB34" t="n">
        <v>1782748444</v>
      </c>
    </row>
    <row r="35">
      <c r="A35" t="inlineStr">
        <is>
          <t>24060124130064</t>
        </is>
      </c>
      <c r="B35" t="inlineStr">
        <is>
          <t>ANGGITA KIRANA PUSPA</t>
        </is>
      </c>
      <c r="C35" t="n">
        <v>4</v>
      </c>
      <c r="D35" t="inlineStr">
        <is>
          <t>BARU</t>
        </is>
      </c>
      <c r="E35" s="3" t="n">
        <v>97</v>
      </c>
      <c r="F35" s="3" t="n"/>
      <c r="G35" s="3">
        <f>(E35*0.8)+(H35*0.2)</f>
        <v/>
      </c>
      <c r="H35" s="3" t="n">
        <v>81.09200000000001</v>
      </c>
      <c r="I35" s="3" t="n">
        <v>86</v>
      </c>
      <c r="J35" s="3" t="n"/>
      <c r="K35" s="2">
        <f>ROUND( ((E35*10+F35*40+G35*5+H35*5+I35*20+J35*20) / 100), 2)</f>
        <v/>
      </c>
      <c r="L35" s="2">
        <f>IF(AND(K35&gt;=85, K35&lt;=100), "A", IF(AND(K35&gt;=80, K35&lt;=84.999999999), "AB", IF(AND(K35&gt;=75, K35&lt;=79.999999999), "B", IF(AND(K35&gt;=70, K35&lt;=74.999999999), "BC", IF(AND(K35&gt;=60, K35&lt;=69.9999999999), "C", IF(AND(K35&gt;=40, K35&lt;=59.999999999), "D", IF(AND(K35&gt;=0, K35&lt;=39.999999999), "E", "E" ) ) ) ) ) ) )</f>
        <v/>
      </c>
      <c r="M35">
        <f>IF(AND(K35&gt;=85, K35&lt;=100), "4", IF(AND(K35&gt;=80, K35&lt;=84.999999999), "3.5", IF(AND(K35&gt;=75, K35&lt;=79.999999999), "3", IF(AND(K35&gt;=70, K35&lt;=74.999999999), "2.5", IF(AND(K35&gt;=60, K35&lt;=69.9999999999), "2", IF(AND(K35&gt;=40, K35&lt;=59.999999999), "1", IF(AND(K35&gt;=0, K35&lt;=39.999999999), "0", "0" ) ) ) ) ) ) )</f>
        <v/>
      </c>
      <c r="N35" t="inlineStr">
        <is>
          <t>Anggita Kirana Puspa</t>
        </is>
      </c>
      <c r="O35" t="n">
        <v>24060124130064</v>
      </c>
      <c r="P35" t="inlineStr">
        <is>
          <t>6de22708-7dc9-4254-95c6-ad45cf92fa8b</t>
        </is>
      </c>
      <c r="S35" t="inlineStr">
        <is>
          <t>anggitakiranapuspa17@students.undip.ac.id</t>
        </is>
      </c>
      <c r="T35" t="n">
        <v>66.67</v>
      </c>
      <c r="U35" t="n">
        <v>84.62</v>
      </c>
      <c r="V35" t="n">
        <v>87.5</v>
      </c>
      <c r="W35" t="n">
        <v>66.67</v>
      </c>
      <c r="X35" t="inlineStr">
        <is>
          <t>-</t>
        </is>
      </c>
      <c r="Y35" t="n">
        <v>100</v>
      </c>
      <c r="Z35" t="n">
        <v>9.48</v>
      </c>
      <c r="AA35" t="n">
        <v>97</v>
      </c>
      <c r="AB35" t="n">
        <v>1782748444</v>
      </c>
    </row>
    <row r="36">
      <c r="A36" t="inlineStr">
        <is>
          <t>24060124140151</t>
        </is>
      </c>
      <c r="B36" t="inlineStr">
        <is>
          <t>AKMAL DZAKI RAHMATULLAH (&lt; 75%)</t>
        </is>
      </c>
      <c r="C36" t="n">
        <v>4</v>
      </c>
      <c r="D36" t="inlineStr">
        <is>
          <t>BARU</t>
        </is>
      </c>
      <c r="E36" s="3" t="n"/>
      <c r="F36" s="3" t="n"/>
      <c r="G36" s="3">
        <f>(E36*0.8)+(H36*0.2)</f>
        <v/>
      </c>
      <c r="H36" s="3" t="n">
        <v>0</v>
      </c>
      <c r="I36" s="3" t="n"/>
      <c r="J36" s="2" t="n"/>
      <c r="K36" s="2">
        <f>ROUND( ((E36*10+F36*40+G36*5+H36*5+I36*20+J36*20) / 100), 2)</f>
        <v/>
      </c>
      <c r="L36" s="2">
        <f>IF(AND(K36&gt;=85, K36&lt;=100), "A", IF(AND(K36&gt;=80, K36&lt;=84.999999999), "AB", IF(AND(K36&gt;=75, K36&lt;=79.999999999), "B", IF(AND(K36&gt;=70, K36&lt;=74.999999999), "BC", IF(AND(K36&gt;=60, K36&lt;=69.9999999999), "C", IF(AND(K36&gt;=40, K36&lt;=59.999999999), "D", IF(AND(K36&gt;=0, K36&lt;=39.999999999), "E", "E" ) ) ) ) ) ) )</f>
        <v/>
      </c>
      <c r="M36">
        <f>IF(AND(K36&gt;=85, K36&lt;=100), "4", IF(AND(K36&gt;=80, K36&lt;=84.999999999), "3.5", IF(AND(K36&gt;=75, K36&lt;=79.999999999), "3", IF(AND(K36&gt;=70, K36&lt;=74.999999999), "2.5", IF(AND(K36&gt;=60, K36&lt;=69.9999999999), "2", IF(AND(K36&gt;=40, K36&lt;=59.999999999), "1", IF(AND(K36&gt;=0, K36&lt;=39.999999999), "0", "0" ) ) ) ) ) ) )</f>
        <v/>
      </c>
    </row>
    <row r="37">
      <c r="A37" t="inlineStr">
        <is>
          <t>24060124140204</t>
        </is>
      </c>
      <c r="B37" t="inlineStr">
        <is>
          <t>ADELIA CLEARESTA</t>
        </is>
      </c>
      <c r="C37" t="n">
        <v>4</v>
      </c>
      <c r="D37" t="inlineStr">
        <is>
          <t>BARU</t>
        </is>
      </c>
      <c r="E37" s="3" t="n">
        <v>95</v>
      </c>
      <c r="F37" s="3" t="n"/>
      <c r="G37" s="3">
        <f>(E37*0.8)+(H37*0.2)</f>
        <v/>
      </c>
      <c r="H37" s="3" t="n">
        <v>76.922</v>
      </c>
      <c r="I37" s="3" t="n">
        <v>86</v>
      </c>
      <c r="J37" s="3" t="n"/>
      <c r="K37" s="2">
        <f>ROUND( ((E37*10+F37*40+G37*5+H37*5+I37*20+J37*20) / 100), 2)</f>
        <v/>
      </c>
      <c r="L37" s="2">
        <f>IF(AND(K37&gt;=85, K37&lt;=100), "A", IF(AND(K37&gt;=80, K37&lt;=84.999999999), "AB", IF(AND(K37&gt;=75, K37&lt;=79.999999999), "B", IF(AND(K37&gt;=70, K37&lt;=74.999999999), "BC", IF(AND(K37&gt;=60, K37&lt;=69.9999999999), "C", IF(AND(K37&gt;=40, K37&lt;=59.999999999), "D", IF(AND(K37&gt;=0, K37&lt;=39.999999999), "E", "E" ) ) ) ) ) ) )</f>
        <v/>
      </c>
      <c r="M37">
        <f>IF(AND(K37&gt;=85, K37&lt;=100), "4", IF(AND(K37&gt;=80, K37&lt;=84.999999999), "3.5", IF(AND(K37&gt;=75, K37&lt;=79.999999999), "3", IF(AND(K37&gt;=70, K37&lt;=74.999999999), "2.5", IF(AND(K37&gt;=60, K37&lt;=69.9999999999), "2", IF(AND(K37&gt;=40, K37&lt;=59.999999999), "1", IF(AND(K37&gt;=0, K37&lt;=39.999999999), "0", "0" ) ) ) ) ) ) )</f>
        <v/>
      </c>
      <c r="N37" t="inlineStr">
        <is>
          <t>Adelia Clearesta</t>
        </is>
      </c>
      <c r="O37" t="n">
        <v>24060124140204</v>
      </c>
      <c r="P37" t="inlineStr">
        <is>
          <t>a7e55542-d222-48f1-93a7-5c933875d404</t>
        </is>
      </c>
      <c r="S37" t="inlineStr">
        <is>
          <t>adeliars@students.undip.ac.id</t>
        </is>
      </c>
      <c r="T37" t="n">
        <v>75</v>
      </c>
      <c r="U37" t="n">
        <v>51.28</v>
      </c>
      <c r="V37" t="n">
        <v>100</v>
      </c>
      <c r="W37" t="n">
        <v>63.33</v>
      </c>
      <c r="X37" t="inlineStr">
        <is>
          <t>-</t>
        </is>
      </c>
      <c r="Y37" t="n">
        <v>95</v>
      </c>
      <c r="Z37" t="n">
        <v>9.279999999999999</v>
      </c>
      <c r="AA37" t="n">
        <v>95</v>
      </c>
      <c r="AB37" t="n">
        <v>1782748444</v>
      </c>
    </row>
    <row r="38">
      <c r="A38" t="inlineStr">
        <is>
          <t>24060124120016</t>
        </is>
      </c>
      <c r="B38" t="inlineStr">
        <is>
          <t>QUINTA AURABIANSYAH</t>
        </is>
      </c>
      <c r="C38" t="n">
        <v>4</v>
      </c>
      <c r="D38" t="inlineStr">
        <is>
          <t>BARU</t>
        </is>
      </c>
      <c r="E38" s="3" t="n">
        <v>97</v>
      </c>
      <c r="F38" s="3" t="n"/>
      <c r="G38" s="3">
        <f>(E38*0.8)+(H38*0.2)</f>
        <v/>
      </c>
      <c r="H38" s="3" t="n">
        <v>83.142</v>
      </c>
      <c r="I38" s="3" t="n">
        <v>91</v>
      </c>
      <c r="J38" s="3" t="n"/>
      <c r="K38" s="2">
        <f>ROUND( ((E38*10+F38*40+G38*5+H38*5+I38*20+J38*20) / 100), 2)</f>
        <v/>
      </c>
      <c r="L38" s="2">
        <f>IF(AND(K38&gt;=85, K38&lt;=100), "A", IF(AND(K38&gt;=80, K38&lt;=84.999999999), "AB", IF(AND(K38&gt;=75, K38&lt;=79.999999999), "B", IF(AND(K38&gt;=70, K38&lt;=74.999999999), "BC", IF(AND(K38&gt;=60, K38&lt;=69.9999999999), "C", IF(AND(K38&gt;=40, K38&lt;=59.999999999), "D", IF(AND(K38&gt;=0, K38&lt;=39.999999999), "E", "E" ) ) ) ) ) ) )</f>
        <v/>
      </c>
      <c r="M38">
        <f>IF(AND(K38&gt;=85, K38&lt;=100), "4", IF(AND(K38&gt;=80, K38&lt;=84.999999999), "3.5", IF(AND(K38&gt;=75, K38&lt;=79.999999999), "3", IF(AND(K38&gt;=70, K38&lt;=74.999999999), "2.5", IF(AND(K38&gt;=60, K38&lt;=69.9999999999), "2", IF(AND(K38&gt;=40, K38&lt;=59.999999999), "1", IF(AND(K38&gt;=0, K38&lt;=39.999999999), "0", "0" ) ) ) ) ) ) )</f>
        <v/>
      </c>
      <c r="N38" t="inlineStr">
        <is>
          <t>Quinta Aurabiansyah</t>
        </is>
      </c>
      <c r="O38" t="n">
        <v>24060124120016</v>
      </c>
      <c r="P38" t="inlineStr">
        <is>
          <t>db217417-cfa8-4f6e-9734-ece5adfcf736</t>
        </is>
      </c>
      <c r="S38" t="inlineStr">
        <is>
          <t>quintabee@students.undip.ac.id</t>
        </is>
      </c>
      <c r="T38" t="n">
        <v>83.33</v>
      </c>
      <c r="U38" t="n">
        <v>78.20999999999999</v>
      </c>
      <c r="V38" t="n">
        <v>87.5</v>
      </c>
      <c r="W38" t="n">
        <v>66.67</v>
      </c>
      <c r="X38" t="inlineStr">
        <is>
          <t>-</t>
        </is>
      </c>
      <c r="Y38" t="n">
        <v>100</v>
      </c>
      <c r="Z38" t="n">
        <v>7.11</v>
      </c>
      <c r="AA38" t="n">
        <v>97</v>
      </c>
      <c r="AB38" t="n">
        <v>1782748444</v>
      </c>
    </row>
    <row r="39">
      <c r="A39" t="inlineStr">
        <is>
          <t>24060124120010</t>
        </is>
      </c>
      <c r="B39" t="inlineStr">
        <is>
          <t>DHIMAS REZA NAFI WAHYUDI</t>
        </is>
      </c>
      <c r="C39" t="n">
        <v>4</v>
      </c>
      <c r="D39" t="inlineStr">
        <is>
          <t>BARU</t>
        </is>
      </c>
      <c r="E39" s="3" t="n">
        <v>95</v>
      </c>
      <c r="F39" s="3" t="n"/>
      <c r="G39" s="3">
        <f>(E39*0.8)+(H39*0.2)</f>
        <v/>
      </c>
      <c r="H39" s="3" t="n">
        <v>89.69199999999999</v>
      </c>
      <c r="I39" s="3" t="n">
        <v>78</v>
      </c>
      <c r="J39" s="3" t="n"/>
      <c r="K39" s="2">
        <f>ROUND( ((E39*10+F39*40+G39*5+H39*5+I39*20+J39*20) / 100), 2)</f>
        <v/>
      </c>
      <c r="L39" s="2">
        <f>IF(AND(K39&gt;=85, K39&lt;=100), "A", IF(AND(K39&gt;=80, K39&lt;=84.999999999), "AB", IF(AND(K39&gt;=75, K39&lt;=79.999999999), "B", IF(AND(K39&gt;=70, K39&lt;=74.999999999), "BC", IF(AND(K39&gt;=60, K39&lt;=69.9999999999), "C", IF(AND(K39&gt;=40, K39&lt;=59.999999999), "D", IF(AND(K39&gt;=0, K39&lt;=39.999999999), "E", "E" ) ) ) ) ) ) )</f>
        <v/>
      </c>
      <c r="M39">
        <f>IF(AND(K39&gt;=85, K39&lt;=100), "4", IF(AND(K39&gt;=80, K39&lt;=84.999999999), "3.5", IF(AND(K39&gt;=75, K39&lt;=79.999999999), "3", IF(AND(K39&gt;=70, K39&lt;=74.999999999), "2.5", IF(AND(K39&gt;=60, K39&lt;=69.9999999999), "2", IF(AND(K39&gt;=40, K39&lt;=59.999999999), "1", IF(AND(K39&gt;=0, K39&lt;=39.999999999), "0", "0" ) ) ) ) ) ) )</f>
        <v/>
      </c>
      <c r="N39" t="inlineStr">
        <is>
          <t>Dhimas Reza Nafi Wahyudi</t>
        </is>
      </c>
      <c r="O39" t="n">
        <v>24060124120010</v>
      </c>
      <c r="P39" t="inlineStr">
        <is>
          <t>f0cbb293-cb25-40d3-974c-206185a9ac60</t>
        </is>
      </c>
      <c r="S39" t="inlineStr">
        <is>
          <t>dhimasrnw@students.undip.ac.id</t>
        </is>
      </c>
      <c r="T39" t="n">
        <v>75</v>
      </c>
      <c r="U39" t="n">
        <v>88.45999999999999</v>
      </c>
      <c r="V39" t="n">
        <v>100</v>
      </c>
      <c r="W39" t="n">
        <v>90</v>
      </c>
      <c r="X39" t="inlineStr">
        <is>
          <t>-</t>
        </is>
      </c>
      <c r="Y39" t="n">
        <v>95</v>
      </c>
      <c r="Z39" t="n">
        <v>9.279999999999999</v>
      </c>
      <c r="AA39" t="n">
        <v>95</v>
      </c>
      <c r="AB39" t="n">
        <v>1782748444</v>
      </c>
    </row>
    <row r="40">
      <c r="A40" t="inlineStr">
        <is>
          <t>24060124130055</t>
        </is>
      </c>
      <c r="B40" t="inlineStr">
        <is>
          <t>DAFFA MAULANA ALFIANTO (&lt; 75%)</t>
        </is>
      </c>
      <c r="C40" t="n">
        <v>4</v>
      </c>
      <c r="D40" t="inlineStr">
        <is>
          <t>BARU</t>
        </is>
      </c>
      <c r="E40" s="3" t="n"/>
      <c r="F40" s="3" t="n"/>
      <c r="G40" s="3">
        <f>(E40*0.8)+(H40*0.2)</f>
        <v/>
      </c>
      <c r="H40" s="3" t="n">
        <v>0</v>
      </c>
      <c r="I40" s="3" t="n">
        <v>81</v>
      </c>
      <c r="J40" s="2" t="n"/>
      <c r="K40" s="2">
        <f>ROUND( ((E40*10+F40*40+G40*5+H40*5+I40*20+J40*20) / 100), 2)</f>
        <v/>
      </c>
      <c r="L40" s="2">
        <f>IF(AND(K40&gt;=85, K40&lt;=100), "A", IF(AND(K40&gt;=80, K40&lt;=84.999999999), "AB", IF(AND(K40&gt;=75, K40&lt;=79.999999999), "B", IF(AND(K40&gt;=70, K40&lt;=74.999999999), "BC", IF(AND(K40&gt;=60, K40&lt;=69.9999999999), "C", IF(AND(K40&gt;=40, K40&lt;=59.999999999), "D", IF(AND(K40&gt;=0, K40&lt;=39.999999999), "E", "E" ) ) ) ) ) ) )</f>
        <v/>
      </c>
      <c r="M40">
        <f>IF(AND(K40&gt;=85, K40&lt;=100), "4", IF(AND(K40&gt;=80, K40&lt;=84.999999999), "3.5", IF(AND(K40&gt;=75, K40&lt;=79.999999999), "3", IF(AND(K40&gt;=70, K40&lt;=74.999999999), "2.5", IF(AND(K40&gt;=60, K40&lt;=69.9999999999), "2", IF(AND(K40&gt;=40, K40&lt;=59.999999999), "1", IF(AND(K40&gt;=0, K40&lt;=39.999999999), "0", "0" ) ) ) ) ) ) )</f>
        <v/>
      </c>
    </row>
    <row r="41">
      <c r="A41" t="inlineStr">
        <is>
          <t>24060124140163</t>
        </is>
      </c>
      <c r="B41" t="inlineStr">
        <is>
          <t>DJUAN SETYO JATI</t>
        </is>
      </c>
      <c r="C41" t="n">
        <v>4</v>
      </c>
      <c r="D41" t="inlineStr">
        <is>
          <t>BARU</t>
        </is>
      </c>
      <c r="E41" s="3" t="n">
        <v>98</v>
      </c>
      <c r="F41" s="3" t="n"/>
      <c r="G41" s="3">
        <f>(E41*0.8)+(H41*0.2)</f>
        <v/>
      </c>
      <c r="H41" s="3" t="n">
        <v>43.73</v>
      </c>
      <c r="I41" s="3" t="n">
        <v>81</v>
      </c>
      <c r="J41" s="3" t="n"/>
      <c r="K41" s="2">
        <f>ROUND( ((E41*10+F41*40+G41*5+H41*5+I41*20+J41*20) / 100), 2)</f>
        <v/>
      </c>
      <c r="L41" s="2">
        <f>IF(AND(K41&gt;=85, K41&lt;=100), "A", IF(AND(K41&gt;=80, K41&lt;=84.999999999), "AB", IF(AND(K41&gt;=75, K41&lt;=79.999999999), "B", IF(AND(K41&gt;=70, K41&lt;=74.999999999), "BC", IF(AND(K41&gt;=60, K41&lt;=69.9999999999), "C", IF(AND(K41&gt;=40, K41&lt;=59.999999999), "D", IF(AND(K41&gt;=0, K41&lt;=39.999999999), "E", "E" ) ) ) ) ) ) )</f>
        <v/>
      </c>
      <c r="M41">
        <f>IF(AND(K41&gt;=85, K41&lt;=100), "4", IF(AND(K41&gt;=80, K41&lt;=84.999999999), "3.5", IF(AND(K41&gt;=75, K41&lt;=79.999999999), "3", IF(AND(K41&gt;=70, K41&lt;=74.999999999), "2.5", IF(AND(K41&gt;=60, K41&lt;=69.9999999999), "2", IF(AND(K41&gt;=40, K41&lt;=59.999999999), "1", IF(AND(K41&gt;=0, K41&lt;=39.999999999), "0", "0" ) ) ) ) ) ) )</f>
        <v/>
      </c>
      <c r="N41" t="inlineStr">
        <is>
          <t>Djuan Setyo Jati</t>
        </is>
      </c>
      <c r="O41" t="n">
        <v>24060124140163</v>
      </c>
      <c r="P41" t="inlineStr">
        <is>
          <t>bb982f39-071b-479e-9c51-ead61cc51e38</t>
        </is>
      </c>
      <c r="S41" t="inlineStr">
        <is>
          <t>djuansetyojati@students.undip.ac.id</t>
        </is>
      </c>
      <c r="T41" t="inlineStr">
        <is>
          <t>-</t>
        </is>
      </c>
      <c r="U41" t="n">
        <v>46.15</v>
      </c>
      <c r="V41" t="n">
        <v>62.5</v>
      </c>
      <c r="W41" t="n">
        <v>50</v>
      </c>
      <c r="X41" t="inlineStr">
        <is>
          <t>-</t>
        </is>
      </c>
      <c r="Y41" t="n">
        <v>60</v>
      </c>
      <c r="Z41" t="n">
        <v>9.380000000000001</v>
      </c>
      <c r="AA41" t="n">
        <v>98</v>
      </c>
      <c r="AB41" t="n">
        <v>1782748444</v>
      </c>
    </row>
    <row r="42">
      <c r="A42" t="inlineStr">
        <is>
          <t>24060124140188</t>
        </is>
      </c>
      <c r="B42" t="inlineStr">
        <is>
          <t>CLAUDIA MEITANIA PUTRI</t>
        </is>
      </c>
      <c r="C42" t="n">
        <v>4</v>
      </c>
      <c r="D42" t="inlineStr">
        <is>
          <t>BARU</t>
        </is>
      </c>
      <c r="E42" s="3" t="n">
        <v>96</v>
      </c>
      <c r="F42" s="3" t="n"/>
      <c r="G42" s="3">
        <f>(E42*0.8)+(H42*0.2)</f>
        <v/>
      </c>
      <c r="H42" s="3" t="n">
        <v>75.14</v>
      </c>
      <c r="I42" s="3" t="n">
        <v>87</v>
      </c>
      <c r="J42" s="3" t="n"/>
      <c r="K42" s="2">
        <f>ROUND( ((E42*10+F42*40+G42*5+H42*5+I42*20+J42*20) / 100), 2)</f>
        <v/>
      </c>
      <c r="L42" s="2">
        <f>IF(AND(K42&gt;=85, K42&lt;=100), "A", IF(AND(K42&gt;=80, K42&lt;=84.999999999), "AB", IF(AND(K42&gt;=75, K42&lt;=79.999999999), "B", IF(AND(K42&gt;=70, K42&lt;=74.999999999), "BC", IF(AND(K42&gt;=60, K42&lt;=69.9999999999), "C", IF(AND(K42&gt;=40, K42&lt;=59.999999999), "D", IF(AND(K42&gt;=0, K42&lt;=39.999999999), "E", "E" ) ) ) ) ) ) )</f>
        <v/>
      </c>
      <c r="M42">
        <f>IF(AND(K42&gt;=85, K42&lt;=100), "4", IF(AND(K42&gt;=80, K42&lt;=84.999999999), "3.5", IF(AND(K42&gt;=75, K42&lt;=79.999999999), "3", IF(AND(K42&gt;=70, K42&lt;=74.999999999), "2.5", IF(AND(K42&gt;=60, K42&lt;=69.9999999999), "2", IF(AND(K42&gt;=40, K42&lt;=59.999999999), "1", IF(AND(K42&gt;=0, K42&lt;=39.999999999), "0", "0" ) ) ) ) ) ) )</f>
        <v/>
      </c>
      <c r="N42" t="inlineStr">
        <is>
          <t>Claudia Meitania Putri</t>
        </is>
      </c>
      <c r="O42" t="n">
        <v>24060124140188</v>
      </c>
      <c r="P42" t="inlineStr">
        <is>
          <t>560d84b5-52ac-44e8-bfbd-50e102786e00</t>
        </is>
      </c>
      <c r="S42" t="inlineStr">
        <is>
          <t>claudiameitaniaputri@students.undip.ac.id</t>
        </is>
      </c>
      <c r="T42" t="n">
        <v>58.33</v>
      </c>
      <c r="U42" t="n">
        <v>86.54000000000001</v>
      </c>
      <c r="V42" t="n">
        <v>87.5</v>
      </c>
      <c r="W42" t="n">
        <v>63.33</v>
      </c>
      <c r="X42" t="inlineStr">
        <is>
          <t>-</t>
        </is>
      </c>
      <c r="Y42" t="n">
        <v>80</v>
      </c>
      <c r="Z42" t="n">
        <v>9.119999999999999</v>
      </c>
      <c r="AA42" t="n">
        <v>96</v>
      </c>
      <c r="AB42" t="n">
        <v>1782748444</v>
      </c>
    </row>
  </sheetData>
  <sheetProtection selectLockedCells="0" selectUnlockedCells="0" sheet="1" objects="0" insertRows="0" insertHyperlinks="0" autoFilter="0" scenarios="0" formatColumns="0" deleteColumns="0" insertColumns="0" pivotTables="0" deleteRows="0" formatCells="0" formatRows="0" sort="0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7:L42"/>
  <sheetViews>
    <sheetView topLeftCell="A14" workbookViewId="0">
      <selection activeCell="L8" sqref="L8:L42"/>
    </sheetView>
  </sheetViews>
  <sheetFormatPr baseColWidth="8" defaultRowHeight="15"/>
  <sheetData>
    <row r="7">
      <c r="A7" t="inlineStr">
        <is>
          <t>First name</t>
        </is>
      </c>
      <c r="B7" t="inlineStr">
        <is>
          <t>Last name</t>
        </is>
      </c>
      <c r="C7" t="inlineStr">
        <is>
          <t>ID number</t>
        </is>
      </c>
      <c r="D7" t="inlineStr">
        <is>
          <t>Institution</t>
        </is>
      </c>
      <c r="E7" t="inlineStr">
        <is>
          <t>Department</t>
        </is>
      </c>
      <c r="F7" t="inlineStr">
        <is>
          <t>Email address</t>
        </is>
      </c>
      <c r="G7" t="inlineStr">
        <is>
          <t>Quiz: Quis 1 (Real)</t>
        </is>
      </c>
      <c r="H7" t="inlineStr">
        <is>
          <t>Quiz: quis 2 (Real)</t>
        </is>
      </c>
      <c r="I7" t="inlineStr">
        <is>
          <t>Quiz: Quis 3 (Real)</t>
        </is>
      </c>
      <c r="J7" t="inlineStr">
        <is>
          <t>Quiz: Quis 3 (bonus-testing) (Real)</t>
        </is>
      </c>
      <c r="K7" t="inlineStr">
        <is>
          <t>Quiz: quis 5 (Real)</t>
        </is>
      </c>
    </row>
    <row r="8">
      <c r="A8" t="inlineStr">
        <is>
          <t>Aron Sorimuda Johanes Pasaribu</t>
        </is>
      </c>
      <c r="B8" t="n">
        <v>24060124130086</v>
      </c>
      <c r="C8" t="inlineStr">
        <is>
          <t>02393cc8-e423-4b8a-b9f5-71590c0ad1a6</t>
        </is>
      </c>
      <c r="F8" t="inlineStr">
        <is>
          <t>sorimudaaron@students.undip.ac.id</t>
        </is>
      </c>
      <c r="G8" t="n">
        <v>58.33</v>
      </c>
      <c r="H8" t="n">
        <v>84.62</v>
      </c>
      <c r="I8" t="n">
        <v>87.5</v>
      </c>
      <c r="J8" t="n">
        <v>76.67</v>
      </c>
      <c r="K8" t="n">
        <v>75</v>
      </c>
      <c r="L8">
        <f>SUM(G8:K8)/5</f>
        <v/>
      </c>
    </row>
    <row r="9">
      <c r="A9" t="inlineStr">
        <is>
          <t>Aqiatillah Rezi Zhafran</t>
        </is>
      </c>
      <c r="B9" t="n">
        <v>24060124140124</v>
      </c>
      <c r="C9" t="inlineStr">
        <is>
          <t>684577c9-821d-4fd4-93b7-0fe1733c0948</t>
        </is>
      </c>
      <c r="F9" t="inlineStr">
        <is>
          <t>aqiatillahrezizhaf@students.undip.ac.id</t>
        </is>
      </c>
      <c r="G9" t="n">
        <v>75</v>
      </c>
      <c r="H9" t="n">
        <v>62.82</v>
      </c>
      <c r="I9" t="n">
        <v>62.5</v>
      </c>
      <c r="J9" t="n">
        <v>53.33</v>
      </c>
      <c r="K9" t="n">
        <v>85</v>
      </c>
      <c r="L9">
        <f>SUM(G9:K9)/5</f>
        <v/>
      </c>
    </row>
    <row r="10">
      <c r="A10" t="inlineStr">
        <is>
          <t>Felicia Evelina</t>
        </is>
      </c>
      <c r="B10" t="n">
        <v>24060124120012</v>
      </c>
      <c r="C10" t="inlineStr">
        <is>
          <t>3fd13274-4692-4a32-87a5-b01b66f7c29f</t>
        </is>
      </c>
      <c r="F10" t="inlineStr">
        <is>
          <t>feliciaevelina@students.undip.ac.id</t>
        </is>
      </c>
      <c r="G10" t="n">
        <v>75</v>
      </c>
      <c r="H10" t="n">
        <v>73.08</v>
      </c>
      <c r="I10" t="n">
        <v>100</v>
      </c>
      <c r="J10" t="n">
        <v>60</v>
      </c>
      <c r="K10" t="n">
        <v>95</v>
      </c>
      <c r="L10">
        <f>SUM(G10:K10)/5</f>
        <v/>
      </c>
    </row>
    <row r="11">
      <c r="A11" t="inlineStr">
        <is>
          <t>Gregorius Septiano Ariadi</t>
        </is>
      </c>
      <c r="B11" t="n">
        <v>24060124120026</v>
      </c>
      <c r="C11" t="inlineStr">
        <is>
          <t>6a4e2f20-a268-49b9-a39e-a367ab85ba9c</t>
        </is>
      </c>
      <c r="F11" t="inlineStr">
        <is>
          <t>gregoriusseptiano@students.undip.ac.id</t>
        </is>
      </c>
      <c r="G11" t="n">
        <v>83.33</v>
      </c>
      <c r="H11" t="n">
        <v>81.73</v>
      </c>
      <c r="I11" t="n">
        <v>87.5</v>
      </c>
      <c r="J11" t="n">
        <v>93.33</v>
      </c>
      <c r="K11" t="n">
        <v>100</v>
      </c>
      <c r="L11">
        <f>SUM(G11:K11)/5</f>
        <v/>
      </c>
    </row>
    <row r="12">
      <c r="A12" t="inlineStr">
        <is>
          <t>Farhan Dwiyan Akbar</t>
        </is>
      </c>
      <c r="B12" t="n">
        <v>24060124140137</v>
      </c>
      <c r="C12" t="inlineStr">
        <is>
          <t>95a0ff37-af2b-4a62-9843-26321cb1b716</t>
        </is>
      </c>
      <c r="F12" t="inlineStr">
        <is>
          <t>farhandwiyanakbar@students.undip.ac.id</t>
        </is>
      </c>
      <c r="G12" t="n">
        <v>83.33</v>
      </c>
      <c r="H12" t="n">
        <v>82.05</v>
      </c>
      <c r="I12" t="n">
        <v>100</v>
      </c>
      <c r="J12" t="n">
        <v>80</v>
      </c>
      <c r="K12" t="n">
        <v>85</v>
      </c>
      <c r="L12">
        <f>SUM(G12:K12)/5</f>
        <v/>
      </c>
    </row>
    <row r="13">
      <c r="A13" t="inlineStr">
        <is>
          <t>Fadhil Yaafi Widodo</t>
        </is>
      </c>
      <c r="B13" t="n">
        <v>24060124140169</v>
      </c>
      <c r="C13" t="inlineStr">
        <is>
          <t>222c5aab-6c66-429c-a021-b15ed085bee1</t>
        </is>
      </c>
      <c r="F13" t="inlineStr">
        <is>
          <t>fadhilyaafiwidodo@students.undip.ac.id</t>
        </is>
      </c>
      <c r="G13" t="n">
        <v>83.33</v>
      </c>
      <c r="H13" t="n">
        <v>71.15000000000001</v>
      </c>
      <c r="I13" t="n">
        <v>87.5</v>
      </c>
      <c r="J13" t="n">
        <v>70</v>
      </c>
      <c r="K13" t="n">
        <v>85</v>
      </c>
      <c r="L13">
        <f>SUM(G13:K13)/5</f>
        <v/>
      </c>
    </row>
    <row r="14">
      <c r="A14" t="inlineStr">
        <is>
          <t>Wahyu Eko Setyo Pribowo</t>
        </is>
      </c>
      <c r="B14" t="n">
        <v>24060124120015</v>
      </c>
      <c r="C14" t="inlineStr">
        <is>
          <t>33452c4c-def3-4b8d-9e50-c060e183afe9</t>
        </is>
      </c>
      <c r="F14" t="inlineStr">
        <is>
          <t>wahyuekosetyopribowo@students.undip.ac.id</t>
        </is>
      </c>
      <c r="G14" t="n">
        <v>58.33</v>
      </c>
      <c r="H14" t="n">
        <v>52.24</v>
      </c>
      <c r="I14" t="n">
        <v>37.5</v>
      </c>
      <c r="J14" t="n">
        <v>40</v>
      </c>
      <c r="K14" t="n">
        <v>90</v>
      </c>
      <c r="L14">
        <f>SUM(G14:K14)/5</f>
        <v/>
      </c>
    </row>
    <row r="15">
      <c r="A15" t="inlineStr">
        <is>
          <t>Raffi Arditama</t>
        </is>
      </c>
      <c r="B15" t="n">
        <v>24060124120020</v>
      </c>
      <c r="C15" t="inlineStr">
        <is>
          <t>5ed03eae-170a-41f9-960d-ce39b0e49942</t>
        </is>
      </c>
      <c r="F15" t="inlineStr">
        <is>
          <t>raffiarditama@students.undip.ac.id</t>
        </is>
      </c>
      <c r="G15" t="n">
        <v>66.67</v>
      </c>
      <c r="H15" t="n">
        <v>73.08</v>
      </c>
      <c r="I15" t="n">
        <v>75</v>
      </c>
      <c r="J15" t="n">
        <v>63.33</v>
      </c>
      <c r="K15" t="n">
        <v>80</v>
      </c>
      <c r="L15">
        <f>SUM(G15:K15)/5</f>
        <v/>
      </c>
    </row>
    <row r="16">
      <c r="A16" t="inlineStr">
        <is>
          <t>Rahmat Argyandha Aminuddin</t>
        </is>
      </c>
      <c r="B16" t="n">
        <v>24060124130061</v>
      </c>
      <c r="C16" t="inlineStr">
        <is>
          <t>1e467a5f-3f1a-418d-a578-3ab30dcc2d83</t>
        </is>
      </c>
      <c r="F16" t="inlineStr">
        <is>
          <t>rahmatargyandha@students.undip.ac.id</t>
        </is>
      </c>
      <c r="G16" t="n">
        <v>41.67</v>
      </c>
      <c r="H16" t="n">
        <v>71.15000000000001</v>
      </c>
      <c r="I16" t="n">
        <v>50</v>
      </c>
      <c r="J16" t="n">
        <v>60</v>
      </c>
      <c r="K16" t="n">
        <v>85</v>
      </c>
      <c r="L16">
        <f>SUM(G16:K16)/5</f>
        <v/>
      </c>
    </row>
    <row r="17">
      <c r="A17" t="inlineStr">
        <is>
          <t>Rafif Setya Imaduddin</t>
        </is>
      </c>
      <c r="B17" t="n">
        <v>24060124130115</v>
      </c>
      <c r="C17" t="inlineStr">
        <is>
          <t>507fd025-3b49-4b2a-b540-59899b374175</t>
        </is>
      </c>
      <c r="F17" t="inlineStr">
        <is>
          <t>rafifsetyaimaduddin@students.undip.ac.id</t>
        </is>
      </c>
      <c r="G17" t="n">
        <v>58.33</v>
      </c>
      <c r="H17" t="n">
        <v>68.91</v>
      </c>
      <c r="I17" t="n">
        <v>87.5</v>
      </c>
      <c r="J17" t="n">
        <v>80</v>
      </c>
      <c r="K17" t="n">
        <v>100</v>
      </c>
      <c r="L17">
        <f>SUM(G17:K17)/5</f>
        <v/>
      </c>
    </row>
    <row r="18">
      <c r="A18" t="inlineStr">
        <is>
          <t>Varissa Nabila Kifli</t>
        </is>
      </c>
      <c r="B18" t="n">
        <v>24060124140125</v>
      </c>
      <c r="C18" t="inlineStr">
        <is>
          <t>343f315f-7288-41cf-8616-6cd54958cfbc</t>
        </is>
      </c>
      <c r="F18" t="inlineStr">
        <is>
          <t>varissanabilakifli@students.undip.ac.id</t>
        </is>
      </c>
      <c r="G18" t="n">
        <v>58.33</v>
      </c>
      <c r="H18" t="n">
        <v>92.31</v>
      </c>
      <c r="I18" t="n">
        <v>100</v>
      </c>
      <c r="J18" t="n">
        <v>76.67</v>
      </c>
      <c r="K18" t="n">
        <v>95</v>
      </c>
      <c r="L18">
        <f>SUM(G18:K18)/5</f>
        <v/>
      </c>
    </row>
    <row r="19">
      <c r="A19" t="inlineStr">
        <is>
          <t>Wahyu Aji Gumelar Tri Nugroho</t>
        </is>
      </c>
      <c r="B19" t="n">
        <v>24060124140134</v>
      </c>
      <c r="C19" t="inlineStr">
        <is>
          <t>89735219-5dfe-46e7-a955-871b8638836d</t>
        </is>
      </c>
      <c r="F19" t="inlineStr">
        <is>
          <t>monsieurjangkarbumi@students.undip.ac.id</t>
        </is>
      </c>
      <c r="G19" t="n">
        <v>41.67</v>
      </c>
      <c r="H19" t="n">
        <v>78.20999999999999</v>
      </c>
      <c r="I19" t="n">
        <v>87.5</v>
      </c>
      <c r="J19" t="n">
        <v>66.67</v>
      </c>
      <c r="K19" t="n">
        <v>90</v>
      </c>
      <c r="L19">
        <f>SUM(G19:K19)/5</f>
        <v/>
      </c>
    </row>
    <row r="20">
      <c r="L20">
        <f>SUM(G20:K20)/5</f>
        <v/>
      </c>
    </row>
    <row r="21">
      <c r="A21" t="inlineStr">
        <is>
          <t>Levi Ramot Siahaan</t>
        </is>
      </c>
      <c r="B21" t="n">
        <v>24060124130067</v>
      </c>
      <c r="C21" t="inlineStr">
        <is>
          <t>2a3b0cad-78e0-40e1-9281-084430ee260b</t>
        </is>
      </c>
      <c r="F21" t="inlineStr">
        <is>
          <t>leviramot@students.undip.ac.id</t>
        </is>
      </c>
      <c r="G21" t="n">
        <v>83.33</v>
      </c>
      <c r="H21" t="n">
        <v>26.92</v>
      </c>
      <c r="I21" t="n">
        <v>87.5</v>
      </c>
      <c r="J21" t="n">
        <v>86.67</v>
      </c>
      <c r="K21" t="n">
        <v>80</v>
      </c>
      <c r="L21">
        <f>SUM(G21:K21)/5</f>
        <v/>
      </c>
    </row>
    <row r="22">
      <c r="A22" t="inlineStr">
        <is>
          <t>Mischa Nathanael Lumban Tobing</t>
        </is>
      </c>
      <c r="B22" t="n">
        <v>24060124140175</v>
      </c>
      <c r="C22" t="inlineStr">
        <is>
          <t>942ca978-2cca-41bb-ba9d-c5165b589c71</t>
        </is>
      </c>
      <c r="F22" t="inlineStr">
        <is>
          <t>mischatobing@students.undip.ac.id</t>
        </is>
      </c>
      <c r="G22" t="n">
        <v>50</v>
      </c>
      <c r="H22" t="n">
        <v>93.59</v>
      </c>
      <c r="I22" t="n">
        <v>75</v>
      </c>
      <c r="J22" t="n">
        <v>63.33</v>
      </c>
      <c r="K22" t="inlineStr">
        <is>
          <t>-</t>
        </is>
      </c>
      <c r="L22">
        <f>SUM(G22:K22)/5</f>
        <v/>
      </c>
    </row>
    <row r="23">
      <c r="A23" t="inlineStr">
        <is>
          <t>Husein Avicenna</t>
        </is>
      </c>
      <c r="B23" t="n">
        <v>24060124120047</v>
      </c>
      <c r="C23" t="inlineStr">
        <is>
          <t>ceec07bc-0152-4248-815e-a54b6e5952b3</t>
        </is>
      </c>
      <c r="F23" t="inlineStr">
        <is>
          <t>huseinavicenna5@students.undip.ac.id</t>
        </is>
      </c>
      <c r="G23" t="n">
        <v>58.33</v>
      </c>
      <c r="H23" t="n">
        <v>79.48999999999999</v>
      </c>
      <c r="I23" t="n">
        <v>87.5</v>
      </c>
      <c r="J23" t="n">
        <v>86.67</v>
      </c>
      <c r="K23" t="n">
        <v>80</v>
      </c>
      <c r="L23">
        <f>SUM(G23:K23)/5</f>
        <v/>
      </c>
    </row>
    <row r="24">
      <c r="A24" t="inlineStr">
        <is>
          <t>Haikal Imam Ridha</t>
        </is>
      </c>
      <c r="B24" t="n">
        <v>24060124130097</v>
      </c>
      <c r="C24" t="inlineStr">
        <is>
          <t>401a5846-4c49-4dcb-8bb4-d3375cd21d41</t>
        </is>
      </c>
      <c r="F24" t="inlineStr">
        <is>
          <t>haikalimamridha@students.undip.ac.id</t>
        </is>
      </c>
      <c r="G24" t="n">
        <v>75</v>
      </c>
      <c r="H24" t="n">
        <v>60.26</v>
      </c>
      <c r="I24" t="n">
        <v>75</v>
      </c>
      <c r="J24" t="n">
        <v>60</v>
      </c>
      <c r="K24" t="n">
        <v>85</v>
      </c>
      <c r="L24">
        <f>SUM(G24:K24)/5</f>
        <v/>
      </c>
    </row>
    <row r="25">
      <c r="A25" t="inlineStr">
        <is>
          <t>Joshua Satria Kusuma</t>
        </is>
      </c>
      <c r="B25" t="n">
        <v>24060124130113</v>
      </c>
      <c r="C25" t="inlineStr">
        <is>
          <t>a1a25d6e-b479-4de4-aab0-24bb77ad276e</t>
        </is>
      </c>
      <c r="F25" t="inlineStr">
        <is>
          <t>joshuakusuma@students.undip.ac.id</t>
        </is>
      </c>
      <c r="G25" t="n">
        <v>75</v>
      </c>
      <c r="H25" t="inlineStr">
        <is>
          <t>-</t>
        </is>
      </c>
      <c r="I25" t="inlineStr">
        <is>
          <t>-</t>
        </is>
      </c>
      <c r="J25" t="inlineStr">
        <is>
          <t>-</t>
        </is>
      </c>
      <c r="K25" t="n">
        <v>85</v>
      </c>
      <c r="L25">
        <f>SUM(G25:K25)/5</f>
        <v/>
      </c>
    </row>
    <row r="26">
      <c r="A26" t="inlineStr">
        <is>
          <t>Harits Permana</t>
        </is>
      </c>
      <c r="B26" t="n">
        <v>24060124140131</v>
      </c>
      <c r="C26" t="inlineStr">
        <is>
          <t>1374dc06-f1e3-4c39-8de4-d95278a4305c</t>
        </is>
      </c>
      <c r="F26" t="inlineStr">
        <is>
          <t>haritsprmn@students.undip.ac.id</t>
        </is>
      </c>
      <c r="G26" t="n">
        <v>66.67</v>
      </c>
      <c r="H26" t="n">
        <v>49.36</v>
      </c>
      <c r="I26" t="n">
        <v>50</v>
      </c>
      <c r="J26" t="n">
        <v>50</v>
      </c>
      <c r="K26" t="n">
        <v>80</v>
      </c>
      <c r="L26">
        <f>SUM(G26:K26)/5</f>
        <v/>
      </c>
    </row>
    <row r="27">
      <c r="A27" t="inlineStr">
        <is>
          <t>Muchammad Yuda Tri Ananda</t>
        </is>
      </c>
      <c r="B27" t="n">
        <v>24060124110142</v>
      </c>
      <c r="C27" t="inlineStr">
        <is>
          <t>8be5dc2a-8eeb-4453-850b-de57e9176d78</t>
        </is>
      </c>
      <c r="F27" t="inlineStr">
        <is>
          <t>myudak@students.undip.ac.id</t>
        </is>
      </c>
      <c r="G27" t="n">
        <v>75</v>
      </c>
      <c r="H27" t="n">
        <v>85.90000000000001</v>
      </c>
      <c r="I27" t="n">
        <v>100</v>
      </c>
      <c r="J27" t="n">
        <v>93.33</v>
      </c>
      <c r="K27" t="n">
        <v>100</v>
      </c>
      <c r="L27">
        <f>SUM(G27:K27)/5</f>
        <v/>
      </c>
    </row>
    <row r="28">
      <c r="A28" t="inlineStr">
        <is>
          <t>Muhamad Kemal Faza</t>
        </is>
      </c>
      <c r="B28" t="n">
        <v>24060124120013</v>
      </c>
      <c r="C28" t="inlineStr">
        <is>
          <t>39774c32-1d0b-43c1-9ef9-7a814f9ae28f</t>
        </is>
      </c>
      <c r="F28" t="inlineStr">
        <is>
          <t>kemalfaza26@students.undip.ac.id</t>
        </is>
      </c>
      <c r="G28" t="n">
        <v>66.67</v>
      </c>
      <c r="H28" t="n">
        <v>65.38</v>
      </c>
      <c r="I28" t="n">
        <v>87.5</v>
      </c>
      <c r="J28" t="n">
        <v>60</v>
      </c>
      <c r="K28" t="n">
        <v>100</v>
      </c>
      <c r="L28">
        <f>SUM(G28:K28)/5</f>
        <v/>
      </c>
    </row>
    <row r="29">
      <c r="A29" t="inlineStr">
        <is>
          <t>Nadia Azura Nurhaniya</t>
        </is>
      </c>
      <c r="B29" t="n">
        <v>24060124120019</v>
      </c>
      <c r="C29" t="inlineStr">
        <is>
          <t>58575fed-c57a-4e14-87be-56a83e4c725a</t>
        </is>
      </c>
      <c r="F29" t="inlineStr">
        <is>
          <t>nadianurhaniya@students.undip.ac.id</t>
        </is>
      </c>
      <c r="G29" t="n">
        <v>83.33</v>
      </c>
      <c r="H29" t="n">
        <v>76.92</v>
      </c>
      <c r="I29" t="n">
        <v>87.5</v>
      </c>
      <c r="J29" t="n">
        <v>76.67</v>
      </c>
      <c r="K29" t="n">
        <v>90</v>
      </c>
      <c r="L29">
        <f>SUM(G29:K29)/5</f>
        <v/>
      </c>
    </row>
    <row r="30">
      <c r="A30" t="inlineStr">
        <is>
          <t>Muhammad Fauzan Akbar</t>
        </is>
      </c>
      <c r="B30" t="n">
        <v>24060124140139</v>
      </c>
      <c r="C30" t="inlineStr">
        <is>
          <t>5f633d8d-2e79-40f5-835d-de64e9b44cb1</t>
        </is>
      </c>
      <c r="F30" t="inlineStr">
        <is>
          <t>muhammadfauzanakbar@students.undip.ac.id</t>
        </is>
      </c>
      <c r="G30" t="n">
        <v>58.33</v>
      </c>
      <c r="H30" t="n">
        <v>72.76000000000001</v>
      </c>
      <c r="I30" t="n">
        <v>75</v>
      </c>
      <c r="J30" t="n">
        <v>53.33</v>
      </c>
      <c r="K30" t="n">
        <v>75</v>
      </c>
      <c r="L30">
        <f>SUM(G30:K30)/5</f>
        <v/>
      </c>
    </row>
    <row r="31">
      <c r="A31" t="inlineStr">
        <is>
          <t>Muhammad Farhan Abdul Azis</t>
        </is>
      </c>
      <c r="B31" t="n">
        <v>24060124140166</v>
      </c>
      <c r="C31" t="inlineStr">
        <is>
          <t>0b94633b-90db-4d21-914b-6a22cfa50dc6</t>
        </is>
      </c>
      <c r="F31" t="inlineStr">
        <is>
          <t>farhannn@students.undip.ac.id</t>
        </is>
      </c>
      <c r="G31" t="n">
        <v>75</v>
      </c>
      <c r="H31" t="n">
        <v>88.45999999999999</v>
      </c>
      <c r="I31" t="n">
        <v>75</v>
      </c>
      <c r="J31" t="n">
        <v>80</v>
      </c>
      <c r="K31" t="n">
        <v>100</v>
      </c>
      <c r="L31">
        <f>SUM(G31:K31)/5</f>
        <v/>
      </c>
    </row>
    <row r="32">
      <c r="A32" t="inlineStr">
        <is>
          <t>Muhammad Zaidaan Ardiyansyah</t>
        </is>
      </c>
      <c r="B32" t="n">
        <v>24060124140200</v>
      </c>
      <c r="C32" t="inlineStr">
        <is>
          <t>d45dc214-9277-4c54-9992-bd6f84fac501</t>
        </is>
      </c>
      <c r="F32" t="inlineStr">
        <is>
          <t>zaidaanardiansyah@students.undip.ac.id</t>
        </is>
      </c>
      <c r="G32" t="n">
        <v>58.33</v>
      </c>
      <c r="H32" t="n">
        <v>70.51000000000001</v>
      </c>
      <c r="I32" t="n">
        <v>75</v>
      </c>
      <c r="J32" t="n">
        <v>76.67</v>
      </c>
      <c r="K32" t="n">
        <v>100</v>
      </c>
      <c r="L32">
        <f>SUM(G32:K32)/5</f>
        <v/>
      </c>
    </row>
    <row r="33">
      <c r="A33" t="inlineStr">
        <is>
          <t>Aditya Sultonul Ulya</t>
        </is>
      </c>
      <c r="B33" t="n">
        <v>24060124120006</v>
      </c>
      <c r="C33" t="inlineStr">
        <is>
          <t>939ac8f4-34a8-4daa-9309-d880afad7a91</t>
        </is>
      </c>
      <c r="F33" t="inlineStr">
        <is>
          <t>adityaulyy@students.undip.ac.id</t>
        </is>
      </c>
      <c r="G33" t="n">
        <v>58.33</v>
      </c>
      <c r="H33" t="n">
        <v>88.45999999999999</v>
      </c>
      <c r="I33" t="n">
        <v>87.5</v>
      </c>
      <c r="J33" t="n">
        <v>66.67</v>
      </c>
      <c r="K33" t="n">
        <v>100</v>
      </c>
      <c r="L33">
        <f>SUM(G33:K33)/5</f>
        <v/>
      </c>
    </row>
    <row r="34">
      <c r="A34" t="inlineStr">
        <is>
          <t>Anintya Abhi Wiryateja</t>
        </is>
      </c>
      <c r="B34" t="n">
        <v>24060124130053</v>
      </c>
      <c r="C34" t="inlineStr">
        <is>
          <t>faa98b9b-b187-4922-9fde-b4bf081c6b75</t>
        </is>
      </c>
      <c r="F34" t="inlineStr">
        <is>
          <t>abhiwiryateja@students.undip.ac.id</t>
        </is>
      </c>
      <c r="G34" t="n">
        <v>66.67</v>
      </c>
      <c r="H34" t="n">
        <v>42.31</v>
      </c>
      <c r="I34" t="n">
        <v>75</v>
      </c>
      <c r="J34" t="n">
        <v>80</v>
      </c>
      <c r="K34" t="n">
        <v>45</v>
      </c>
      <c r="L34">
        <f>SUM(G34:K34)/5</f>
        <v/>
      </c>
    </row>
    <row r="35">
      <c r="A35" t="inlineStr">
        <is>
          <t>Anggita Kirana Puspa</t>
        </is>
      </c>
      <c r="B35" t="n">
        <v>24060124130064</v>
      </c>
      <c r="C35" t="inlineStr">
        <is>
          <t>6de22708-7dc9-4254-95c6-ad45cf92fa8b</t>
        </is>
      </c>
      <c r="F35" t="inlineStr">
        <is>
          <t>anggitakiranapuspa17@students.undip.ac.id</t>
        </is>
      </c>
      <c r="G35" t="n">
        <v>66.67</v>
      </c>
      <c r="H35" t="n">
        <v>84.62</v>
      </c>
      <c r="I35" t="n">
        <v>87.5</v>
      </c>
      <c r="J35" t="n">
        <v>66.67</v>
      </c>
      <c r="K35" t="n">
        <v>100</v>
      </c>
      <c r="L35">
        <f>SUM(G35:K35)/5</f>
        <v/>
      </c>
    </row>
    <row r="36">
      <c r="L36">
        <f>SUM(G36:K36)/5</f>
        <v/>
      </c>
    </row>
    <row r="37">
      <c r="A37" t="inlineStr">
        <is>
          <t>Adelia Clearesta</t>
        </is>
      </c>
      <c r="B37" t="n">
        <v>24060124140204</v>
      </c>
      <c r="C37" t="inlineStr">
        <is>
          <t>a7e55542-d222-48f1-93a7-5c933875d404</t>
        </is>
      </c>
      <c r="F37" t="inlineStr">
        <is>
          <t>adeliars@students.undip.ac.id</t>
        </is>
      </c>
      <c r="G37" t="n">
        <v>75</v>
      </c>
      <c r="H37" t="n">
        <v>51.28</v>
      </c>
      <c r="I37" t="n">
        <v>100</v>
      </c>
      <c r="J37" t="n">
        <v>63.33</v>
      </c>
      <c r="K37" t="n">
        <v>95</v>
      </c>
      <c r="L37">
        <f>SUM(G37:K37)/5</f>
        <v/>
      </c>
    </row>
    <row r="38">
      <c r="A38" t="inlineStr">
        <is>
          <t>Quinta Aurabiansyah</t>
        </is>
      </c>
      <c r="B38" t="n">
        <v>24060124120016</v>
      </c>
      <c r="C38" t="inlineStr">
        <is>
          <t>db217417-cfa8-4f6e-9734-ece5adfcf736</t>
        </is>
      </c>
      <c r="F38" t="inlineStr">
        <is>
          <t>quintabee@students.undip.ac.id</t>
        </is>
      </c>
      <c r="G38" t="n">
        <v>83.33</v>
      </c>
      <c r="H38" t="n">
        <v>78.20999999999999</v>
      </c>
      <c r="I38" t="n">
        <v>87.5</v>
      </c>
      <c r="J38" t="n">
        <v>66.67</v>
      </c>
      <c r="K38" t="n">
        <v>100</v>
      </c>
      <c r="L38">
        <f>SUM(G38:K38)/5</f>
        <v/>
      </c>
    </row>
    <row r="39">
      <c r="A39" t="inlineStr">
        <is>
          <t>Dhimas Reza Nafi Wahyudi</t>
        </is>
      </c>
      <c r="B39" t="n">
        <v>24060124120010</v>
      </c>
      <c r="C39" t="inlineStr">
        <is>
          <t>f0cbb293-cb25-40d3-974c-206185a9ac60</t>
        </is>
      </c>
      <c r="F39" t="inlineStr">
        <is>
          <t>dhimasrnw@students.undip.ac.id</t>
        </is>
      </c>
      <c r="G39" t="n">
        <v>75</v>
      </c>
      <c r="H39" t="n">
        <v>88.45999999999999</v>
      </c>
      <c r="I39" t="n">
        <v>100</v>
      </c>
      <c r="J39" t="n">
        <v>90</v>
      </c>
      <c r="K39" t="n">
        <v>95</v>
      </c>
      <c r="L39">
        <f>SUM(G39:K39)/5</f>
        <v/>
      </c>
    </row>
    <row r="40">
      <c r="L40">
        <f>SUM(G40:K40)/5</f>
        <v/>
      </c>
    </row>
    <row r="41">
      <c r="A41" t="inlineStr">
        <is>
          <t>Djuan Setyo Jati</t>
        </is>
      </c>
      <c r="B41" t="n">
        <v>24060124140163</v>
      </c>
      <c r="C41" t="inlineStr">
        <is>
          <t>bb982f39-071b-479e-9c51-ead61cc51e38</t>
        </is>
      </c>
      <c r="F41" t="inlineStr">
        <is>
          <t>djuansetyojati@students.undip.ac.id</t>
        </is>
      </c>
      <c r="G41" t="inlineStr">
        <is>
          <t>-</t>
        </is>
      </c>
      <c r="H41" t="n">
        <v>46.15</v>
      </c>
      <c r="I41" t="n">
        <v>62.5</v>
      </c>
      <c r="J41" t="n">
        <v>50</v>
      </c>
      <c r="K41" t="n">
        <v>60</v>
      </c>
      <c r="L41">
        <f>SUM(G41:K41)/5</f>
        <v/>
      </c>
    </row>
    <row r="42">
      <c r="A42" t="inlineStr">
        <is>
          <t>Claudia Meitania Putri</t>
        </is>
      </c>
      <c r="B42" t="n">
        <v>24060124140188</v>
      </c>
      <c r="C42" t="inlineStr">
        <is>
          <t>560d84b5-52ac-44e8-bfbd-50e102786e00</t>
        </is>
      </c>
      <c r="F42" t="inlineStr">
        <is>
          <t>claudiameitaniaputri@students.undip.ac.id</t>
        </is>
      </c>
      <c r="G42" t="n">
        <v>58.33</v>
      </c>
      <c r="H42" t="n">
        <v>86.54000000000001</v>
      </c>
      <c r="I42" t="n">
        <v>87.5</v>
      </c>
      <c r="J42" t="n">
        <v>63.33</v>
      </c>
      <c r="K42" t="n">
        <v>80</v>
      </c>
      <c r="L42">
        <f>SUM(G42:K42)/5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First name</t>
        </is>
      </c>
      <c r="B1" t="inlineStr">
        <is>
          <t>Last name</t>
        </is>
      </c>
      <c r="C1" t="inlineStr">
        <is>
          <t>ID number</t>
        </is>
      </c>
      <c r="D1" t="inlineStr">
        <is>
          <t>Institution</t>
        </is>
      </c>
      <c r="E1" t="inlineStr">
        <is>
          <t>Department</t>
        </is>
      </c>
      <c r="F1" t="inlineStr">
        <is>
          <t>Email address</t>
        </is>
      </c>
      <c r="G1" t="inlineStr">
        <is>
          <t>Quiz: Quis 1 (Real)</t>
        </is>
      </c>
      <c r="H1" t="inlineStr">
        <is>
          <t>Quiz: quis 2 (Real)</t>
        </is>
      </c>
      <c r="I1" t="inlineStr">
        <is>
          <t>Quiz: Quis 3 (Real)</t>
        </is>
      </c>
      <c r="J1" t="inlineStr">
        <is>
          <t>Quiz: Quis 3 (bonus-testing) (Real)</t>
        </is>
      </c>
      <c r="K1" t="inlineStr">
        <is>
          <t>Quiz: quis 4 (Real)</t>
        </is>
      </c>
      <c r="L1" t="inlineStr">
        <is>
          <t>Quiz: quis 5 (Real)</t>
        </is>
      </c>
      <c r="M1" t="inlineStr">
        <is>
          <t>Quiz: Latihan UTS (Real)</t>
        </is>
      </c>
      <c r="N1" t="inlineStr">
        <is>
          <t>Quiz: UTS (Real)</t>
        </is>
      </c>
      <c r="O1" t="inlineStr">
        <is>
          <t>Last downloaded from this course</t>
        </is>
      </c>
    </row>
    <row r="2">
      <c r="A2" t="inlineStr">
        <is>
          <t>Tiara Putri Wibowo</t>
        </is>
      </c>
      <c r="B2" t="n">
        <v>24060122120026</v>
      </c>
      <c r="C2" t="inlineStr">
        <is>
          <t>7b97f1f5-b6f6-472f-acab-7f4999f6919a</t>
        </is>
      </c>
      <c r="F2" t="inlineStr">
        <is>
          <t>tiaraputriwibowo@students.undip.ac.id</t>
        </is>
      </c>
      <c r="G2" t="n">
        <v>75</v>
      </c>
      <c r="H2" t="inlineStr">
        <is>
          <t>-</t>
        </is>
      </c>
      <c r="I2" t="inlineStr">
        <is>
          <t>-</t>
        </is>
      </c>
      <c r="J2" t="inlineStr">
        <is>
          <t>-</t>
        </is>
      </c>
      <c r="K2" t="inlineStr">
        <is>
          <t>-</t>
        </is>
      </c>
      <c r="L2" t="n">
        <v>50</v>
      </c>
      <c r="M2" t="n">
        <v>2.89</v>
      </c>
      <c r="N2" t="n">
        <v>77.33</v>
      </c>
      <c r="O2" t="n">
        <v>1782748444</v>
      </c>
    </row>
    <row r="3">
      <c r="A3" t="inlineStr">
        <is>
          <t>Khairindra Eka Putra</t>
        </is>
      </c>
      <c r="B3" t="n">
        <v>24060122140178</v>
      </c>
      <c r="C3" t="inlineStr">
        <is>
          <t>89da1c0a-f051-4526-840b-ae059ec32c76</t>
        </is>
      </c>
      <c r="F3" t="inlineStr">
        <is>
          <t>khairindraa@students.undip.ac.id</t>
        </is>
      </c>
      <c r="G3" t="inlineStr">
        <is>
          <t>-</t>
        </is>
      </c>
      <c r="H3" t="inlineStr">
        <is>
          <t>-</t>
        </is>
      </c>
      <c r="I3" t="inlineStr">
        <is>
          <t>-</t>
        </is>
      </c>
      <c r="J3" t="inlineStr">
        <is>
          <t>-</t>
        </is>
      </c>
      <c r="K3" t="inlineStr">
        <is>
          <t>-</t>
        </is>
      </c>
      <c r="L3" t="inlineStr">
        <is>
          <t>-</t>
        </is>
      </c>
      <c r="M3" t="inlineStr">
        <is>
          <t>-</t>
        </is>
      </c>
      <c r="N3" t="inlineStr">
        <is>
          <t>-</t>
        </is>
      </c>
      <c r="O3" t="n">
        <v>1782748444</v>
      </c>
    </row>
    <row r="4">
      <c r="A4" t="inlineStr">
        <is>
          <t>Sophie Venecia May Manalu</t>
        </is>
      </c>
      <c r="B4" t="n">
        <v>24060123120043</v>
      </c>
      <c r="C4" t="inlineStr">
        <is>
          <t>ed5c8d29-7e59-4105-bff6-2963170e7272</t>
        </is>
      </c>
      <c r="F4" t="inlineStr">
        <is>
          <t>sophiemanalu@students.undip.ac.id</t>
        </is>
      </c>
      <c r="G4" t="n">
        <v>58.33</v>
      </c>
      <c r="H4" t="n">
        <v>78.20999999999999</v>
      </c>
      <c r="I4" t="n">
        <v>62.5</v>
      </c>
      <c r="J4" t="n">
        <v>60</v>
      </c>
      <c r="K4" t="inlineStr">
        <is>
          <t>-</t>
        </is>
      </c>
      <c r="L4" t="n">
        <v>60</v>
      </c>
      <c r="M4" t="n">
        <v>9.18</v>
      </c>
      <c r="N4" t="n">
        <v>92</v>
      </c>
      <c r="O4" t="n">
        <v>1782748444</v>
      </c>
    </row>
    <row r="5">
      <c r="A5" t="inlineStr">
        <is>
          <t>Novanza Edgar Wibowo</t>
        </is>
      </c>
      <c r="B5" t="n">
        <v>24060123130055</v>
      </c>
      <c r="C5" t="inlineStr">
        <is>
          <t>5e45b76a-a31e-4363-a1dd-771320990063</t>
        </is>
      </c>
      <c r="F5" t="inlineStr">
        <is>
          <t>novanza24@students.undip.ac.id</t>
        </is>
      </c>
      <c r="G5" t="n">
        <v>25</v>
      </c>
      <c r="H5" t="n">
        <v>73.08</v>
      </c>
      <c r="I5" t="n">
        <v>100</v>
      </c>
      <c r="J5" t="n">
        <v>73.33</v>
      </c>
      <c r="K5" t="inlineStr">
        <is>
          <t>-</t>
        </is>
      </c>
      <c r="L5" t="n">
        <v>80</v>
      </c>
      <c r="M5" t="inlineStr">
        <is>
          <t>-</t>
        </is>
      </c>
      <c r="N5" t="inlineStr">
        <is>
          <t>-</t>
        </is>
      </c>
      <c r="O5" t="n">
        <v>1782748444</v>
      </c>
    </row>
    <row r="6">
      <c r="A6" t="inlineStr">
        <is>
          <t>Abyasa Saifaji</t>
        </is>
      </c>
      <c r="B6" t="n">
        <v>24060123130099</v>
      </c>
      <c r="C6" t="inlineStr">
        <is>
          <t>9bf0e023-79f7-4368-9e31-08136c04ac11</t>
        </is>
      </c>
      <c r="F6" t="inlineStr">
        <is>
          <t>asaifaji@students.undip.ac.id</t>
        </is>
      </c>
      <c r="G6" t="n">
        <v>58.33</v>
      </c>
      <c r="H6" t="inlineStr">
        <is>
          <t>-</t>
        </is>
      </c>
      <c r="I6" t="inlineStr">
        <is>
          <t>-</t>
        </is>
      </c>
      <c r="J6" t="inlineStr">
        <is>
          <t>-</t>
        </is>
      </c>
      <c r="K6" t="inlineStr">
        <is>
          <t>-</t>
        </is>
      </c>
      <c r="L6" t="inlineStr">
        <is>
          <t>-</t>
        </is>
      </c>
      <c r="M6" t="inlineStr">
        <is>
          <t>-</t>
        </is>
      </c>
      <c r="N6" t="inlineStr">
        <is>
          <t>-</t>
        </is>
      </c>
      <c r="O6" t="n">
        <v>1782748444</v>
      </c>
    </row>
    <row r="7">
      <c r="A7" t="inlineStr">
        <is>
          <t>Bagas Nur Ardianto</t>
        </is>
      </c>
      <c r="B7" t="n">
        <v>24060123140063</v>
      </c>
      <c r="C7" t="inlineStr">
        <is>
          <t>dea4c0bb-f211-4b39-b990-b6a0c3f7d3b8</t>
        </is>
      </c>
      <c r="F7" t="inlineStr">
        <is>
          <t>bagasardianto@students.undip.ac.id</t>
        </is>
      </c>
      <c r="G7" t="n">
        <v>50</v>
      </c>
      <c r="H7" t="n">
        <v>61.54</v>
      </c>
      <c r="I7" t="n">
        <v>87.5</v>
      </c>
      <c r="J7" t="n">
        <v>53.33</v>
      </c>
      <c r="K7" t="inlineStr">
        <is>
          <t>-</t>
        </is>
      </c>
      <c r="L7" t="n">
        <v>55</v>
      </c>
      <c r="M7" t="inlineStr">
        <is>
          <t>-</t>
        </is>
      </c>
      <c r="N7" t="inlineStr">
        <is>
          <t>-</t>
        </is>
      </c>
      <c r="O7" t="n">
        <v>1782748444</v>
      </c>
    </row>
    <row r="8">
      <c r="A8" t="inlineStr">
        <is>
          <t>Zaky Musyaffa</t>
        </is>
      </c>
      <c r="B8" t="n">
        <v>24060123140132</v>
      </c>
      <c r="C8" t="inlineStr">
        <is>
          <t>7a5e5815-020d-4cea-947d-03fb5ac96bae</t>
        </is>
      </c>
      <c r="F8" t="inlineStr">
        <is>
          <t>zakymusyaffa@students.undip.ac.id</t>
        </is>
      </c>
      <c r="G8" t="n">
        <v>58.33</v>
      </c>
      <c r="H8" t="n">
        <v>73.72</v>
      </c>
      <c r="I8" t="n">
        <v>87.5</v>
      </c>
      <c r="J8" t="n">
        <v>40</v>
      </c>
      <c r="K8" t="inlineStr">
        <is>
          <t>-</t>
        </is>
      </c>
      <c r="L8" t="n">
        <v>90</v>
      </c>
      <c r="M8" t="inlineStr">
        <is>
          <t>-</t>
        </is>
      </c>
      <c r="N8" t="n">
        <v>85</v>
      </c>
      <c r="O8" t="n">
        <v>1782748444</v>
      </c>
    </row>
    <row r="9">
      <c r="A9" t="inlineStr">
        <is>
          <t>Alfonso Michael Normando Hutahaean</t>
        </is>
      </c>
      <c r="B9" t="n">
        <v>24060123140156</v>
      </c>
      <c r="C9" t="inlineStr">
        <is>
          <t>740d8420-7150-4cf4-8e44-cf822f97c185</t>
        </is>
      </c>
      <c r="F9" t="inlineStr">
        <is>
          <t>alfonsohutahaean@students.undip.ac.id</t>
        </is>
      </c>
      <c r="G9" t="inlineStr">
        <is>
          <t>-</t>
        </is>
      </c>
      <c r="H9" t="inlineStr">
        <is>
          <t>-</t>
        </is>
      </c>
      <c r="I9" t="inlineStr">
        <is>
          <t>-</t>
        </is>
      </c>
      <c r="J9" t="inlineStr">
        <is>
          <t>-</t>
        </is>
      </c>
      <c r="K9" t="inlineStr">
        <is>
          <t>-</t>
        </is>
      </c>
      <c r="L9" t="n">
        <v>100</v>
      </c>
      <c r="M9" t="n">
        <v>9.69</v>
      </c>
      <c r="N9" t="n">
        <v>94</v>
      </c>
      <c r="O9" t="n">
        <v>1782748444</v>
      </c>
    </row>
    <row r="10">
      <c r="A10" t="inlineStr">
        <is>
          <t>Tegar Caesara Yanuansa</t>
        </is>
      </c>
      <c r="B10" t="n">
        <v>24060123140190</v>
      </c>
      <c r="C10" t="inlineStr">
        <is>
          <t>5743c352-761d-4477-93bd-e7ae44fd3560</t>
        </is>
      </c>
      <c r="F10" t="inlineStr">
        <is>
          <t>tegarcaesarayanuansa@students.undip.ac.id</t>
        </is>
      </c>
      <c r="G10" t="n">
        <v>75</v>
      </c>
      <c r="H10" t="n">
        <v>78.20999999999999</v>
      </c>
      <c r="I10" t="n">
        <v>75</v>
      </c>
      <c r="J10" t="n">
        <v>60</v>
      </c>
      <c r="K10" t="inlineStr">
        <is>
          <t>-</t>
        </is>
      </c>
      <c r="L10" t="n">
        <v>95</v>
      </c>
      <c r="M10" t="inlineStr">
        <is>
          <t>-</t>
        </is>
      </c>
      <c r="N10" t="n">
        <v>88</v>
      </c>
      <c r="O10" t="n">
        <v>1782748444</v>
      </c>
    </row>
    <row r="11">
      <c r="A11" t="inlineStr">
        <is>
          <t>Muhammad Iqbal Haqiqi</t>
        </is>
      </c>
      <c r="B11" t="n">
        <v>24060123140191</v>
      </c>
      <c r="C11" t="inlineStr">
        <is>
          <t>1fe1ad15-f073-4539-8c00-46b5cb8968b3</t>
        </is>
      </c>
      <c r="F11" t="inlineStr">
        <is>
          <t>muhammadiqbalhaqiqi@students.undip.ac.id</t>
        </is>
      </c>
      <c r="G11" t="n">
        <v>25</v>
      </c>
      <c r="H11" t="n">
        <v>84.62</v>
      </c>
      <c r="I11" t="n">
        <v>100</v>
      </c>
      <c r="J11" t="n">
        <v>56.67</v>
      </c>
      <c r="K11" t="inlineStr">
        <is>
          <t>-</t>
        </is>
      </c>
      <c r="L11" t="n">
        <v>100</v>
      </c>
      <c r="M11" t="inlineStr">
        <is>
          <t>-</t>
        </is>
      </c>
      <c r="N11" t="inlineStr">
        <is>
          <t>-</t>
        </is>
      </c>
      <c r="O11" t="n">
        <v>1782748444</v>
      </c>
    </row>
    <row r="12">
      <c r="A12" t="inlineStr">
        <is>
          <t>Muchammad Yuda Tri Ananda</t>
        </is>
      </c>
      <c r="B12" t="n">
        <v>24060124110142</v>
      </c>
      <c r="C12" t="inlineStr">
        <is>
          <t>8be5dc2a-8eeb-4453-850b-de57e9176d78</t>
        </is>
      </c>
      <c r="F12" t="inlineStr">
        <is>
          <t>myudak@students.undip.ac.id</t>
        </is>
      </c>
      <c r="G12" t="n">
        <v>75</v>
      </c>
      <c r="H12" t="n">
        <v>85.90000000000001</v>
      </c>
      <c r="I12" t="n">
        <v>100</v>
      </c>
      <c r="J12" t="n">
        <v>93.33</v>
      </c>
      <c r="K12" t="inlineStr">
        <is>
          <t>-</t>
        </is>
      </c>
      <c r="L12" t="n">
        <v>100</v>
      </c>
      <c r="M12" t="n">
        <v>9.359999999999999</v>
      </c>
      <c r="N12" t="n">
        <v>96</v>
      </c>
      <c r="O12" t="n">
        <v>1782748444</v>
      </c>
    </row>
    <row r="13">
      <c r="A13" t="inlineStr">
        <is>
          <t>Aditya Sultonul Ulya</t>
        </is>
      </c>
      <c r="B13" t="n">
        <v>24060124120006</v>
      </c>
      <c r="C13" t="inlineStr">
        <is>
          <t>939ac8f4-34a8-4daa-9309-d880afad7a91</t>
        </is>
      </c>
      <c r="F13" t="inlineStr">
        <is>
          <t>adityaulyy@students.undip.ac.id</t>
        </is>
      </c>
      <c r="G13" t="n">
        <v>58.33</v>
      </c>
      <c r="H13" t="n">
        <v>88.45999999999999</v>
      </c>
      <c r="I13" t="n">
        <v>87.5</v>
      </c>
      <c r="J13" t="n">
        <v>66.67</v>
      </c>
      <c r="K13" t="inlineStr">
        <is>
          <t>-</t>
        </is>
      </c>
      <c r="L13" t="n">
        <v>100</v>
      </c>
      <c r="M13" t="inlineStr">
        <is>
          <t>-</t>
        </is>
      </c>
      <c r="N13" t="n">
        <v>96</v>
      </c>
      <c r="O13" t="n">
        <v>1782748444</v>
      </c>
    </row>
    <row r="14">
      <c r="A14" t="inlineStr">
        <is>
          <t>Dhimas Reza Nafi Wahyudi</t>
        </is>
      </c>
      <c r="B14" t="n">
        <v>24060124120010</v>
      </c>
      <c r="C14" t="inlineStr">
        <is>
          <t>f0cbb293-cb25-40d3-974c-206185a9ac60</t>
        </is>
      </c>
      <c r="F14" t="inlineStr">
        <is>
          <t>dhimasrnw@students.undip.ac.id</t>
        </is>
      </c>
      <c r="G14" t="n">
        <v>75</v>
      </c>
      <c r="H14" t="n">
        <v>88.45999999999999</v>
      </c>
      <c r="I14" t="n">
        <v>100</v>
      </c>
      <c r="J14" t="n">
        <v>90</v>
      </c>
      <c r="K14" t="inlineStr">
        <is>
          <t>-</t>
        </is>
      </c>
      <c r="L14" t="n">
        <v>95</v>
      </c>
      <c r="M14" t="n">
        <v>9.279999999999999</v>
      </c>
      <c r="N14" t="n">
        <v>95</v>
      </c>
      <c r="O14" t="n">
        <v>1782748444</v>
      </c>
    </row>
    <row r="15">
      <c r="A15" t="inlineStr">
        <is>
          <t>Felicia Evelina</t>
        </is>
      </c>
      <c r="B15" t="n">
        <v>24060124120012</v>
      </c>
      <c r="C15" t="inlineStr">
        <is>
          <t>3fd13274-4692-4a32-87a5-b01b66f7c29f</t>
        </is>
      </c>
      <c r="F15" t="inlineStr">
        <is>
          <t>feliciaevelina@students.undip.ac.id</t>
        </is>
      </c>
      <c r="G15" t="n">
        <v>75</v>
      </c>
      <c r="H15" t="n">
        <v>73.08</v>
      </c>
      <c r="I15" t="n">
        <v>100</v>
      </c>
      <c r="J15" t="n">
        <v>60</v>
      </c>
      <c r="K15" t="inlineStr">
        <is>
          <t>-</t>
        </is>
      </c>
      <c r="L15" t="n">
        <v>95</v>
      </c>
      <c r="M15" t="n">
        <v>9.41</v>
      </c>
      <c r="N15" t="n">
        <v>94</v>
      </c>
      <c r="O15" t="n">
        <v>1782748444</v>
      </c>
    </row>
    <row r="16">
      <c r="A16" t="inlineStr">
        <is>
          <t>Muhamad Kemal Faza</t>
        </is>
      </c>
      <c r="B16" t="n">
        <v>24060124120013</v>
      </c>
      <c r="C16" t="inlineStr">
        <is>
          <t>39774c32-1d0b-43c1-9ef9-7a814f9ae28f</t>
        </is>
      </c>
      <c r="F16" t="inlineStr">
        <is>
          <t>kemalfaza26@students.undip.ac.id</t>
        </is>
      </c>
      <c r="G16" t="n">
        <v>66.67</v>
      </c>
      <c r="H16" t="n">
        <v>65.38</v>
      </c>
      <c r="I16" t="n">
        <v>87.5</v>
      </c>
      <c r="J16" t="n">
        <v>60</v>
      </c>
      <c r="K16" t="inlineStr">
        <is>
          <t>-</t>
        </is>
      </c>
      <c r="L16" t="n">
        <v>100</v>
      </c>
      <c r="M16" t="n">
        <v>9.18</v>
      </c>
      <c r="N16" t="n">
        <v>93</v>
      </c>
      <c r="O16" t="n">
        <v>1782748444</v>
      </c>
    </row>
    <row r="17">
      <c r="A17" t="inlineStr">
        <is>
          <t>Wahyu Eko Setyo Pribowo</t>
        </is>
      </c>
      <c r="B17" t="n">
        <v>24060124120015</v>
      </c>
      <c r="C17" t="inlineStr">
        <is>
          <t>33452c4c-def3-4b8d-9e50-c060e183afe9</t>
        </is>
      </c>
      <c r="F17" t="inlineStr">
        <is>
          <t>wahyuekosetyopribowo@students.undip.ac.id</t>
        </is>
      </c>
      <c r="G17" t="n">
        <v>58.33</v>
      </c>
      <c r="H17" t="n">
        <v>52.24</v>
      </c>
      <c r="I17" t="n">
        <v>37.5</v>
      </c>
      <c r="J17" t="n">
        <v>40</v>
      </c>
      <c r="K17" t="inlineStr">
        <is>
          <t>-</t>
        </is>
      </c>
      <c r="L17" t="n">
        <v>90</v>
      </c>
      <c r="M17" t="inlineStr">
        <is>
          <t>-</t>
        </is>
      </c>
      <c r="N17" t="n">
        <v>83</v>
      </c>
      <c r="O17" t="n">
        <v>1782748444</v>
      </c>
    </row>
    <row r="18">
      <c r="A18" t="inlineStr">
        <is>
          <t>Quinta Aurabiansyah</t>
        </is>
      </c>
      <c r="B18" t="n">
        <v>24060124120016</v>
      </c>
      <c r="C18" t="inlineStr">
        <is>
          <t>db217417-cfa8-4f6e-9734-ece5adfcf736</t>
        </is>
      </c>
      <c r="F18" t="inlineStr">
        <is>
          <t>quintabee@students.undip.ac.id</t>
        </is>
      </c>
      <c r="G18" t="n">
        <v>83.33</v>
      </c>
      <c r="H18" t="n">
        <v>78.20999999999999</v>
      </c>
      <c r="I18" t="n">
        <v>87.5</v>
      </c>
      <c r="J18" t="n">
        <v>66.67</v>
      </c>
      <c r="K18" t="inlineStr">
        <is>
          <t>-</t>
        </is>
      </c>
      <c r="L18" t="n">
        <v>100</v>
      </c>
      <c r="M18" t="n">
        <v>7.11</v>
      </c>
      <c r="N18" t="n">
        <v>97</v>
      </c>
      <c r="O18" t="n">
        <v>1782748444</v>
      </c>
    </row>
    <row r="19">
      <c r="A19" t="inlineStr">
        <is>
          <t>Nadia Azura Nurhaniya</t>
        </is>
      </c>
      <c r="B19" t="n">
        <v>24060124120019</v>
      </c>
      <c r="C19" t="inlineStr">
        <is>
          <t>58575fed-c57a-4e14-87be-56a83e4c725a</t>
        </is>
      </c>
      <c r="F19" t="inlineStr">
        <is>
          <t>nadianurhaniya@students.undip.ac.id</t>
        </is>
      </c>
      <c r="G19" t="n">
        <v>83.33</v>
      </c>
      <c r="H19" t="n">
        <v>76.92</v>
      </c>
      <c r="I19" t="n">
        <v>87.5</v>
      </c>
      <c r="J19" t="n">
        <v>76.67</v>
      </c>
      <c r="K19" t="inlineStr">
        <is>
          <t>-</t>
        </is>
      </c>
      <c r="L19" t="n">
        <v>90</v>
      </c>
      <c r="M19" t="n">
        <v>9.69</v>
      </c>
      <c r="N19" t="n">
        <v>98</v>
      </c>
      <c r="O19" t="n">
        <v>1782748444</v>
      </c>
    </row>
    <row r="20">
      <c r="A20" t="inlineStr">
        <is>
          <t>Raffi Arditama</t>
        </is>
      </c>
      <c r="B20" t="n">
        <v>24060124120020</v>
      </c>
      <c r="C20" t="inlineStr">
        <is>
          <t>5ed03eae-170a-41f9-960d-ce39b0e49942</t>
        </is>
      </c>
      <c r="F20" t="inlineStr">
        <is>
          <t>raffiarditama@students.undip.ac.id</t>
        </is>
      </c>
      <c r="G20" t="n">
        <v>66.67</v>
      </c>
      <c r="H20" t="n">
        <v>73.08</v>
      </c>
      <c r="I20" t="n">
        <v>75</v>
      </c>
      <c r="J20" t="n">
        <v>63.33</v>
      </c>
      <c r="K20" t="inlineStr">
        <is>
          <t>-</t>
        </is>
      </c>
      <c r="L20" t="n">
        <v>80</v>
      </c>
      <c r="M20" t="inlineStr">
        <is>
          <t>-</t>
        </is>
      </c>
      <c r="N20" t="n">
        <v>95</v>
      </c>
      <c r="O20" t="n">
        <v>1782748444</v>
      </c>
    </row>
    <row r="21">
      <c r="A21" t="inlineStr">
        <is>
          <t>Gregorius Septiano Ariadi</t>
        </is>
      </c>
      <c r="B21" t="n">
        <v>24060124120026</v>
      </c>
      <c r="C21" t="inlineStr">
        <is>
          <t>6a4e2f20-a268-49b9-a39e-a367ab85ba9c</t>
        </is>
      </c>
      <c r="F21" t="inlineStr">
        <is>
          <t>gregoriusseptiano@students.undip.ac.id</t>
        </is>
      </c>
      <c r="G21" t="n">
        <v>83.33</v>
      </c>
      <c r="H21" t="n">
        <v>81.73</v>
      </c>
      <c r="I21" t="n">
        <v>87.5</v>
      </c>
      <c r="J21" t="n">
        <v>93.33</v>
      </c>
      <c r="K21" t="inlineStr">
        <is>
          <t>-</t>
        </is>
      </c>
      <c r="L21" t="n">
        <v>100</v>
      </c>
      <c r="M21" t="n">
        <v>9.69</v>
      </c>
      <c r="N21" t="n">
        <v>100</v>
      </c>
      <c r="O21" t="n">
        <v>1782748444</v>
      </c>
    </row>
    <row r="22">
      <c r="A22" t="inlineStr">
        <is>
          <t>Husein Avicenna</t>
        </is>
      </c>
      <c r="B22" t="n">
        <v>24060124120047</v>
      </c>
      <c r="C22" t="inlineStr">
        <is>
          <t>ceec07bc-0152-4248-815e-a54b6e5952b3</t>
        </is>
      </c>
      <c r="F22" t="inlineStr">
        <is>
          <t>huseinavicenna5@students.undip.ac.id</t>
        </is>
      </c>
      <c r="G22" t="n">
        <v>58.33</v>
      </c>
      <c r="H22" t="n">
        <v>79.48999999999999</v>
      </c>
      <c r="I22" t="n">
        <v>87.5</v>
      </c>
      <c r="J22" t="n">
        <v>86.67</v>
      </c>
      <c r="K22" t="inlineStr">
        <is>
          <t>-</t>
        </is>
      </c>
      <c r="L22" t="n">
        <v>80</v>
      </c>
      <c r="M22" t="n">
        <v>9.59</v>
      </c>
      <c r="N22" t="n">
        <v>94</v>
      </c>
      <c r="O22" t="n">
        <v>1782748444</v>
      </c>
    </row>
    <row r="23">
      <c r="A23" t="inlineStr">
        <is>
          <t>Anintya Abhi Wiryateja</t>
        </is>
      </c>
      <c r="B23" t="n">
        <v>24060124130053</v>
      </c>
      <c r="C23" t="inlineStr">
        <is>
          <t>faa98b9b-b187-4922-9fde-b4bf081c6b75</t>
        </is>
      </c>
      <c r="F23" t="inlineStr">
        <is>
          <t>abhiwiryateja@students.undip.ac.id</t>
        </is>
      </c>
      <c r="G23" t="n">
        <v>66.67</v>
      </c>
      <c r="H23" t="n">
        <v>42.31</v>
      </c>
      <c r="I23" t="n">
        <v>75</v>
      </c>
      <c r="J23" t="n">
        <v>80</v>
      </c>
      <c r="K23" t="inlineStr">
        <is>
          <t>-</t>
        </is>
      </c>
      <c r="L23" t="n">
        <v>45</v>
      </c>
      <c r="M23" t="inlineStr">
        <is>
          <t>-</t>
        </is>
      </c>
      <c r="N23" t="n">
        <v>78</v>
      </c>
      <c r="O23" t="n">
        <v>1782748444</v>
      </c>
    </row>
    <row r="24">
      <c r="A24" t="inlineStr">
        <is>
          <t>Daffa Maulana Alfianto</t>
        </is>
      </c>
      <c r="B24" t="n">
        <v>24060124130055</v>
      </c>
      <c r="C24" t="inlineStr">
        <is>
          <t>144dd338-da4c-453a-bc80-ae03163022d9</t>
        </is>
      </c>
      <c r="F24" t="inlineStr">
        <is>
          <t>daffamaulanaalfianto@students.undip.ac.id</t>
        </is>
      </c>
      <c r="G24" t="n">
        <v>75</v>
      </c>
      <c r="H24" t="n">
        <v>88.45999999999999</v>
      </c>
      <c r="I24" t="n">
        <v>100</v>
      </c>
      <c r="J24" t="n">
        <v>80</v>
      </c>
      <c r="K24" t="inlineStr">
        <is>
          <t>-</t>
        </is>
      </c>
      <c r="L24" t="inlineStr">
        <is>
          <t>-</t>
        </is>
      </c>
      <c r="M24" t="inlineStr">
        <is>
          <t>-</t>
        </is>
      </c>
      <c r="N24" t="inlineStr">
        <is>
          <t>-</t>
        </is>
      </c>
      <c r="O24" t="n">
        <v>1782748444</v>
      </c>
    </row>
    <row r="25">
      <c r="A25" t="inlineStr">
        <is>
          <t>Rahmat Argyandha Aminuddin</t>
        </is>
      </c>
      <c r="B25" t="n">
        <v>24060124130061</v>
      </c>
      <c r="C25" t="inlineStr">
        <is>
          <t>1e467a5f-3f1a-418d-a578-3ab30dcc2d83</t>
        </is>
      </c>
      <c r="F25" t="inlineStr">
        <is>
          <t>rahmatargyandha@students.undip.ac.id</t>
        </is>
      </c>
      <c r="G25" t="n">
        <v>41.67</v>
      </c>
      <c r="H25" t="n">
        <v>71.15000000000001</v>
      </c>
      <c r="I25" t="n">
        <v>50</v>
      </c>
      <c r="J25" t="n">
        <v>60</v>
      </c>
      <c r="K25" t="inlineStr">
        <is>
          <t>-</t>
        </is>
      </c>
      <c r="L25" t="n">
        <v>85</v>
      </c>
      <c r="M25" t="n">
        <v>7.87</v>
      </c>
      <c r="N25" t="n">
        <v>85</v>
      </c>
      <c r="O25" t="n">
        <v>1782748444</v>
      </c>
    </row>
    <row r="26">
      <c r="A26" t="inlineStr">
        <is>
          <t>Anggita Kirana Puspa</t>
        </is>
      </c>
      <c r="B26" t="n">
        <v>24060124130064</v>
      </c>
      <c r="C26" t="inlineStr">
        <is>
          <t>6de22708-7dc9-4254-95c6-ad45cf92fa8b</t>
        </is>
      </c>
      <c r="F26" t="inlineStr">
        <is>
          <t>anggitakiranapuspa17@students.undip.ac.id</t>
        </is>
      </c>
      <c r="G26" t="n">
        <v>66.67</v>
      </c>
      <c r="H26" t="n">
        <v>84.62</v>
      </c>
      <c r="I26" t="n">
        <v>87.5</v>
      </c>
      <c r="J26" t="n">
        <v>66.67</v>
      </c>
      <c r="K26" t="inlineStr">
        <is>
          <t>-</t>
        </is>
      </c>
      <c r="L26" t="n">
        <v>100</v>
      </c>
      <c r="M26" t="n">
        <v>9.48</v>
      </c>
      <c r="N26" t="n">
        <v>97</v>
      </c>
      <c r="O26" t="n">
        <v>1782748444</v>
      </c>
    </row>
    <row r="27">
      <c r="A27" t="inlineStr">
        <is>
          <t>Levi Ramot Siahaan</t>
        </is>
      </c>
      <c r="B27" t="n">
        <v>24060124130067</v>
      </c>
      <c r="C27" t="inlineStr">
        <is>
          <t>2a3b0cad-78e0-40e1-9281-084430ee260b</t>
        </is>
      </c>
      <c r="F27" t="inlineStr">
        <is>
          <t>leviramot@students.undip.ac.id</t>
        </is>
      </c>
      <c r="G27" t="n">
        <v>83.33</v>
      </c>
      <c r="H27" t="n">
        <v>26.92</v>
      </c>
      <c r="I27" t="n">
        <v>87.5</v>
      </c>
      <c r="J27" t="n">
        <v>86.67</v>
      </c>
      <c r="K27" t="inlineStr">
        <is>
          <t>-</t>
        </is>
      </c>
      <c r="L27" t="n">
        <v>80</v>
      </c>
      <c r="M27" t="inlineStr">
        <is>
          <t>-</t>
        </is>
      </c>
      <c r="N27" t="n">
        <v>94</v>
      </c>
      <c r="O27" t="n">
        <v>1782748444</v>
      </c>
    </row>
    <row r="28">
      <c r="A28" t="inlineStr">
        <is>
          <t>Aron Sorimuda Johanes Pasaribu</t>
        </is>
      </c>
      <c r="B28" t="n">
        <v>24060124130086</v>
      </c>
      <c r="C28" t="inlineStr">
        <is>
          <t>02393cc8-e423-4b8a-b9f5-71590c0ad1a6</t>
        </is>
      </c>
      <c r="F28" t="inlineStr">
        <is>
          <t>sorimudaaron@students.undip.ac.id</t>
        </is>
      </c>
      <c r="G28" t="n">
        <v>58.33</v>
      </c>
      <c r="H28" t="n">
        <v>84.62</v>
      </c>
      <c r="I28" t="n">
        <v>87.5</v>
      </c>
      <c r="J28" t="n">
        <v>76.67</v>
      </c>
      <c r="K28" t="inlineStr">
        <is>
          <t>-</t>
        </is>
      </c>
      <c r="L28" t="n">
        <v>75</v>
      </c>
      <c r="M28" t="n">
        <v>8.039999999999999</v>
      </c>
      <c r="N28" t="n">
        <v>87</v>
      </c>
      <c r="O28" t="n">
        <v>1782748444</v>
      </c>
    </row>
    <row r="29">
      <c r="A29" t="inlineStr">
        <is>
          <t>Haikal Imam Ridha</t>
        </is>
      </c>
      <c r="B29" t="n">
        <v>24060124130097</v>
      </c>
      <c r="C29" t="inlineStr">
        <is>
          <t>401a5846-4c49-4dcb-8bb4-d3375cd21d41</t>
        </is>
      </c>
      <c r="F29" t="inlineStr">
        <is>
          <t>haikalimamridha@students.undip.ac.id</t>
        </is>
      </c>
      <c r="G29" t="n">
        <v>75</v>
      </c>
      <c r="H29" t="n">
        <v>60.26</v>
      </c>
      <c r="I29" t="n">
        <v>75</v>
      </c>
      <c r="J29" t="n">
        <v>60</v>
      </c>
      <c r="K29" t="inlineStr">
        <is>
          <t>-</t>
        </is>
      </c>
      <c r="L29" t="n">
        <v>85</v>
      </c>
      <c r="M29" t="n">
        <v>3.51</v>
      </c>
      <c r="N29" t="n">
        <v>87</v>
      </c>
      <c r="O29" t="n">
        <v>1782748444</v>
      </c>
    </row>
    <row r="30">
      <c r="A30" t="inlineStr">
        <is>
          <t>Joshua Satria Kusuma</t>
        </is>
      </c>
      <c r="B30" t="n">
        <v>24060124130113</v>
      </c>
      <c r="C30" t="inlineStr">
        <is>
          <t>a1a25d6e-b479-4de4-aab0-24bb77ad276e</t>
        </is>
      </c>
      <c r="F30" t="inlineStr">
        <is>
          <t>joshuakusuma@students.undip.ac.id</t>
        </is>
      </c>
      <c r="G30" t="n">
        <v>75</v>
      </c>
      <c r="H30" t="inlineStr">
        <is>
          <t>-</t>
        </is>
      </c>
      <c r="I30" t="inlineStr">
        <is>
          <t>-</t>
        </is>
      </c>
      <c r="J30" t="inlineStr">
        <is>
          <t>-</t>
        </is>
      </c>
      <c r="K30" t="inlineStr">
        <is>
          <t>-</t>
        </is>
      </c>
      <c r="L30" t="n">
        <v>85</v>
      </c>
      <c r="M30" t="inlineStr">
        <is>
          <t>-</t>
        </is>
      </c>
      <c r="N30" t="n">
        <v>95</v>
      </c>
      <c r="O30" t="n">
        <v>1782748444</v>
      </c>
    </row>
    <row r="31">
      <c r="A31" t="inlineStr">
        <is>
          <t>Rafif Setya Imaduddin</t>
        </is>
      </c>
      <c r="B31" t="n">
        <v>24060124130115</v>
      </c>
      <c r="C31" t="inlineStr">
        <is>
          <t>507fd025-3b49-4b2a-b540-59899b374175</t>
        </is>
      </c>
      <c r="F31" t="inlineStr">
        <is>
          <t>rafifsetyaimaduddin@students.undip.ac.id</t>
        </is>
      </c>
      <c r="G31" t="n">
        <v>58.33</v>
      </c>
      <c r="H31" t="n">
        <v>68.91</v>
      </c>
      <c r="I31" t="n">
        <v>87.5</v>
      </c>
      <c r="J31" t="n">
        <v>80</v>
      </c>
      <c r="K31" t="inlineStr">
        <is>
          <t>-</t>
        </is>
      </c>
      <c r="L31" t="n">
        <v>100</v>
      </c>
      <c r="M31" t="n">
        <v>8.59</v>
      </c>
      <c r="N31" t="n">
        <v>78</v>
      </c>
      <c r="O31" t="n">
        <v>1782748444</v>
      </c>
    </row>
    <row r="32">
      <c r="A32" t="inlineStr">
        <is>
          <t>Aqiatillah Rezi Zhafran</t>
        </is>
      </c>
      <c r="B32" t="n">
        <v>24060124140124</v>
      </c>
      <c r="C32" t="inlineStr">
        <is>
          <t>684577c9-821d-4fd4-93b7-0fe1733c0948</t>
        </is>
      </c>
      <c r="F32" t="inlineStr">
        <is>
          <t>aqiatillahrezizhaf@students.undip.ac.id</t>
        </is>
      </c>
      <c r="G32" t="n">
        <v>75</v>
      </c>
      <c r="H32" t="n">
        <v>62.82</v>
      </c>
      <c r="I32" t="n">
        <v>62.5</v>
      </c>
      <c r="J32" t="n">
        <v>53.33</v>
      </c>
      <c r="K32" t="inlineStr">
        <is>
          <t>-</t>
        </is>
      </c>
      <c r="L32" t="n">
        <v>85</v>
      </c>
      <c r="M32" t="n">
        <v>9.69</v>
      </c>
      <c r="N32" t="n">
        <v>93</v>
      </c>
      <c r="O32" t="n">
        <v>1782748444</v>
      </c>
    </row>
    <row r="33">
      <c r="A33" t="inlineStr">
        <is>
          <t>Varissa Nabila Kifli</t>
        </is>
      </c>
      <c r="B33" t="n">
        <v>24060124140125</v>
      </c>
      <c r="C33" t="inlineStr">
        <is>
          <t>343f315f-7288-41cf-8616-6cd54958cfbc</t>
        </is>
      </c>
      <c r="F33" t="inlineStr">
        <is>
          <t>varissanabilakifli@students.undip.ac.id</t>
        </is>
      </c>
      <c r="G33" t="n">
        <v>58.33</v>
      </c>
      <c r="H33" t="n">
        <v>92.31</v>
      </c>
      <c r="I33" t="n">
        <v>100</v>
      </c>
      <c r="J33" t="n">
        <v>76.67</v>
      </c>
      <c r="K33" t="inlineStr">
        <is>
          <t>-</t>
        </is>
      </c>
      <c r="L33" t="n">
        <v>95</v>
      </c>
      <c r="M33" t="n">
        <v>9.380000000000001</v>
      </c>
      <c r="N33" t="n">
        <v>95</v>
      </c>
      <c r="O33" t="n">
        <v>1782748444</v>
      </c>
    </row>
    <row r="34">
      <c r="A34" t="inlineStr">
        <is>
          <t>Harits Permana</t>
        </is>
      </c>
      <c r="B34" t="n">
        <v>24060124140131</v>
      </c>
      <c r="C34" t="inlineStr">
        <is>
          <t>1374dc06-f1e3-4c39-8de4-d95278a4305c</t>
        </is>
      </c>
      <c r="F34" t="inlineStr">
        <is>
          <t>haritsprmn@students.undip.ac.id</t>
        </is>
      </c>
      <c r="G34" t="n">
        <v>66.67</v>
      </c>
      <c r="H34" t="n">
        <v>49.36</v>
      </c>
      <c r="I34" t="n">
        <v>50</v>
      </c>
      <c r="J34" t="n">
        <v>50</v>
      </c>
      <c r="K34" t="inlineStr">
        <is>
          <t>-</t>
        </is>
      </c>
      <c r="L34" t="n">
        <v>80</v>
      </c>
      <c r="M34" t="n">
        <v>8.869999999999999</v>
      </c>
      <c r="N34" t="n">
        <v>91</v>
      </c>
      <c r="O34" t="n">
        <v>1782748444</v>
      </c>
    </row>
    <row r="35">
      <c r="A35" t="inlineStr">
        <is>
          <t>Wahyu Aji Gumelar Tri Nugroho</t>
        </is>
      </c>
      <c r="B35" t="n">
        <v>24060124140134</v>
      </c>
      <c r="C35" t="inlineStr">
        <is>
          <t>89735219-5dfe-46e7-a955-871b8638836d</t>
        </is>
      </c>
      <c r="F35" t="inlineStr">
        <is>
          <t>monsieurjangkarbumi@students.undip.ac.id</t>
        </is>
      </c>
      <c r="G35" t="n">
        <v>41.67</v>
      </c>
      <c r="H35" t="n">
        <v>78.20999999999999</v>
      </c>
      <c r="I35" t="n">
        <v>87.5</v>
      </c>
      <c r="J35" t="n">
        <v>66.67</v>
      </c>
      <c r="K35" t="inlineStr">
        <is>
          <t>-</t>
        </is>
      </c>
      <c r="L35" t="n">
        <v>90</v>
      </c>
      <c r="M35" t="n">
        <v>7.73</v>
      </c>
      <c r="N35" t="n">
        <v>95</v>
      </c>
      <c r="O35" t="n">
        <v>1782748444</v>
      </c>
    </row>
    <row r="36">
      <c r="A36" t="inlineStr">
        <is>
          <t>Farhan Dwiyan Akbar</t>
        </is>
      </c>
      <c r="B36" t="n">
        <v>24060124140137</v>
      </c>
      <c r="C36" t="inlineStr">
        <is>
          <t>95a0ff37-af2b-4a62-9843-26321cb1b716</t>
        </is>
      </c>
      <c r="F36" t="inlineStr">
        <is>
          <t>farhandwiyanakbar@students.undip.ac.id</t>
        </is>
      </c>
      <c r="G36" t="n">
        <v>83.33</v>
      </c>
      <c r="H36" t="n">
        <v>82.05</v>
      </c>
      <c r="I36" t="n">
        <v>100</v>
      </c>
      <c r="J36" t="n">
        <v>80</v>
      </c>
      <c r="K36" t="inlineStr">
        <is>
          <t>-</t>
        </is>
      </c>
      <c r="L36" t="n">
        <v>85</v>
      </c>
      <c r="M36" t="n">
        <v>8.69</v>
      </c>
      <c r="N36" t="n">
        <v>86</v>
      </c>
      <c r="O36" t="n">
        <v>1782748444</v>
      </c>
    </row>
    <row r="37">
      <c r="A37" t="inlineStr">
        <is>
          <t>Muhammad Fauzan Akbar</t>
        </is>
      </c>
      <c r="B37" t="n">
        <v>24060124140139</v>
      </c>
      <c r="C37" t="inlineStr">
        <is>
          <t>5f633d8d-2e79-40f5-835d-de64e9b44cb1</t>
        </is>
      </c>
      <c r="F37" t="inlineStr">
        <is>
          <t>muhammadfauzanakbar@students.undip.ac.id</t>
        </is>
      </c>
      <c r="G37" t="n">
        <v>58.33</v>
      </c>
      <c r="H37" t="n">
        <v>72.76000000000001</v>
      </c>
      <c r="I37" t="n">
        <v>75</v>
      </c>
      <c r="J37" t="n">
        <v>53.33</v>
      </c>
      <c r="K37" t="inlineStr">
        <is>
          <t>-</t>
        </is>
      </c>
      <c r="L37" t="n">
        <v>75</v>
      </c>
      <c r="M37" t="n">
        <v>9.279999999999999</v>
      </c>
      <c r="N37" t="n">
        <v>94</v>
      </c>
      <c r="O37" t="n">
        <v>1782748444</v>
      </c>
    </row>
    <row r="38">
      <c r="A38" t="inlineStr">
        <is>
          <t>Akmal Dzaki Rahmatullah</t>
        </is>
      </c>
      <c r="B38" t="n">
        <v>24060124140151</v>
      </c>
      <c r="C38" t="inlineStr">
        <is>
          <t>2051e29a-f131-4367-a62c-c94eb65fe1e9</t>
        </is>
      </c>
      <c r="F38" t="inlineStr">
        <is>
          <t>akmaldzr@students.undip.ac.id</t>
        </is>
      </c>
      <c r="G38" t="inlineStr">
        <is>
          <t>-</t>
        </is>
      </c>
      <c r="H38" t="n">
        <v>75</v>
      </c>
      <c r="I38" t="n">
        <v>100</v>
      </c>
      <c r="J38" t="n">
        <v>53.33</v>
      </c>
      <c r="K38" t="inlineStr">
        <is>
          <t>-</t>
        </is>
      </c>
      <c r="L38" t="inlineStr">
        <is>
          <t>-</t>
        </is>
      </c>
      <c r="M38" t="n">
        <v>3.71</v>
      </c>
      <c r="N38" t="n">
        <v>86</v>
      </c>
      <c r="O38" t="n">
        <v>1782748444</v>
      </c>
    </row>
    <row r="39">
      <c r="A39" t="inlineStr">
        <is>
          <t>Djuan Setyo Jati</t>
        </is>
      </c>
      <c r="B39" t="n">
        <v>24060124140163</v>
      </c>
      <c r="C39" t="inlineStr">
        <is>
          <t>bb982f39-071b-479e-9c51-ead61cc51e38</t>
        </is>
      </c>
      <c r="F39" t="inlineStr">
        <is>
          <t>djuansetyojati@students.undip.ac.id</t>
        </is>
      </c>
      <c r="G39" t="inlineStr">
        <is>
          <t>-</t>
        </is>
      </c>
      <c r="H39" t="n">
        <v>46.15</v>
      </c>
      <c r="I39" t="n">
        <v>62.5</v>
      </c>
      <c r="J39" t="n">
        <v>50</v>
      </c>
      <c r="K39" t="inlineStr">
        <is>
          <t>-</t>
        </is>
      </c>
      <c r="L39" t="n">
        <v>60</v>
      </c>
      <c r="M39" t="n">
        <v>9.380000000000001</v>
      </c>
      <c r="N39" t="n">
        <v>98</v>
      </c>
      <c r="O39" t="n">
        <v>1782748444</v>
      </c>
    </row>
    <row r="40">
      <c r="A40" t="inlineStr">
        <is>
          <t>Muhammad Farhan Abdul Azis</t>
        </is>
      </c>
      <c r="B40" t="n">
        <v>24060124140166</v>
      </c>
      <c r="C40" t="inlineStr">
        <is>
          <t>0b94633b-90db-4d21-914b-6a22cfa50dc6</t>
        </is>
      </c>
      <c r="F40" t="inlineStr">
        <is>
          <t>farhannn@students.undip.ac.id</t>
        </is>
      </c>
      <c r="G40" t="n">
        <v>75</v>
      </c>
      <c r="H40" t="n">
        <v>88.45999999999999</v>
      </c>
      <c r="I40" t="n">
        <v>75</v>
      </c>
      <c r="J40" t="n">
        <v>80</v>
      </c>
      <c r="K40" t="inlineStr">
        <is>
          <t>-</t>
        </is>
      </c>
      <c r="L40" t="n">
        <v>100</v>
      </c>
      <c r="M40" t="n">
        <v>1.34</v>
      </c>
      <c r="N40" t="n">
        <v>96</v>
      </c>
      <c r="O40" t="n">
        <v>1782748444</v>
      </c>
    </row>
    <row r="41">
      <c r="A41" t="inlineStr">
        <is>
          <t>Fadhil Yaafi Widodo</t>
        </is>
      </c>
      <c r="B41" t="n">
        <v>24060124140169</v>
      </c>
      <c r="C41" t="inlineStr">
        <is>
          <t>222c5aab-6c66-429c-a021-b15ed085bee1</t>
        </is>
      </c>
      <c r="F41" t="inlineStr">
        <is>
          <t>fadhilyaafiwidodo@students.undip.ac.id</t>
        </is>
      </c>
      <c r="G41" t="n">
        <v>83.33</v>
      </c>
      <c r="H41" t="n">
        <v>71.15000000000001</v>
      </c>
      <c r="I41" t="n">
        <v>87.5</v>
      </c>
      <c r="J41" t="n">
        <v>70</v>
      </c>
      <c r="K41" t="inlineStr">
        <is>
          <t>-</t>
        </is>
      </c>
      <c r="L41" t="n">
        <v>85</v>
      </c>
      <c r="M41" t="n">
        <v>6.48</v>
      </c>
      <c r="N41" t="n">
        <v>88.33</v>
      </c>
      <c r="O41" t="n">
        <v>1782748444</v>
      </c>
    </row>
    <row r="42">
      <c r="A42" t="inlineStr">
        <is>
          <t>Mischa Nathanael Lumban Tobing</t>
        </is>
      </c>
      <c r="B42" t="n">
        <v>24060124140175</v>
      </c>
      <c r="C42" t="inlineStr">
        <is>
          <t>942ca978-2cca-41bb-ba9d-c5165b589c71</t>
        </is>
      </c>
      <c r="F42" t="inlineStr">
        <is>
          <t>mischatobing@students.undip.ac.id</t>
        </is>
      </c>
      <c r="G42" t="n">
        <v>50</v>
      </c>
      <c r="H42" t="n">
        <v>93.59</v>
      </c>
      <c r="I42" t="n">
        <v>75</v>
      </c>
      <c r="J42" t="n">
        <v>63.33</v>
      </c>
      <c r="K42" t="inlineStr">
        <is>
          <t>-</t>
        </is>
      </c>
      <c r="L42" t="inlineStr">
        <is>
          <t>-</t>
        </is>
      </c>
      <c r="M42" t="inlineStr">
        <is>
          <t>-</t>
        </is>
      </c>
      <c r="N42" t="n">
        <v>86</v>
      </c>
      <c r="O42" t="n">
        <v>1782748444</v>
      </c>
    </row>
    <row r="43">
      <c r="A43" t="inlineStr">
        <is>
          <t>Rayhan Gerard Darmawan</t>
        </is>
      </c>
      <c r="B43" t="n">
        <v>24060124140177</v>
      </c>
      <c r="C43" t="inlineStr">
        <is>
          <t>99bf3490-f82e-494b-8f48-6a6ef626e9db</t>
        </is>
      </c>
      <c r="F43" t="inlineStr">
        <is>
          <t>rayhangerard@students.undip.ac.id</t>
        </is>
      </c>
      <c r="G43" t="n">
        <v>75</v>
      </c>
      <c r="H43" t="n">
        <v>53.21</v>
      </c>
      <c r="I43" t="n">
        <v>62.5</v>
      </c>
      <c r="J43" t="n">
        <v>60</v>
      </c>
      <c r="K43" t="inlineStr">
        <is>
          <t>-</t>
        </is>
      </c>
      <c r="L43" t="n">
        <v>65</v>
      </c>
      <c r="M43" t="inlineStr">
        <is>
          <t>-</t>
        </is>
      </c>
      <c r="N43" t="n">
        <v>84</v>
      </c>
      <c r="O43" t="n">
        <v>1782748444</v>
      </c>
    </row>
    <row r="44">
      <c r="A44" t="inlineStr">
        <is>
          <t>Claudia Meitania Putri</t>
        </is>
      </c>
      <c r="B44" t="n">
        <v>24060124140188</v>
      </c>
      <c r="C44" t="inlineStr">
        <is>
          <t>560d84b5-52ac-44e8-bfbd-50e102786e00</t>
        </is>
      </c>
      <c r="F44" t="inlineStr">
        <is>
          <t>claudiameitaniaputri@students.undip.ac.id</t>
        </is>
      </c>
      <c r="G44" t="n">
        <v>58.33</v>
      </c>
      <c r="H44" t="n">
        <v>86.54000000000001</v>
      </c>
      <c r="I44" t="n">
        <v>87.5</v>
      </c>
      <c r="J44" t="n">
        <v>63.33</v>
      </c>
      <c r="K44" t="inlineStr">
        <is>
          <t>-</t>
        </is>
      </c>
      <c r="L44" t="n">
        <v>80</v>
      </c>
      <c r="M44" t="n">
        <v>9.119999999999999</v>
      </c>
      <c r="N44" t="n">
        <v>96</v>
      </c>
      <c r="O44" t="n">
        <v>1782748444</v>
      </c>
    </row>
    <row r="45">
      <c r="A45" t="inlineStr">
        <is>
          <t>Muhammad Zaidaan Ardiyansyah</t>
        </is>
      </c>
      <c r="B45" t="n">
        <v>24060124140200</v>
      </c>
      <c r="C45" t="inlineStr">
        <is>
          <t>d45dc214-9277-4c54-9992-bd6f84fac501</t>
        </is>
      </c>
      <c r="F45" t="inlineStr">
        <is>
          <t>zaidaanardiansyah@students.undip.ac.id</t>
        </is>
      </c>
      <c r="G45" t="n">
        <v>58.33</v>
      </c>
      <c r="H45" t="n">
        <v>70.51000000000001</v>
      </c>
      <c r="I45" t="n">
        <v>75</v>
      </c>
      <c r="J45" t="n">
        <v>76.67</v>
      </c>
      <c r="K45" t="inlineStr">
        <is>
          <t>-</t>
        </is>
      </c>
      <c r="L45" t="n">
        <v>100</v>
      </c>
      <c r="M45" t="n">
        <v>9.18</v>
      </c>
      <c r="N45" t="n">
        <v>95</v>
      </c>
      <c r="O45" t="n">
        <v>1782748444</v>
      </c>
    </row>
    <row r="46">
      <c r="A46" t="inlineStr">
        <is>
          <t>Adelia Clearesta</t>
        </is>
      </c>
      <c r="B46" t="n">
        <v>24060124140204</v>
      </c>
      <c r="C46" t="inlineStr">
        <is>
          <t>a7e55542-d222-48f1-93a7-5c933875d404</t>
        </is>
      </c>
      <c r="F46" t="inlineStr">
        <is>
          <t>adeliars@students.undip.ac.id</t>
        </is>
      </c>
      <c r="G46" t="n">
        <v>75</v>
      </c>
      <c r="H46" t="n">
        <v>51.28</v>
      </c>
      <c r="I46" t="n">
        <v>100</v>
      </c>
      <c r="J46" t="n">
        <v>63.33</v>
      </c>
      <c r="K46" t="inlineStr">
        <is>
          <t>-</t>
        </is>
      </c>
      <c r="L46" t="n">
        <v>95</v>
      </c>
      <c r="M46" t="n">
        <v>9.279999999999999</v>
      </c>
      <c r="N46" t="n">
        <v>95</v>
      </c>
      <c r="O46" t="n">
        <v>1782748444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Template</t>
        </is>
      </c>
      <c r="B2" t="n">
        <v>35</v>
      </c>
    </row>
    <row r="3">
      <c r="A3" t="inlineStr">
        <is>
          <t>Berhasil cocok</t>
        </is>
      </c>
      <c r="B3" t="n">
        <v>32</v>
      </c>
    </row>
    <row r="4">
      <c r="A4" t="inlineStr">
        <is>
          <t>Tidak cocok</t>
        </is>
      </c>
      <c r="B4" t="n">
        <v>3</v>
      </c>
    </row>
    <row r="5">
      <c r="A5" t="inlineStr">
        <is>
          <t>Data awal tidak ada di template</t>
        </is>
      </c>
      <c r="B5" t="n">
        <v>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SIAP UNDIP</dc:creator>
  <dc:title>Office 2007 XLSX Test Document</dc:title>
  <dc:description>Test document for Office 2007 XLSX, generated using PHP classes.</dc:description>
  <dc:subject>Office 2007 XLSX Test Document</dc:subject>
  <dcterms:created xsi:type="dcterms:W3CDTF">2026-06-29T22:52:59Z</dcterms:created>
  <dcterms:modified xsi:type="dcterms:W3CDTF">2026-06-29T20:01:38Z</dcterms:modified>
  <cp:lastModifiedBy>HP OHS2021</cp:lastModifiedBy>
  <cp:category>Test result file</cp:category>
  <cp:keywords>office 2007 openxml php</cp:keywords>
</cp:coreProperties>
</file>