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 VICTUS\Documents\Dropbox\file-penting\ASA\2026\"/>
    </mc:Choice>
  </mc:AlternateContent>
  <xr:revisionPtr revIDLastSave="0" documentId="8_{42081408-72A4-479B-BF62-EEA2C37D2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Sheet1" sheetId="4" r:id="rId2"/>
    <sheet name="Data_Gabungan" sheetId="2" r:id="rId3"/>
    <sheet name="Ringkasan_Match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K11" i="1" s="1"/>
  <c r="M11" i="1" s="1"/>
  <c r="G12" i="1"/>
  <c r="K12" i="1" s="1"/>
  <c r="M12" i="1" s="1"/>
  <c r="G13" i="1"/>
  <c r="G14" i="1"/>
  <c r="G15" i="1"/>
  <c r="G16" i="1"/>
  <c r="G17" i="1"/>
  <c r="G18" i="1"/>
  <c r="G19" i="1"/>
  <c r="G20" i="1"/>
  <c r="G21" i="1"/>
  <c r="K21" i="1" s="1"/>
  <c r="M21" i="1" s="1"/>
  <c r="G22" i="1"/>
  <c r="K22" i="1" s="1"/>
  <c r="M22" i="1" s="1"/>
  <c r="G23" i="1"/>
  <c r="K23" i="1" s="1"/>
  <c r="M23" i="1" s="1"/>
  <c r="G24" i="1"/>
  <c r="K24" i="1" s="1"/>
  <c r="M24" i="1" s="1"/>
  <c r="G25" i="1"/>
  <c r="K25" i="1" s="1"/>
  <c r="M25" i="1" s="1"/>
  <c r="G26" i="1"/>
  <c r="K26" i="1" s="1"/>
  <c r="L26" i="1" s="1"/>
  <c r="G27" i="1"/>
  <c r="K27" i="1" s="1"/>
  <c r="M27" i="1" s="1"/>
  <c r="G28" i="1"/>
  <c r="K28" i="1" s="1"/>
  <c r="L28" i="1" s="1"/>
  <c r="G29" i="1"/>
  <c r="G30" i="1"/>
  <c r="G31" i="1"/>
  <c r="K31" i="1" s="1"/>
  <c r="M31" i="1" s="1"/>
  <c r="G32" i="1"/>
  <c r="K32" i="1" s="1"/>
  <c r="M32" i="1" s="1"/>
  <c r="G33" i="1"/>
  <c r="G34" i="1"/>
  <c r="G35" i="1"/>
  <c r="G36" i="1"/>
  <c r="G37" i="1"/>
  <c r="G38" i="1"/>
  <c r="G39" i="1"/>
  <c r="G40" i="1"/>
  <c r="G41" i="1"/>
  <c r="K41" i="1" s="1"/>
  <c r="M41" i="1" s="1"/>
  <c r="G42" i="1"/>
  <c r="K42" i="1" s="1"/>
  <c r="M42" i="1" s="1"/>
  <c r="G8" i="1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8" i="4"/>
  <c r="K40" i="1"/>
  <c r="M40" i="1" s="1"/>
  <c r="K39" i="1"/>
  <c r="M39" i="1" s="1"/>
  <c r="K38" i="1"/>
  <c r="M38" i="1" s="1"/>
  <c r="K37" i="1"/>
  <c r="M37" i="1" s="1"/>
  <c r="K36" i="1"/>
  <c r="L36" i="1" s="1"/>
  <c r="K35" i="1"/>
  <c r="L35" i="1" s="1"/>
  <c r="K34" i="1"/>
  <c r="M34" i="1" s="1"/>
  <c r="K33" i="1"/>
  <c r="M33" i="1" s="1"/>
  <c r="K30" i="1"/>
  <c r="M30" i="1" s="1"/>
  <c r="K29" i="1"/>
  <c r="L29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0" i="1"/>
  <c r="M10" i="1" s="1"/>
  <c r="K9" i="1"/>
  <c r="L9" i="1" s="1"/>
  <c r="K8" i="1"/>
  <c r="L8" i="1" s="1"/>
  <c r="M29" i="1" l="1"/>
  <c r="M36" i="1"/>
  <c r="L22" i="1"/>
  <c r="M35" i="1"/>
  <c r="L33" i="1"/>
  <c r="L20" i="1"/>
  <c r="M9" i="1"/>
  <c r="L16" i="1"/>
  <c r="M8" i="1"/>
  <c r="L13" i="1"/>
  <c r="M26" i="1"/>
  <c r="L15" i="1"/>
  <c r="M28" i="1"/>
  <c r="L23" i="1"/>
  <c r="L10" i="1"/>
  <c r="L30" i="1"/>
  <c r="L17" i="1"/>
  <c r="L37" i="1"/>
  <c r="L24" i="1"/>
  <c r="L11" i="1"/>
  <c r="L31" i="1"/>
  <c r="L18" i="1"/>
  <c r="L38" i="1"/>
  <c r="L25" i="1"/>
  <c r="L12" i="1"/>
  <c r="L32" i="1"/>
  <c r="L19" i="1"/>
  <c r="L39" i="1"/>
  <c r="L40" i="1"/>
  <c r="L27" i="1"/>
  <c r="L14" i="1"/>
  <c r="L34" i="1"/>
  <c r="L21" i="1"/>
  <c r="L41" i="1"/>
  <c r="L42" i="1"/>
</calcChain>
</file>

<file path=xl/sharedStrings.xml><?xml version="1.0" encoding="utf-8"?>
<sst xmlns="http://schemas.openxmlformats.org/spreadsheetml/2006/main" count="643" uniqueCount="251">
  <si>
    <t>Mata Kuliah</t>
  </si>
  <si>
    <t>: MIK1624404 - Analisis dan Strategi Algoritma</t>
  </si>
  <si>
    <t>Tahun Ajaran</t>
  </si>
  <si>
    <t>: 2025</t>
  </si>
  <si>
    <t>NDk5NDg1</t>
  </si>
  <si>
    <t>Semester</t>
  </si>
  <si>
    <t>: Genap</t>
  </si>
  <si>
    <t>Kelas</t>
  </si>
  <si>
    <t>: E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</si>
  <si>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</si>
  <si>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</si>
  <si>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</si>
  <si>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</si>
  <si>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</si>
  <si>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</si>
  <si>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</si>
  <si>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(5%)</t>
  </si>
  <si>
    <t>Nilai Quiz (0,00-100,00) (5%)</t>
  </si>
  <si>
    <t>Nilai UTS (0,00-100,00) (20%)</t>
  </si>
  <si>
    <t>Nilai UAS (0,00-100) (20%)</t>
  </si>
  <si>
    <t>Nilai Akhir Angka (0,00-100,00)</t>
  </si>
  <si>
    <t>Nilai Akhir Huruf (A/B/C/D/E)</t>
  </si>
  <si>
    <t>Nilai Bobot (0-4)</t>
  </si>
  <si>
    <t>First name</t>
  </si>
  <si>
    <t>Last name</t>
  </si>
  <si>
    <t>ID number</t>
  </si>
  <si>
    <t>Institution</t>
  </si>
  <si>
    <t>Department</t>
  </si>
  <si>
    <t>Email address</t>
  </si>
  <si>
    <t>Quiz: Quis 1 (Real)</t>
  </si>
  <si>
    <t>Quiz: quis 2 (Real)</t>
  </si>
  <si>
    <t>Quiz: Quis 3 (Real)</t>
  </si>
  <si>
    <t>Quiz: Quis 3 (bonus-testing) (Real)</t>
  </si>
  <si>
    <t>Quiz: quis 4 (Real)</t>
  </si>
  <si>
    <t>Quiz: quis 5 (Real)</t>
  </si>
  <si>
    <t>Quiz: Latihan UTS (Real)</t>
  </si>
  <si>
    <t>Quiz: UTS (Real)</t>
  </si>
  <si>
    <t>Last downloaded from this course</t>
  </si>
  <si>
    <t>24060124130086</t>
  </si>
  <si>
    <t>ARON SORIMUDA JOHANES PASARIBU</t>
  </si>
  <si>
    <t>BARU</t>
  </si>
  <si>
    <t>Aron Sorimuda Johanes Pasaribu</t>
  </si>
  <si>
    <t>02393cc8-e423-4b8a-b9f5-71590c0ad1a6</t>
  </si>
  <si>
    <t>sorimudaaron@students.undip.ac.id</t>
  </si>
  <si>
    <t>-</t>
  </si>
  <si>
    <t>24060124140124</t>
  </si>
  <si>
    <t>AQIATILLAH REZI ZHAFRAN</t>
  </si>
  <si>
    <t>Aqiatillah Rezi Zhafran</t>
  </si>
  <si>
    <t>684577c9-821d-4fd4-93b7-0fe1733c0948</t>
  </si>
  <si>
    <t>aqiatillahrezizhaf@students.undip.ac.id</t>
  </si>
  <si>
    <t>24060124120012</t>
  </si>
  <si>
    <t>FELICIA EVELINA</t>
  </si>
  <si>
    <t>Felicia Evelina</t>
  </si>
  <si>
    <t>3fd13274-4692-4a32-87a5-b01b66f7c29f</t>
  </si>
  <si>
    <t>feliciaevelina@students.undip.ac.id</t>
  </si>
  <si>
    <t>24060124120026</t>
  </si>
  <si>
    <t>GREGORIUS SEPTIANO ARIADI</t>
  </si>
  <si>
    <t>Gregorius Septiano Ariadi</t>
  </si>
  <si>
    <t>6a4e2f20-a268-49b9-a39e-a367ab85ba9c</t>
  </si>
  <si>
    <t>gregoriusseptiano@students.undip.ac.id</t>
  </si>
  <si>
    <t>24060124140137</t>
  </si>
  <si>
    <t>FARHAN DWIYAN AKBAR</t>
  </si>
  <si>
    <t>Farhan Dwiyan Akbar</t>
  </si>
  <si>
    <t>95a0ff37-af2b-4a62-9843-26321cb1b716</t>
  </si>
  <si>
    <t>farhandwiyanakbar@students.undip.ac.id</t>
  </si>
  <si>
    <t>24060124140169</t>
  </si>
  <si>
    <t>FADHIL YAAFI WIDODO</t>
  </si>
  <si>
    <t>Fadhil Yaafi Widodo</t>
  </si>
  <si>
    <t>222c5aab-6c66-429c-a021-b15ed085bee1</t>
  </si>
  <si>
    <t>fadhilyaafiwidodo@students.undip.ac.id</t>
  </si>
  <si>
    <t>24060124120015</t>
  </si>
  <si>
    <t>WAHYU EKO SETYO PRIBOWO</t>
  </si>
  <si>
    <t>Wahyu Eko Setyo Pribowo</t>
  </si>
  <si>
    <t>33452c4c-def3-4b8d-9e50-c060e183afe9</t>
  </si>
  <si>
    <t>wahyuekosetyopribowo@students.undip.ac.id</t>
  </si>
  <si>
    <t>24060124120020</t>
  </si>
  <si>
    <t>RAFFI ARDITAMA</t>
  </si>
  <si>
    <t>Raffi Arditama</t>
  </si>
  <si>
    <t>5ed03eae-170a-41f9-960d-ce39b0e49942</t>
  </si>
  <si>
    <t>raffiarditama@students.undip.ac.id</t>
  </si>
  <si>
    <t>24060124130061</t>
  </si>
  <si>
    <t>RAHMAT ARGYANDHA AMINUDDIN</t>
  </si>
  <si>
    <t>Rahmat Argyandha Aminuddin</t>
  </si>
  <si>
    <t>1e467a5f-3f1a-418d-a578-3ab30dcc2d83</t>
  </si>
  <si>
    <t>rahmatargyandha@students.undip.ac.id</t>
  </si>
  <si>
    <t>24060124130115</t>
  </si>
  <si>
    <t>RAFIF SETYA IMADUDDIN</t>
  </si>
  <si>
    <t>Rafif Setya Imaduddin</t>
  </si>
  <si>
    <t>507fd025-3b49-4b2a-b540-59899b374175</t>
  </si>
  <si>
    <t>rafifsetyaimaduddin@students.undip.ac.id</t>
  </si>
  <si>
    <t>24060124140125</t>
  </si>
  <si>
    <t>VARISSA NABILA KIFLI</t>
  </si>
  <si>
    <t>Varissa Nabila Kifli</t>
  </si>
  <si>
    <t>343f315f-7288-41cf-8616-6cd54958cfbc</t>
  </si>
  <si>
    <t>varissanabilakifli@students.undip.ac.id</t>
  </si>
  <si>
    <t>24060124140134</t>
  </si>
  <si>
    <t>WAHYU AJI GUMELAR TRI NUGROHO</t>
  </si>
  <si>
    <t>Wahyu Aji Gumelar Tri Nugroho</t>
  </si>
  <si>
    <t>89735219-5dfe-46e7-a955-871b8638836d</t>
  </si>
  <si>
    <t>monsieurjangkarbumi@students.undip.ac.id</t>
  </si>
  <si>
    <t>24060124140177</t>
  </si>
  <si>
    <t>RAYHAN GERARD DARMAWAN (&lt; 75%)</t>
  </si>
  <si>
    <t>24060124130067</t>
  </si>
  <si>
    <t>LEVI RAMOT SIAHAAN</t>
  </si>
  <si>
    <t>Levi Ramot Siahaan</t>
  </si>
  <si>
    <t>2a3b0cad-78e0-40e1-9281-084430ee260b</t>
  </si>
  <si>
    <t>leviramot@students.undip.ac.id</t>
  </si>
  <si>
    <t>24060124140175</t>
  </si>
  <si>
    <t>MISCHA NATHANAEL LUMBAN TOBING</t>
  </si>
  <si>
    <t>Mischa Nathanael Lumban Tobing</t>
  </si>
  <si>
    <t>942ca978-2cca-41bb-ba9d-c5165b589c71</t>
  </si>
  <si>
    <t>mischatobing@students.undip.ac.id</t>
  </si>
  <si>
    <t>24060124120047</t>
  </si>
  <si>
    <t>HUSEIN AVICENNA</t>
  </si>
  <si>
    <t>Husein Avicenna</t>
  </si>
  <si>
    <t>ceec07bc-0152-4248-815e-a54b6e5952b3</t>
  </si>
  <si>
    <t>huseinavicenna5@students.undip.ac.id</t>
  </si>
  <si>
    <t>24060124130097</t>
  </si>
  <si>
    <t>HAIKAL IMAM RIDHA</t>
  </si>
  <si>
    <t>Haikal Imam Ridha</t>
  </si>
  <si>
    <t>401a5846-4c49-4dcb-8bb4-d3375cd21d41</t>
  </si>
  <si>
    <t>haikalimamridha@students.undip.ac.id</t>
  </si>
  <si>
    <t>24060124130113</t>
  </si>
  <si>
    <t>JOSHUA SATRIA KUSUMA</t>
  </si>
  <si>
    <t>Joshua Satria Kusuma</t>
  </si>
  <si>
    <t>a1a25d6e-b479-4de4-aab0-24bb77ad276e</t>
  </si>
  <si>
    <t>joshuakusuma@students.undip.ac.id</t>
  </si>
  <si>
    <t>24060124140131</t>
  </si>
  <si>
    <t>HARITS PERMANA</t>
  </si>
  <si>
    <t>Harits Permana</t>
  </si>
  <si>
    <t>1374dc06-f1e3-4c39-8de4-d95278a4305c</t>
  </si>
  <si>
    <t>haritsprmn@students.undip.ac.id</t>
  </si>
  <si>
    <t>24060124110142</t>
  </si>
  <si>
    <t>MUCHAMMAD YUDA TRI ANANDA</t>
  </si>
  <si>
    <t>Muchammad Yuda Tri Ananda</t>
  </si>
  <si>
    <t>8be5dc2a-8eeb-4453-850b-de57e9176d78</t>
  </si>
  <si>
    <t>myudak@students.undip.ac.id</t>
  </si>
  <si>
    <t>24060124120013</t>
  </si>
  <si>
    <t>MUHAMAD KEMAL FAZA</t>
  </si>
  <si>
    <t>Muhamad Kemal Faza</t>
  </si>
  <si>
    <t>39774c32-1d0b-43c1-9ef9-7a814f9ae28f</t>
  </si>
  <si>
    <t>kemalfaza26@students.undip.ac.id</t>
  </si>
  <si>
    <t>24060124120019</t>
  </si>
  <si>
    <t>NADIA AZURA NURHANIYA</t>
  </si>
  <si>
    <t>Nadia Azura Nurhaniya</t>
  </si>
  <si>
    <t>58575fed-c57a-4e14-87be-56a83e4c725a</t>
  </si>
  <si>
    <t>nadianurhaniya@students.undip.ac.id</t>
  </si>
  <si>
    <t>24060124140139</t>
  </si>
  <si>
    <t>MUHAMMAD FAUZAN AKBAR</t>
  </si>
  <si>
    <t>Muhammad Fauzan Akbar</t>
  </si>
  <si>
    <t>5f633d8d-2e79-40f5-835d-de64e9b44cb1</t>
  </si>
  <si>
    <t>muhammadfauzanakbar@students.undip.ac.id</t>
  </si>
  <si>
    <t>24060124140166</t>
  </si>
  <si>
    <t>MUHAMMAD FARHAN ABDUL AZIS</t>
  </si>
  <si>
    <t>Muhammad Farhan Abdul Azis</t>
  </si>
  <si>
    <t>0b94633b-90db-4d21-914b-6a22cfa50dc6</t>
  </si>
  <si>
    <t>farhannn@students.undip.ac.id</t>
  </si>
  <si>
    <t>24060124140200</t>
  </si>
  <si>
    <t>MUHAMMAD ZAIDAAN ARDIYANSYAH</t>
  </si>
  <si>
    <t>Muhammad Zaidaan Ardiyansyah</t>
  </si>
  <si>
    <t>d45dc214-9277-4c54-9992-bd6f84fac501</t>
  </si>
  <si>
    <t>zaidaanardiansyah@students.undip.ac.id</t>
  </si>
  <si>
    <t>24060124120006</t>
  </si>
  <si>
    <t>ADITYA SULTONUL ULYA</t>
  </si>
  <si>
    <t>Aditya Sultonul Ulya</t>
  </si>
  <si>
    <t>939ac8f4-34a8-4daa-9309-d880afad7a91</t>
  </si>
  <si>
    <t>adityaulyy@students.undip.ac.id</t>
  </si>
  <si>
    <t>24060124130053</t>
  </si>
  <si>
    <t>ANINTYA ABHI WIRYATEJA</t>
  </si>
  <si>
    <t>Anintya Abhi Wiryateja</t>
  </si>
  <si>
    <t>faa98b9b-b187-4922-9fde-b4bf081c6b75</t>
  </si>
  <si>
    <t>abhiwiryateja@students.undip.ac.id</t>
  </si>
  <si>
    <t>24060124130064</t>
  </si>
  <si>
    <t>ANGGITA KIRANA PUSPA</t>
  </si>
  <si>
    <t>Anggita Kirana Puspa</t>
  </si>
  <si>
    <t>6de22708-7dc9-4254-95c6-ad45cf92fa8b</t>
  </si>
  <si>
    <t>anggitakiranapuspa17@students.undip.ac.id</t>
  </si>
  <si>
    <t>24060124140151</t>
  </si>
  <si>
    <t>AKMAL DZAKI RAHMATULLAH (&lt; 75%)</t>
  </si>
  <si>
    <t>24060124140204</t>
  </si>
  <si>
    <t>ADELIA CLEARESTA</t>
  </si>
  <si>
    <t>Adelia Clearesta</t>
  </si>
  <si>
    <t>a7e55542-d222-48f1-93a7-5c933875d404</t>
  </si>
  <si>
    <t>adeliars@students.undip.ac.id</t>
  </si>
  <si>
    <t>24060124120016</t>
  </si>
  <si>
    <t>QUINTA AURABIANSYAH</t>
  </si>
  <si>
    <t>Quinta Aurabiansyah</t>
  </si>
  <si>
    <t>db217417-cfa8-4f6e-9734-ece5adfcf736</t>
  </si>
  <si>
    <t>quintabee@students.undip.ac.id</t>
  </si>
  <si>
    <t>24060124120010</t>
  </si>
  <si>
    <t>DHIMAS REZA NAFI WAHYUDI</t>
  </si>
  <si>
    <t>Dhimas Reza Nafi Wahyudi</t>
  </si>
  <si>
    <t>f0cbb293-cb25-40d3-974c-206185a9ac60</t>
  </si>
  <si>
    <t>dhimasrnw@students.undip.ac.id</t>
  </si>
  <si>
    <t>24060124130055</t>
  </si>
  <si>
    <t>DAFFA MAULANA ALFIANTO (&lt; 75%)</t>
  </si>
  <si>
    <t>24060124140163</t>
  </si>
  <si>
    <t>DJUAN SETYO JATI</t>
  </si>
  <si>
    <t>Djuan Setyo Jati</t>
  </si>
  <si>
    <t>bb982f39-071b-479e-9c51-ead61cc51e38</t>
  </si>
  <si>
    <t>djuansetyojati@students.undip.ac.id</t>
  </si>
  <si>
    <t>24060124140188</t>
  </si>
  <si>
    <t>CLAUDIA MEITANIA PUTRI</t>
  </si>
  <si>
    <t>Claudia Meitania Putri</t>
  </si>
  <si>
    <t>560d84b5-52ac-44e8-bfbd-50e102786e00</t>
  </si>
  <si>
    <t>claudiameitaniaputri@students.undip.ac.id</t>
  </si>
  <si>
    <t>Tiara Putri Wibowo</t>
  </si>
  <si>
    <t>7b97f1f5-b6f6-472f-acab-7f4999f6919a</t>
  </si>
  <si>
    <t>tiaraputriwibowo@students.undip.ac.id</t>
  </si>
  <si>
    <t>Khairindra Eka Putra</t>
  </si>
  <si>
    <t>89da1c0a-f051-4526-840b-ae059ec32c76</t>
  </si>
  <si>
    <t>khairindraa@students.undip.ac.id</t>
  </si>
  <si>
    <t>Sophie Venecia May Manalu</t>
  </si>
  <si>
    <t>ed5c8d29-7e59-4105-bff6-2963170e7272</t>
  </si>
  <si>
    <t>sophiemanalu@students.undip.ac.id</t>
  </si>
  <si>
    <t>Novanza Edgar Wibowo</t>
  </si>
  <si>
    <t>5e45b76a-a31e-4363-a1dd-771320990063</t>
  </si>
  <si>
    <t>novanza24@students.undip.ac.id</t>
  </si>
  <si>
    <t>Abyasa Saifaji</t>
  </si>
  <si>
    <t>9bf0e023-79f7-4368-9e31-08136c04ac11</t>
  </si>
  <si>
    <t>asaifaji@students.undip.ac.id</t>
  </si>
  <si>
    <t>Bagas Nur Ardianto</t>
  </si>
  <si>
    <t>dea4c0bb-f211-4b39-b990-b6a0c3f7d3b8</t>
  </si>
  <si>
    <t>bagasardianto@students.undip.ac.id</t>
  </si>
  <si>
    <t>Zaky Musyaffa</t>
  </si>
  <si>
    <t>7a5e5815-020d-4cea-947d-03fb5ac96bae</t>
  </si>
  <si>
    <t>zakymusyaffa@students.undip.ac.id</t>
  </si>
  <si>
    <t>Alfonso Michael Normando Hutahaean</t>
  </si>
  <si>
    <t>740d8420-7150-4cf4-8e44-cf822f97c185</t>
  </si>
  <si>
    <t>alfonsohutahaean@students.undip.ac.id</t>
  </si>
  <si>
    <t>Tegar Caesara Yanuansa</t>
  </si>
  <si>
    <t>5743c352-761d-4477-93bd-e7ae44fd3560</t>
  </si>
  <si>
    <t>tegarcaesarayanuansa@students.undip.ac.id</t>
  </si>
  <si>
    <t>Muhammad Iqbal Haqiqi</t>
  </si>
  <si>
    <t>1fe1ad15-f073-4539-8c00-46b5cb8968b3</t>
  </si>
  <si>
    <t>muhammadiqbalhaqiqi@students.undip.ac.id</t>
  </si>
  <si>
    <t>Daffa Maulana Alfianto</t>
  </si>
  <si>
    <t>144dd338-da4c-453a-bc80-ae03163022d9</t>
  </si>
  <si>
    <t>daffamaulanaalfianto@students.undip.ac.id</t>
  </si>
  <si>
    <t>Akmal Dzaki Rahmatullah</t>
  </si>
  <si>
    <t>2051e29a-f131-4367-a62c-c94eb65fe1e9</t>
  </si>
  <si>
    <t>akmaldzr@students.undip.ac.id</t>
  </si>
  <si>
    <t>Rayhan Gerard Darmawan</t>
  </si>
  <si>
    <t>99bf3490-f82e-494b-8f48-6a6ef626e9db</t>
  </si>
  <si>
    <t>rayhangerard@students.undip.ac.id</t>
  </si>
  <si>
    <t>Metric</t>
  </si>
  <si>
    <t>Value</t>
  </si>
  <si>
    <t>Template</t>
  </si>
  <si>
    <t>Berhasil cocok</t>
  </si>
  <si>
    <t>Tidak cocok</t>
  </si>
  <si>
    <t>Data awal tidak ada di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</si>
</sst>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2"/>
  <sheetViews>
    <sheetView tabSelected="1" topLeftCell="H1" workbookViewId="0">
      <selection activeCell="G8" sqref="G8:G42"/>
    </sheetView>
  </sheetViews>
  <sheetFormatPr defaultRowHeight="15" x14ac:dyDescent="0.25"/>
  <cols>
    <col min="1" max="1" width="17.5703125" bestFit="1" customWidth="1"/>
    <col min="2" max="2" width="55.28515625" bestFit="1" customWidth="1"/>
    <col min="3" max="3" width="10.5703125" bestFit="1" customWidth="1"/>
    <col min="4" max="4" width="8.140625" bestFit="1" customWidth="1"/>
    <col min="5" max="5" width="57.7109375" bestFit="1" customWidth="1"/>
    <col min="6" max="6" width="45.85546875" bestFit="1" customWidth="1"/>
    <col min="7" max="7" width="36.42578125" bestFit="1" customWidth="1"/>
    <col min="8" max="9" width="35.28515625" bestFit="1" customWidth="1"/>
    <col min="10" max="10" width="31.7109375" bestFit="1" customWidth="1"/>
    <col min="11" max="11" width="37.7109375" bestFit="1" customWidth="1"/>
    <col min="12" max="12" width="35.28515625" bestFit="1" customWidth="1"/>
    <col min="13" max="13" width="21.140625" bestFit="1" customWidth="1"/>
  </cols>
  <sheetData>
    <row r="1" spans="1:28" x14ac:dyDescent="0.25">
      <c r="A1" t="s">
        <v>0</v>
      </c>
      <c r="B1" t="s">
        <v>1</v>
      </c>
    </row>
    <row r="2" spans="1:28" x14ac:dyDescent="0.25">
      <c r="A2" t="s">
        <v>2</v>
      </c>
      <c r="B2" t="s">
        <v>3</v>
      </c>
      <c r="I2" s="1" t="s">
        <v>4</v>
      </c>
    </row>
    <row r="3" spans="1:28" x14ac:dyDescent="0.25">
      <c r="A3" t="s">
        <v>5</v>
      </c>
      <c r="B3" t="s">
        <v>6</v>
      </c>
    </row>
    <row r="4" spans="1:28" x14ac:dyDescent="0.25">
      <c r="A4" t="s">
        <v>7</v>
      </c>
      <c r="B4" t="s">
        <v>8</v>
      </c>
    </row>
    <row r="5" spans="1:28" x14ac:dyDescent="0.25">
      <c r="A5" t="s">
        <v>9</v>
      </c>
      <c r="B5" t="s">
        <v>10</v>
      </c>
    </row>
    <row r="7" spans="1:28" x14ac:dyDescent="0.25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24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U7" t="s">
        <v>30</v>
      </c>
      <c r="V7" t="s">
        <v>31</v>
      </c>
      <c r="W7" t="s">
        <v>32</v>
      </c>
      <c r="X7" t="s">
        <v>33</v>
      </c>
      <c r="Y7" t="s">
        <v>34</v>
      </c>
      <c r="Z7" t="s">
        <v>35</v>
      </c>
      <c r="AA7" t="s">
        <v>36</v>
      </c>
      <c r="AB7" t="s">
        <v>37</v>
      </c>
    </row>
    <row r="8" spans="1:28" x14ac:dyDescent="0.25">
      <c r="A8" t="s">
        <v>38</v>
      </c>
      <c r="B8" t="s">
        <v>39</v>
      </c>
      <c r="C8">
        <v>4</v>
      </c>
      <c r="D8" t="s">
        <v>40</v>
      </c>
      <c r="E8" s="3">
        <v>87</v>
      </c>
      <c r="F8" s="3"/>
      <c r="G8" s="3">
        <f>(E8*0.8)+(H8*0.2)</f>
        <v>84.884800000000013</v>
      </c>
      <c r="H8" s="3">
        <v>76.424000000000007</v>
      </c>
      <c r="I8" s="3"/>
      <c r="J8" s="3"/>
      <c r="K8" s="2">
        <f t="shared" ref="K8:K42" si="0">ROUND( ((E8*10+F8*40+G8*5+H8*5+I8*20+J8*20) / 100), 2)</f>
        <v>16.77</v>
      </c>
      <c r="L8" s="2" t="str">
        <f t="shared" ref="L8:L42" si="1"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>E</v>
      </c>
      <c r="M8" t="str">
        <f t="shared" ref="M8:M42" si="2"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>0</v>
      </c>
      <c r="N8" t="s">
        <v>41</v>
      </c>
      <c r="O8">
        <v>24060124130086</v>
      </c>
      <c r="P8" t="s">
        <v>42</v>
      </c>
      <c r="S8" t="s">
        <v>43</v>
      </c>
      <c r="T8">
        <v>58.33</v>
      </c>
      <c r="U8">
        <v>84.62</v>
      </c>
      <c r="V8">
        <v>87.5</v>
      </c>
      <c r="W8">
        <v>76.67</v>
      </c>
      <c r="X8" t="s">
        <v>44</v>
      </c>
      <c r="Y8">
        <v>75</v>
      </c>
      <c r="Z8">
        <v>8.0399999999999991</v>
      </c>
      <c r="AA8">
        <v>87</v>
      </c>
      <c r="AB8">
        <v>1782748444</v>
      </c>
    </row>
    <row r="9" spans="1:28" x14ac:dyDescent="0.25">
      <c r="A9" t="s">
        <v>45</v>
      </c>
      <c r="B9" t="s">
        <v>46</v>
      </c>
      <c r="C9">
        <v>4</v>
      </c>
      <c r="D9" t="s">
        <v>40</v>
      </c>
      <c r="E9" s="3">
        <v>93</v>
      </c>
      <c r="F9" s="3"/>
      <c r="G9" s="3">
        <f t="shared" ref="G9:G42" si="3">(E9*0.8)+(H9*0.2)</f>
        <v>87.945999999999998</v>
      </c>
      <c r="H9" s="3">
        <v>67.72999999999999</v>
      </c>
      <c r="I9" s="3"/>
      <c r="J9" s="3"/>
      <c r="K9" s="2">
        <f t="shared" si="0"/>
        <v>17.079999999999998</v>
      </c>
      <c r="L9" s="2" t="str">
        <f t="shared" si="1"/>
        <v>E</v>
      </c>
      <c r="M9" t="str">
        <f t="shared" si="2"/>
        <v>0</v>
      </c>
      <c r="N9" t="s">
        <v>47</v>
      </c>
      <c r="O9">
        <v>24060124140124</v>
      </c>
      <c r="P9" t="s">
        <v>48</v>
      </c>
      <c r="S9" t="s">
        <v>49</v>
      </c>
      <c r="T9">
        <v>75</v>
      </c>
      <c r="U9">
        <v>62.82</v>
      </c>
      <c r="V9">
        <v>62.5</v>
      </c>
      <c r="W9">
        <v>53.33</v>
      </c>
      <c r="X9" t="s">
        <v>44</v>
      </c>
      <c r="Y9">
        <v>85</v>
      </c>
      <c r="Z9">
        <v>9.69</v>
      </c>
      <c r="AA9">
        <v>93</v>
      </c>
      <c r="AB9">
        <v>1782748444</v>
      </c>
    </row>
    <row r="10" spans="1:28" x14ac:dyDescent="0.25">
      <c r="A10" t="s">
        <v>50</v>
      </c>
      <c r="B10" t="s">
        <v>51</v>
      </c>
      <c r="C10">
        <v>4</v>
      </c>
      <c r="D10" t="s">
        <v>40</v>
      </c>
      <c r="E10" s="3">
        <v>94</v>
      </c>
      <c r="F10" s="3"/>
      <c r="G10" s="3">
        <f t="shared" si="3"/>
        <v>91.3232</v>
      </c>
      <c r="H10" s="3">
        <v>80.616</v>
      </c>
      <c r="I10" s="3"/>
      <c r="J10" s="3"/>
      <c r="K10" s="2">
        <f t="shared" si="0"/>
        <v>18</v>
      </c>
      <c r="L10" s="2" t="str">
        <f t="shared" si="1"/>
        <v>E</v>
      </c>
      <c r="M10" t="str">
        <f t="shared" si="2"/>
        <v>0</v>
      </c>
      <c r="N10" t="s">
        <v>52</v>
      </c>
      <c r="O10">
        <v>24060124120012</v>
      </c>
      <c r="P10" t="s">
        <v>53</v>
      </c>
      <c r="S10" t="s">
        <v>54</v>
      </c>
      <c r="T10">
        <v>75</v>
      </c>
      <c r="U10">
        <v>73.08</v>
      </c>
      <c r="V10">
        <v>100</v>
      </c>
      <c r="W10">
        <v>60</v>
      </c>
      <c r="X10" t="s">
        <v>44</v>
      </c>
      <c r="Y10">
        <v>95</v>
      </c>
      <c r="Z10">
        <v>9.41</v>
      </c>
      <c r="AA10">
        <v>94</v>
      </c>
      <c r="AB10">
        <v>1782748444</v>
      </c>
    </row>
    <row r="11" spans="1:28" x14ac:dyDescent="0.25">
      <c r="A11" t="s">
        <v>55</v>
      </c>
      <c r="B11" t="s">
        <v>56</v>
      </c>
      <c r="C11">
        <v>4</v>
      </c>
      <c r="D11" t="s">
        <v>40</v>
      </c>
      <c r="E11" s="3">
        <v>100</v>
      </c>
      <c r="F11" s="3"/>
      <c r="G11" s="3">
        <f t="shared" si="3"/>
        <v>97.835599999999999</v>
      </c>
      <c r="H11" s="3">
        <v>89.177999999999997</v>
      </c>
      <c r="I11" s="3"/>
      <c r="J11" s="3"/>
      <c r="K11" s="2">
        <f t="shared" si="0"/>
        <v>19.350000000000001</v>
      </c>
      <c r="L11" s="2" t="str">
        <f t="shared" si="1"/>
        <v>E</v>
      </c>
      <c r="M11" t="str">
        <f t="shared" si="2"/>
        <v>0</v>
      </c>
      <c r="N11" t="s">
        <v>57</v>
      </c>
      <c r="O11">
        <v>24060124120026</v>
      </c>
      <c r="P11" t="s">
        <v>58</v>
      </c>
      <c r="S11" t="s">
        <v>59</v>
      </c>
      <c r="T11">
        <v>83.33</v>
      </c>
      <c r="U11">
        <v>81.73</v>
      </c>
      <c r="V11">
        <v>87.5</v>
      </c>
      <c r="W11">
        <v>93.33</v>
      </c>
      <c r="X11" t="s">
        <v>44</v>
      </c>
      <c r="Y11">
        <v>100</v>
      </c>
      <c r="Z11">
        <v>9.69</v>
      </c>
      <c r="AA11">
        <v>100</v>
      </c>
      <c r="AB11">
        <v>1782748444</v>
      </c>
    </row>
    <row r="12" spans="1:28" x14ac:dyDescent="0.25">
      <c r="A12" t="s">
        <v>60</v>
      </c>
      <c r="B12" t="s">
        <v>61</v>
      </c>
      <c r="C12">
        <v>4</v>
      </c>
      <c r="D12" t="s">
        <v>40</v>
      </c>
      <c r="E12" s="3">
        <v>86</v>
      </c>
      <c r="F12" s="3"/>
      <c r="G12" s="3">
        <f t="shared" si="3"/>
        <v>86.015199999999993</v>
      </c>
      <c r="H12" s="3">
        <v>86.075999999999993</v>
      </c>
      <c r="I12" s="3"/>
      <c r="J12" s="3"/>
      <c r="K12" s="2">
        <f t="shared" si="0"/>
        <v>17.2</v>
      </c>
      <c r="L12" s="2" t="str">
        <f t="shared" si="1"/>
        <v>E</v>
      </c>
      <c r="M12" t="str">
        <f t="shared" si="2"/>
        <v>0</v>
      </c>
      <c r="N12" t="s">
        <v>62</v>
      </c>
      <c r="O12">
        <v>24060124140137</v>
      </c>
      <c r="P12" t="s">
        <v>63</v>
      </c>
      <c r="S12" t="s">
        <v>64</v>
      </c>
      <c r="T12">
        <v>83.33</v>
      </c>
      <c r="U12">
        <v>82.05</v>
      </c>
      <c r="V12">
        <v>100</v>
      </c>
      <c r="W12">
        <v>80</v>
      </c>
      <c r="X12" t="s">
        <v>44</v>
      </c>
      <c r="Y12">
        <v>85</v>
      </c>
      <c r="Z12">
        <v>8.69</v>
      </c>
      <c r="AA12">
        <v>86</v>
      </c>
      <c r="AB12">
        <v>1782748444</v>
      </c>
    </row>
    <row r="13" spans="1:28" x14ac:dyDescent="0.25">
      <c r="A13" t="s">
        <v>65</v>
      </c>
      <c r="B13" t="s">
        <v>66</v>
      </c>
      <c r="C13">
        <v>4</v>
      </c>
      <c r="D13" t="s">
        <v>40</v>
      </c>
      <c r="E13" s="3">
        <v>88.33</v>
      </c>
      <c r="F13" s="3"/>
      <c r="G13" s="3">
        <f t="shared" si="3"/>
        <v>86.543199999999999</v>
      </c>
      <c r="H13" s="3">
        <v>79.396000000000001</v>
      </c>
      <c r="I13" s="3"/>
      <c r="J13" s="3"/>
      <c r="K13" s="2">
        <f t="shared" si="0"/>
        <v>17.13</v>
      </c>
      <c r="L13" s="2" t="str">
        <f t="shared" si="1"/>
        <v>E</v>
      </c>
      <c r="M13" t="str">
        <f t="shared" si="2"/>
        <v>0</v>
      </c>
      <c r="N13" t="s">
        <v>67</v>
      </c>
      <c r="O13">
        <v>24060124140169</v>
      </c>
      <c r="P13" t="s">
        <v>68</v>
      </c>
      <c r="S13" t="s">
        <v>69</v>
      </c>
      <c r="T13">
        <v>83.33</v>
      </c>
      <c r="U13">
        <v>71.150000000000006</v>
      </c>
      <c r="V13">
        <v>87.5</v>
      </c>
      <c r="W13">
        <v>70</v>
      </c>
      <c r="X13" t="s">
        <v>44</v>
      </c>
      <c r="Y13">
        <v>85</v>
      </c>
      <c r="Z13">
        <v>6.48</v>
      </c>
      <c r="AA13">
        <v>88.33</v>
      </c>
      <c r="AB13">
        <v>1782748444</v>
      </c>
    </row>
    <row r="14" spans="1:28" x14ac:dyDescent="0.25">
      <c r="A14" t="s">
        <v>70</v>
      </c>
      <c r="B14" t="s">
        <v>71</v>
      </c>
      <c r="C14">
        <v>4</v>
      </c>
      <c r="D14" t="s">
        <v>40</v>
      </c>
      <c r="E14" s="3">
        <v>83</v>
      </c>
      <c r="F14" s="3"/>
      <c r="G14" s="3">
        <f t="shared" si="3"/>
        <v>77.522800000000004</v>
      </c>
      <c r="H14" s="3">
        <v>55.613999999999997</v>
      </c>
      <c r="I14" s="3"/>
      <c r="J14" s="3"/>
      <c r="K14" s="2">
        <f t="shared" si="0"/>
        <v>14.96</v>
      </c>
      <c r="L14" s="2" t="str">
        <f t="shared" si="1"/>
        <v>E</v>
      </c>
      <c r="M14" t="str">
        <f t="shared" si="2"/>
        <v>0</v>
      </c>
      <c r="N14" t="s">
        <v>72</v>
      </c>
      <c r="O14">
        <v>24060124120015</v>
      </c>
      <c r="P14" t="s">
        <v>73</v>
      </c>
      <c r="S14" t="s">
        <v>74</v>
      </c>
      <c r="T14">
        <v>58.33</v>
      </c>
      <c r="U14">
        <v>52.24</v>
      </c>
      <c r="V14">
        <v>37.5</v>
      </c>
      <c r="W14">
        <v>40</v>
      </c>
      <c r="X14" t="s">
        <v>44</v>
      </c>
      <c r="Y14">
        <v>90</v>
      </c>
      <c r="Z14" t="s">
        <v>44</v>
      </c>
      <c r="AA14">
        <v>83</v>
      </c>
      <c r="AB14">
        <v>1782748444</v>
      </c>
    </row>
    <row r="15" spans="1:28" x14ac:dyDescent="0.25">
      <c r="A15" t="s">
        <v>75</v>
      </c>
      <c r="B15" t="s">
        <v>76</v>
      </c>
      <c r="C15">
        <v>4</v>
      </c>
      <c r="D15" t="s">
        <v>40</v>
      </c>
      <c r="E15" s="3">
        <v>95</v>
      </c>
      <c r="F15" s="3"/>
      <c r="G15" s="3">
        <f t="shared" si="3"/>
        <v>90.3232</v>
      </c>
      <c r="H15" s="3">
        <v>71.616</v>
      </c>
      <c r="I15" s="3"/>
      <c r="J15" s="3"/>
      <c r="K15" s="2">
        <f t="shared" si="0"/>
        <v>17.600000000000001</v>
      </c>
      <c r="L15" s="2" t="str">
        <f t="shared" si="1"/>
        <v>E</v>
      </c>
      <c r="M15" t="str">
        <f t="shared" si="2"/>
        <v>0</v>
      </c>
      <c r="N15" t="s">
        <v>77</v>
      </c>
      <c r="O15">
        <v>24060124120020</v>
      </c>
      <c r="P15" t="s">
        <v>78</v>
      </c>
      <c r="S15" t="s">
        <v>79</v>
      </c>
      <c r="T15">
        <v>66.67</v>
      </c>
      <c r="U15">
        <v>73.08</v>
      </c>
      <c r="V15">
        <v>75</v>
      </c>
      <c r="W15">
        <v>63.33</v>
      </c>
      <c r="X15" t="s">
        <v>44</v>
      </c>
      <c r="Y15">
        <v>80</v>
      </c>
      <c r="Z15" t="s">
        <v>44</v>
      </c>
      <c r="AA15">
        <v>95</v>
      </c>
      <c r="AB15">
        <v>1782748444</v>
      </c>
    </row>
    <row r="16" spans="1:28" x14ac:dyDescent="0.25">
      <c r="A16" t="s">
        <v>80</v>
      </c>
      <c r="B16" t="s">
        <v>81</v>
      </c>
      <c r="C16">
        <v>4</v>
      </c>
      <c r="D16" t="s">
        <v>40</v>
      </c>
      <c r="E16" s="3">
        <v>85</v>
      </c>
      <c r="F16" s="3"/>
      <c r="G16" s="3">
        <f t="shared" si="3"/>
        <v>80.312799999999996</v>
      </c>
      <c r="H16" s="3">
        <v>61.564</v>
      </c>
      <c r="I16" s="3"/>
      <c r="J16" s="3"/>
      <c r="K16" s="2">
        <f t="shared" si="0"/>
        <v>15.59</v>
      </c>
      <c r="L16" s="2" t="str">
        <f t="shared" si="1"/>
        <v>E</v>
      </c>
      <c r="M16" t="str">
        <f t="shared" si="2"/>
        <v>0</v>
      </c>
      <c r="N16" t="s">
        <v>82</v>
      </c>
      <c r="O16">
        <v>24060124130061</v>
      </c>
      <c r="P16" t="s">
        <v>83</v>
      </c>
      <c r="S16" t="s">
        <v>84</v>
      </c>
      <c r="T16">
        <v>41.67</v>
      </c>
      <c r="U16">
        <v>71.150000000000006</v>
      </c>
      <c r="V16">
        <v>50</v>
      </c>
      <c r="W16">
        <v>60</v>
      </c>
      <c r="X16" t="s">
        <v>44</v>
      </c>
      <c r="Y16">
        <v>85</v>
      </c>
      <c r="Z16">
        <v>7.87</v>
      </c>
      <c r="AA16">
        <v>85</v>
      </c>
      <c r="AB16">
        <v>1782748444</v>
      </c>
    </row>
    <row r="17" spans="1:28" x14ac:dyDescent="0.25">
      <c r="A17" t="s">
        <v>85</v>
      </c>
      <c r="B17" t="s">
        <v>86</v>
      </c>
      <c r="C17">
        <v>4</v>
      </c>
      <c r="D17" t="s">
        <v>40</v>
      </c>
      <c r="E17" s="3">
        <v>78</v>
      </c>
      <c r="F17" s="3"/>
      <c r="G17" s="3">
        <f t="shared" si="3"/>
        <v>78.189600000000013</v>
      </c>
      <c r="H17" s="3">
        <v>78.948000000000008</v>
      </c>
      <c r="I17" s="3"/>
      <c r="J17" s="3"/>
      <c r="K17" s="2">
        <f t="shared" si="0"/>
        <v>15.66</v>
      </c>
      <c r="L17" s="2" t="str">
        <f t="shared" si="1"/>
        <v>E</v>
      </c>
      <c r="M17" t="str">
        <f t="shared" si="2"/>
        <v>0</v>
      </c>
      <c r="N17" t="s">
        <v>87</v>
      </c>
      <c r="O17">
        <v>24060124130115</v>
      </c>
      <c r="P17" t="s">
        <v>88</v>
      </c>
      <c r="S17" t="s">
        <v>89</v>
      </c>
      <c r="T17">
        <v>58.33</v>
      </c>
      <c r="U17">
        <v>68.91</v>
      </c>
      <c r="V17">
        <v>87.5</v>
      </c>
      <c r="W17">
        <v>80</v>
      </c>
      <c r="X17" t="s">
        <v>44</v>
      </c>
      <c r="Y17">
        <v>100</v>
      </c>
      <c r="Z17">
        <v>8.59</v>
      </c>
      <c r="AA17">
        <v>78</v>
      </c>
      <c r="AB17">
        <v>1782748444</v>
      </c>
    </row>
    <row r="18" spans="1:28" x14ac:dyDescent="0.25">
      <c r="A18" t="s">
        <v>90</v>
      </c>
      <c r="B18" t="s">
        <v>91</v>
      </c>
      <c r="C18">
        <v>4</v>
      </c>
      <c r="D18" t="s">
        <v>40</v>
      </c>
      <c r="E18" s="3">
        <v>95</v>
      </c>
      <c r="F18" s="3"/>
      <c r="G18" s="3">
        <f t="shared" si="3"/>
        <v>92.892400000000009</v>
      </c>
      <c r="H18" s="3">
        <v>84.462000000000003</v>
      </c>
      <c r="I18" s="3"/>
      <c r="J18" s="3"/>
      <c r="K18" s="2">
        <f t="shared" si="0"/>
        <v>18.37</v>
      </c>
      <c r="L18" s="2" t="str">
        <f t="shared" si="1"/>
        <v>E</v>
      </c>
      <c r="M18" t="str">
        <f t="shared" si="2"/>
        <v>0</v>
      </c>
      <c r="N18" t="s">
        <v>92</v>
      </c>
      <c r="O18">
        <v>24060124140125</v>
      </c>
      <c r="P18" t="s">
        <v>93</v>
      </c>
      <c r="S18" t="s">
        <v>94</v>
      </c>
      <c r="T18">
        <v>58.33</v>
      </c>
      <c r="U18">
        <v>92.31</v>
      </c>
      <c r="V18">
        <v>100</v>
      </c>
      <c r="W18">
        <v>76.67</v>
      </c>
      <c r="X18" t="s">
        <v>44</v>
      </c>
      <c r="Y18">
        <v>95</v>
      </c>
      <c r="Z18">
        <v>9.3800000000000008</v>
      </c>
      <c r="AA18">
        <v>95</v>
      </c>
      <c r="AB18">
        <v>1782748444</v>
      </c>
    </row>
    <row r="19" spans="1:28" x14ac:dyDescent="0.25">
      <c r="A19" t="s">
        <v>95</v>
      </c>
      <c r="B19" t="s">
        <v>96</v>
      </c>
      <c r="C19">
        <v>4</v>
      </c>
      <c r="D19" t="s">
        <v>40</v>
      </c>
      <c r="E19" s="3">
        <v>95</v>
      </c>
      <c r="F19" s="3"/>
      <c r="G19" s="3">
        <f t="shared" si="3"/>
        <v>90.561999999999998</v>
      </c>
      <c r="H19" s="3">
        <v>72.81</v>
      </c>
      <c r="I19" s="3"/>
      <c r="J19" s="3"/>
      <c r="K19" s="2">
        <f t="shared" si="0"/>
        <v>17.670000000000002</v>
      </c>
      <c r="L19" s="2" t="str">
        <f t="shared" si="1"/>
        <v>E</v>
      </c>
      <c r="M19" t="str">
        <f t="shared" si="2"/>
        <v>0</v>
      </c>
      <c r="N19" t="s">
        <v>97</v>
      </c>
      <c r="O19">
        <v>24060124140134</v>
      </c>
      <c r="P19" t="s">
        <v>98</v>
      </c>
      <c r="S19" t="s">
        <v>99</v>
      </c>
      <c r="T19">
        <v>41.67</v>
      </c>
      <c r="U19">
        <v>78.209999999999994</v>
      </c>
      <c r="V19">
        <v>87.5</v>
      </c>
      <c r="W19">
        <v>66.67</v>
      </c>
      <c r="X19" t="s">
        <v>44</v>
      </c>
      <c r="Y19">
        <v>90</v>
      </c>
      <c r="Z19">
        <v>7.73</v>
      </c>
      <c r="AA19">
        <v>95</v>
      </c>
      <c r="AB19">
        <v>1782748444</v>
      </c>
    </row>
    <row r="20" spans="1:28" x14ac:dyDescent="0.25">
      <c r="A20" t="s">
        <v>100</v>
      </c>
      <c r="B20" t="s">
        <v>101</v>
      </c>
      <c r="C20">
        <v>4</v>
      </c>
      <c r="D20" t="s">
        <v>40</v>
      </c>
      <c r="E20" s="3"/>
      <c r="F20" s="3"/>
      <c r="G20" s="3">
        <f t="shared" si="3"/>
        <v>0</v>
      </c>
      <c r="H20" s="3">
        <v>0</v>
      </c>
      <c r="I20" s="3"/>
      <c r="J20" s="2"/>
      <c r="K20" s="2">
        <f t="shared" si="0"/>
        <v>0</v>
      </c>
      <c r="L20" s="2" t="str">
        <f t="shared" si="1"/>
        <v>E</v>
      </c>
      <c r="M20" t="str">
        <f t="shared" si="2"/>
        <v>0</v>
      </c>
    </row>
    <row r="21" spans="1:28" x14ac:dyDescent="0.25">
      <c r="A21" t="s">
        <v>102</v>
      </c>
      <c r="B21" t="s">
        <v>103</v>
      </c>
      <c r="C21">
        <v>4</v>
      </c>
      <c r="D21" t="s">
        <v>40</v>
      </c>
      <c r="E21" s="3">
        <v>94</v>
      </c>
      <c r="F21" s="3"/>
      <c r="G21" s="3">
        <f t="shared" si="3"/>
        <v>89.776800000000009</v>
      </c>
      <c r="H21" s="3">
        <v>72.884</v>
      </c>
      <c r="I21" s="3"/>
      <c r="J21" s="3"/>
      <c r="K21" s="2">
        <f t="shared" si="0"/>
        <v>17.53</v>
      </c>
      <c r="L21" s="2" t="str">
        <f t="shared" si="1"/>
        <v>E</v>
      </c>
      <c r="M21" t="str">
        <f t="shared" si="2"/>
        <v>0</v>
      </c>
      <c r="N21" t="s">
        <v>104</v>
      </c>
      <c r="O21">
        <v>24060124130067</v>
      </c>
      <c r="P21" t="s">
        <v>105</v>
      </c>
      <c r="S21" t="s">
        <v>106</v>
      </c>
      <c r="T21">
        <v>83.33</v>
      </c>
      <c r="U21">
        <v>26.92</v>
      </c>
      <c r="V21">
        <v>87.5</v>
      </c>
      <c r="W21">
        <v>86.67</v>
      </c>
      <c r="X21" t="s">
        <v>44</v>
      </c>
      <c r="Y21">
        <v>80</v>
      </c>
      <c r="Z21" t="s">
        <v>44</v>
      </c>
      <c r="AA21">
        <v>94</v>
      </c>
      <c r="AB21">
        <v>1782748444</v>
      </c>
    </row>
    <row r="22" spans="1:28" x14ac:dyDescent="0.25">
      <c r="A22" t="s">
        <v>107</v>
      </c>
      <c r="B22" t="s">
        <v>108</v>
      </c>
      <c r="C22">
        <v>4</v>
      </c>
      <c r="D22" t="s">
        <v>40</v>
      </c>
      <c r="E22" s="3">
        <v>86</v>
      </c>
      <c r="F22" s="3"/>
      <c r="G22" s="3">
        <f t="shared" si="3"/>
        <v>80.076799999999992</v>
      </c>
      <c r="H22" s="3">
        <v>56.384</v>
      </c>
      <c r="I22" s="3"/>
      <c r="J22" s="3"/>
      <c r="K22" s="2">
        <f t="shared" si="0"/>
        <v>15.42</v>
      </c>
      <c r="L22" s="2" t="str">
        <f t="shared" si="1"/>
        <v>E</v>
      </c>
      <c r="M22" t="str">
        <f t="shared" si="2"/>
        <v>0</v>
      </c>
      <c r="N22" t="s">
        <v>109</v>
      </c>
      <c r="O22">
        <v>24060124140175</v>
      </c>
      <c r="P22" t="s">
        <v>110</v>
      </c>
      <c r="S22" t="s">
        <v>111</v>
      </c>
      <c r="T22">
        <v>50</v>
      </c>
      <c r="U22">
        <v>93.59</v>
      </c>
      <c r="V22">
        <v>75</v>
      </c>
      <c r="W22">
        <v>63.33</v>
      </c>
      <c r="X22" t="s">
        <v>44</v>
      </c>
      <c r="Y22" t="s">
        <v>44</v>
      </c>
      <c r="Z22" t="s">
        <v>44</v>
      </c>
      <c r="AA22">
        <v>86</v>
      </c>
      <c r="AB22">
        <v>1782748444</v>
      </c>
    </row>
    <row r="23" spans="1:28" x14ac:dyDescent="0.25">
      <c r="A23" t="s">
        <v>112</v>
      </c>
      <c r="B23" t="s">
        <v>113</v>
      </c>
      <c r="C23">
        <v>4</v>
      </c>
      <c r="D23" t="s">
        <v>40</v>
      </c>
      <c r="E23" s="3">
        <v>94</v>
      </c>
      <c r="F23" s="3"/>
      <c r="G23" s="3">
        <f t="shared" si="3"/>
        <v>90.879600000000011</v>
      </c>
      <c r="H23" s="3">
        <v>78.397999999999996</v>
      </c>
      <c r="I23" s="3"/>
      <c r="J23" s="3"/>
      <c r="K23" s="2">
        <f t="shared" si="0"/>
        <v>17.86</v>
      </c>
      <c r="L23" s="2" t="str">
        <f t="shared" si="1"/>
        <v>E</v>
      </c>
      <c r="M23" t="str">
        <f t="shared" si="2"/>
        <v>0</v>
      </c>
      <c r="N23" t="s">
        <v>114</v>
      </c>
      <c r="O23">
        <v>24060124120047</v>
      </c>
      <c r="P23" t="s">
        <v>115</v>
      </c>
      <c r="S23" t="s">
        <v>116</v>
      </c>
      <c r="T23">
        <v>58.33</v>
      </c>
      <c r="U23">
        <v>79.489999999999995</v>
      </c>
      <c r="V23">
        <v>87.5</v>
      </c>
      <c r="W23">
        <v>86.67</v>
      </c>
      <c r="X23" t="s">
        <v>44</v>
      </c>
      <c r="Y23">
        <v>80</v>
      </c>
      <c r="Z23">
        <v>9.59</v>
      </c>
      <c r="AA23">
        <v>94</v>
      </c>
      <c r="AB23">
        <v>1782748444</v>
      </c>
    </row>
    <row r="24" spans="1:28" x14ac:dyDescent="0.25">
      <c r="A24" t="s">
        <v>117</v>
      </c>
      <c r="B24" t="s">
        <v>118</v>
      </c>
      <c r="C24">
        <v>4</v>
      </c>
      <c r="D24" t="s">
        <v>40</v>
      </c>
      <c r="E24" s="3">
        <v>87</v>
      </c>
      <c r="F24" s="3"/>
      <c r="G24" s="3">
        <f t="shared" si="3"/>
        <v>83.810400000000016</v>
      </c>
      <c r="H24" s="3">
        <v>71.051999999999992</v>
      </c>
      <c r="I24" s="3"/>
      <c r="J24" s="3"/>
      <c r="K24" s="2">
        <f t="shared" si="0"/>
        <v>16.440000000000001</v>
      </c>
      <c r="L24" s="2" t="str">
        <f t="shared" si="1"/>
        <v>E</v>
      </c>
      <c r="M24" t="str">
        <f t="shared" si="2"/>
        <v>0</v>
      </c>
      <c r="N24" t="s">
        <v>119</v>
      </c>
      <c r="O24">
        <v>24060124130097</v>
      </c>
      <c r="P24" t="s">
        <v>120</v>
      </c>
      <c r="S24" t="s">
        <v>121</v>
      </c>
      <c r="T24">
        <v>75</v>
      </c>
      <c r="U24">
        <v>60.26</v>
      </c>
      <c r="V24">
        <v>75</v>
      </c>
      <c r="W24">
        <v>60</v>
      </c>
      <c r="X24" t="s">
        <v>44</v>
      </c>
      <c r="Y24">
        <v>85</v>
      </c>
      <c r="Z24">
        <v>3.51</v>
      </c>
      <c r="AA24">
        <v>87</v>
      </c>
      <c r="AB24">
        <v>1782748444</v>
      </c>
    </row>
    <row r="25" spans="1:28" x14ac:dyDescent="0.25">
      <c r="A25" t="s">
        <v>122</v>
      </c>
      <c r="B25" t="s">
        <v>123</v>
      </c>
      <c r="C25">
        <v>4</v>
      </c>
      <c r="D25" t="s">
        <v>40</v>
      </c>
      <c r="E25" s="3">
        <v>95</v>
      </c>
      <c r="F25" s="3"/>
      <c r="G25" s="3">
        <f t="shared" si="3"/>
        <v>82.4</v>
      </c>
      <c r="H25" s="3">
        <v>32</v>
      </c>
      <c r="I25" s="3"/>
      <c r="J25" s="3"/>
      <c r="K25" s="2">
        <f t="shared" si="0"/>
        <v>15.22</v>
      </c>
      <c r="L25" s="2" t="str">
        <f t="shared" si="1"/>
        <v>E</v>
      </c>
      <c r="M25" t="str">
        <f t="shared" si="2"/>
        <v>0</v>
      </c>
      <c r="N25" t="s">
        <v>124</v>
      </c>
      <c r="O25">
        <v>24060124130113</v>
      </c>
      <c r="P25" t="s">
        <v>125</v>
      </c>
      <c r="S25" t="s">
        <v>126</v>
      </c>
      <c r="T25">
        <v>75</v>
      </c>
      <c r="U25" t="s">
        <v>44</v>
      </c>
      <c r="V25" t="s">
        <v>44</v>
      </c>
      <c r="W25" t="s">
        <v>44</v>
      </c>
      <c r="X25" t="s">
        <v>44</v>
      </c>
      <c r="Y25">
        <v>85</v>
      </c>
      <c r="Z25" t="s">
        <v>44</v>
      </c>
      <c r="AA25">
        <v>95</v>
      </c>
      <c r="AB25">
        <v>1782748444</v>
      </c>
    </row>
    <row r="26" spans="1:28" x14ac:dyDescent="0.25">
      <c r="A26" t="s">
        <v>127</v>
      </c>
      <c r="B26" t="s">
        <v>128</v>
      </c>
      <c r="C26">
        <v>4</v>
      </c>
      <c r="D26" t="s">
        <v>40</v>
      </c>
      <c r="E26" s="3">
        <v>91</v>
      </c>
      <c r="F26" s="3"/>
      <c r="G26" s="3">
        <f t="shared" si="3"/>
        <v>84.641199999999998</v>
      </c>
      <c r="H26" s="3">
        <v>59.205999999999996</v>
      </c>
      <c r="I26" s="3"/>
      <c r="J26" s="3"/>
      <c r="K26" s="2">
        <f t="shared" si="0"/>
        <v>16.29</v>
      </c>
      <c r="L26" s="2" t="str">
        <f t="shared" si="1"/>
        <v>E</v>
      </c>
      <c r="M26" t="str">
        <f t="shared" si="2"/>
        <v>0</v>
      </c>
      <c r="N26" t="s">
        <v>129</v>
      </c>
      <c r="O26">
        <v>24060124140131</v>
      </c>
      <c r="P26" t="s">
        <v>130</v>
      </c>
      <c r="S26" t="s">
        <v>131</v>
      </c>
      <c r="T26">
        <v>66.67</v>
      </c>
      <c r="U26">
        <v>49.36</v>
      </c>
      <c r="V26">
        <v>50</v>
      </c>
      <c r="W26">
        <v>50</v>
      </c>
      <c r="X26" t="s">
        <v>44</v>
      </c>
      <c r="Y26">
        <v>80</v>
      </c>
      <c r="Z26">
        <v>8.8699999999999992</v>
      </c>
      <c r="AA26">
        <v>91</v>
      </c>
      <c r="AB26">
        <v>1782748444</v>
      </c>
    </row>
    <row r="27" spans="1:28" x14ac:dyDescent="0.25">
      <c r="A27" t="s">
        <v>132</v>
      </c>
      <c r="B27" t="s">
        <v>133</v>
      </c>
      <c r="C27">
        <v>4</v>
      </c>
      <c r="D27" t="s">
        <v>40</v>
      </c>
      <c r="E27" s="3">
        <v>96</v>
      </c>
      <c r="F27" s="3"/>
      <c r="G27" s="3">
        <f t="shared" si="3"/>
        <v>94.969200000000015</v>
      </c>
      <c r="H27" s="3">
        <v>90.845999999999989</v>
      </c>
      <c r="I27" s="3"/>
      <c r="J27" s="3"/>
      <c r="K27" s="2">
        <f t="shared" si="0"/>
        <v>18.89</v>
      </c>
      <c r="L27" s="2" t="str">
        <f t="shared" si="1"/>
        <v>E</v>
      </c>
      <c r="M27" t="str">
        <f t="shared" si="2"/>
        <v>0</v>
      </c>
      <c r="N27" t="s">
        <v>134</v>
      </c>
      <c r="O27">
        <v>24060124110142</v>
      </c>
      <c r="P27" t="s">
        <v>135</v>
      </c>
      <c r="S27" t="s">
        <v>136</v>
      </c>
      <c r="T27">
        <v>75</v>
      </c>
      <c r="U27">
        <v>85.9</v>
      </c>
      <c r="V27">
        <v>100</v>
      </c>
      <c r="W27">
        <v>93.33</v>
      </c>
      <c r="X27" t="s">
        <v>44</v>
      </c>
      <c r="Y27">
        <v>100</v>
      </c>
      <c r="Z27">
        <v>9.36</v>
      </c>
      <c r="AA27">
        <v>96</v>
      </c>
      <c r="AB27">
        <v>1782748444</v>
      </c>
    </row>
    <row r="28" spans="1:28" x14ac:dyDescent="0.25">
      <c r="A28" t="s">
        <v>137</v>
      </c>
      <c r="B28" t="s">
        <v>138</v>
      </c>
      <c r="C28">
        <v>4</v>
      </c>
      <c r="D28" t="s">
        <v>40</v>
      </c>
      <c r="E28" s="3">
        <v>93</v>
      </c>
      <c r="F28" s="3"/>
      <c r="G28" s="3">
        <f t="shared" si="3"/>
        <v>89.582000000000008</v>
      </c>
      <c r="H28" s="3">
        <v>75.91</v>
      </c>
      <c r="I28" s="3"/>
      <c r="J28" s="3"/>
      <c r="K28" s="2">
        <f t="shared" si="0"/>
        <v>17.57</v>
      </c>
      <c r="L28" s="2" t="str">
        <f t="shared" si="1"/>
        <v>E</v>
      </c>
      <c r="M28" t="str">
        <f t="shared" si="2"/>
        <v>0</v>
      </c>
      <c r="N28" t="s">
        <v>139</v>
      </c>
      <c r="O28">
        <v>24060124120013</v>
      </c>
      <c r="P28" t="s">
        <v>140</v>
      </c>
      <c r="S28" t="s">
        <v>141</v>
      </c>
      <c r="T28">
        <v>66.67</v>
      </c>
      <c r="U28">
        <v>65.38</v>
      </c>
      <c r="V28">
        <v>87.5</v>
      </c>
      <c r="W28">
        <v>60</v>
      </c>
      <c r="X28" t="s">
        <v>44</v>
      </c>
      <c r="Y28">
        <v>100</v>
      </c>
      <c r="Z28">
        <v>9.18</v>
      </c>
      <c r="AA28">
        <v>93</v>
      </c>
      <c r="AB28">
        <v>1782748444</v>
      </c>
    </row>
    <row r="29" spans="1:28" x14ac:dyDescent="0.25">
      <c r="A29" t="s">
        <v>142</v>
      </c>
      <c r="B29" t="s">
        <v>143</v>
      </c>
      <c r="C29">
        <v>4</v>
      </c>
      <c r="D29" t="s">
        <v>40</v>
      </c>
      <c r="E29" s="3">
        <v>98</v>
      </c>
      <c r="F29" s="3"/>
      <c r="G29" s="3">
        <f t="shared" si="3"/>
        <v>94.976800000000011</v>
      </c>
      <c r="H29" s="3">
        <v>82.884</v>
      </c>
      <c r="I29" s="3"/>
      <c r="J29" s="3"/>
      <c r="K29" s="2">
        <f t="shared" si="0"/>
        <v>18.690000000000001</v>
      </c>
      <c r="L29" s="2" t="str">
        <f t="shared" si="1"/>
        <v>E</v>
      </c>
      <c r="M29" t="str">
        <f t="shared" si="2"/>
        <v>0</v>
      </c>
      <c r="N29" t="s">
        <v>144</v>
      </c>
      <c r="O29">
        <v>24060124120019</v>
      </c>
      <c r="P29" t="s">
        <v>145</v>
      </c>
      <c r="S29" t="s">
        <v>146</v>
      </c>
      <c r="T29">
        <v>83.33</v>
      </c>
      <c r="U29">
        <v>76.92</v>
      </c>
      <c r="V29">
        <v>87.5</v>
      </c>
      <c r="W29">
        <v>76.67</v>
      </c>
      <c r="X29" t="s">
        <v>44</v>
      </c>
      <c r="Y29">
        <v>90</v>
      </c>
      <c r="Z29">
        <v>9.69</v>
      </c>
      <c r="AA29">
        <v>98</v>
      </c>
      <c r="AB29">
        <v>1782748444</v>
      </c>
    </row>
    <row r="30" spans="1:28" x14ac:dyDescent="0.25">
      <c r="A30" t="s">
        <v>147</v>
      </c>
      <c r="B30" t="s">
        <v>148</v>
      </c>
      <c r="C30">
        <v>4</v>
      </c>
      <c r="D30" t="s">
        <v>40</v>
      </c>
      <c r="E30" s="3">
        <v>94</v>
      </c>
      <c r="F30" s="3"/>
      <c r="G30" s="3">
        <f t="shared" si="3"/>
        <v>88.576800000000006</v>
      </c>
      <c r="H30" s="3">
        <v>66.884</v>
      </c>
      <c r="I30" s="3"/>
      <c r="J30" s="3"/>
      <c r="K30" s="2">
        <f t="shared" si="0"/>
        <v>17.170000000000002</v>
      </c>
      <c r="L30" s="2" t="str">
        <f t="shared" si="1"/>
        <v>E</v>
      </c>
      <c r="M30" t="str">
        <f t="shared" si="2"/>
        <v>0</v>
      </c>
      <c r="N30" t="s">
        <v>149</v>
      </c>
      <c r="O30">
        <v>24060124140139</v>
      </c>
      <c r="P30" t="s">
        <v>150</v>
      </c>
      <c r="S30" t="s">
        <v>151</v>
      </c>
      <c r="T30">
        <v>58.33</v>
      </c>
      <c r="U30">
        <v>72.760000000000005</v>
      </c>
      <c r="V30">
        <v>75</v>
      </c>
      <c r="W30">
        <v>53.33</v>
      </c>
      <c r="X30" t="s">
        <v>44</v>
      </c>
      <c r="Y30">
        <v>75</v>
      </c>
      <c r="Z30">
        <v>9.2799999999999994</v>
      </c>
      <c r="AA30">
        <v>94</v>
      </c>
      <c r="AB30">
        <v>1782748444</v>
      </c>
    </row>
    <row r="31" spans="1:28" x14ac:dyDescent="0.25">
      <c r="A31" t="s">
        <v>152</v>
      </c>
      <c r="B31" t="s">
        <v>153</v>
      </c>
      <c r="C31">
        <v>4</v>
      </c>
      <c r="D31" t="s">
        <v>40</v>
      </c>
      <c r="E31" s="3">
        <v>96</v>
      </c>
      <c r="F31" s="3"/>
      <c r="G31" s="3">
        <f t="shared" si="3"/>
        <v>93.53840000000001</v>
      </c>
      <c r="H31" s="3">
        <v>83.691999999999993</v>
      </c>
      <c r="I31" s="3"/>
      <c r="J31" s="3"/>
      <c r="K31" s="2">
        <f t="shared" si="0"/>
        <v>18.46</v>
      </c>
      <c r="L31" s="2" t="str">
        <f t="shared" si="1"/>
        <v>E</v>
      </c>
      <c r="M31" t="str">
        <f t="shared" si="2"/>
        <v>0</v>
      </c>
      <c r="N31" t="s">
        <v>154</v>
      </c>
      <c r="O31">
        <v>24060124140166</v>
      </c>
      <c r="P31" t="s">
        <v>155</v>
      </c>
      <c r="S31" t="s">
        <v>156</v>
      </c>
      <c r="T31">
        <v>75</v>
      </c>
      <c r="U31">
        <v>88.46</v>
      </c>
      <c r="V31">
        <v>75</v>
      </c>
      <c r="W31">
        <v>80</v>
      </c>
      <c r="X31" t="s">
        <v>44</v>
      </c>
      <c r="Y31">
        <v>100</v>
      </c>
      <c r="Z31">
        <v>1.34</v>
      </c>
      <c r="AA31">
        <v>96</v>
      </c>
      <c r="AB31">
        <v>1782748444</v>
      </c>
    </row>
    <row r="32" spans="1:28" x14ac:dyDescent="0.25">
      <c r="A32" t="s">
        <v>157</v>
      </c>
      <c r="B32" t="s">
        <v>158</v>
      </c>
      <c r="C32">
        <v>4</v>
      </c>
      <c r="D32" t="s">
        <v>40</v>
      </c>
      <c r="E32" s="3">
        <v>95</v>
      </c>
      <c r="F32" s="3"/>
      <c r="G32" s="3">
        <f t="shared" si="3"/>
        <v>91.220399999999998</v>
      </c>
      <c r="H32" s="3">
        <v>76.102000000000004</v>
      </c>
      <c r="I32" s="3"/>
      <c r="J32" s="3"/>
      <c r="K32" s="2">
        <f t="shared" si="0"/>
        <v>17.87</v>
      </c>
      <c r="L32" s="2" t="str">
        <f t="shared" si="1"/>
        <v>E</v>
      </c>
      <c r="M32" t="str">
        <f t="shared" si="2"/>
        <v>0</v>
      </c>
      <c r="N32" t="s">
        <v>159</v>
      </c>
      <c r="O32">
        <v>24060124140200</v>
      </c>
      <c r="P32" t="s">
        <v>160</v>
      </c>
      <c r="S32" t="s">
        <v>161</v>
      </c>
      <c r="T32">
        <v>58.33</v>
      </c>
      <c r="U32">
        <v>70.510000000000005</v>
      </c>
      <c r="V32">
        <v>75</v>
      </c>
      <c r="W32">
        <v>76.67</v>
      </c>
      <c r="X32" t="s">
        <v>44</v>
      </c>
      <c r="Y32">
        <v>100</v>
      </c>
      <c r="Z32">
        <v>9.18</v>
      </c>
      <c r="AA32">
        <v>95</v>
      </c>
      <c r="AB32">
        <v>1782748444</v>
      </c>
    </row>
    <row r="33" spans="1:28" x14ac:dyDescent="0.25">
      <c r="A33" t="s">
        <v>162</v>
      </c>
      <c r="B33" t="s">
        <v>163</v>
      </c>
      <c r="C33">
        <v>4</v>
      </c>
      <c r="D33" t="s">
        <v>40</v>
      </c>
      <c r="E33" s="3">
        <v>96</v>
      </c>
      <c r="F33" s="3"/>
      <c r="G33" s="3">
        <f t="shared" si="3"/>
        <v>92.838400000000007</v>
      </c>
      <c r="H33" s="3">
        <v>80.191999999999993</v>
      </c>
      <c r="I33" s="3"/>
      <c r="J33" s="3"/>
      <c r="K33" s="2">
        <f t="shared" si="0"/>
        <v>18.25</v>
      </c>
      <c r="L33" s="2" t="str">
        <f t="shared" si="1"/>
        <v>E</v>
      </c>
      <c r="M33" t="str">
        <f t="shared" si="2"/>
        <v>0</v>
      </c>
      <c r="N33" t="s">
        <v>164</v>
      </c>
      <c r="O33">
        <v>24060124120006</v>
      </c>
      <c r="P33" t="s">
        <v>165</v>
      </c>
      <c r="S33" t="s">
        <v>166</v>
      </c>
      <c r="T33">
        <v>58.33</v>
      </c>
      <c r="U33">
        <v>88.46</v>
      </c>
      <c r="V33">
        <v>87.5</v>
      </c>
      <c r="W33">
        <v>66.67</v>
      </c>
      <c r="X33" t="s">
        <v>44</v>
      </c>
      <c r="Y33">
        <v>100</v>
      </c>
      <c r="Z33" t="s">
        <v>44</v>
      </c>
      <c r="AA33">
        <v>96</v>
      </c>
      <c r="AB33">
        <v>1782748444</v>
      </c>
    </row>
    <row r="34" spans="1:28" x14ac:dyDescent="0.25">
      <c r="A34" t="s">
        <v>167</v>
      </c>
      <c r="B34" t="s">
        <v>168</v>
      </c>
      <c r="C34">
        <v>4</v>
      </c>
      <c r="D34" t="s">
        <v>40</v>
      </c>
      <c r="E34" s="3">
        <v>78</v>
      </c>
      <c r="F34" s="3"/>
      <c r="G34" s="3">
        <f t="shared" si="3"/>
        <v>74.759200000000007</v>
      </c>
      <c r="H34" s="3">
        <v>61.796000000000006</v>
      </c>
      <c r="I34" s="3"/>
      <c r="J34" s="3"/>
      <c r="K34" s="2">
        <f t="shared" si="0"/>
        <v>14.63</v>
      </c>
      <c r="L34" s="2" t="str">
        <f t="shared" si="1"/>
        <v>E</v>
      </c>
      <c r="M34" t="str">
        <f t="shared" si="2"/>
        <v>0</v>
      </c>
      <c r="N34" t="s">
        <v>169</v>
      </c>
      <c r="O34">
        <v>24060124130053</v>
      </c>
      <c r="P34" t="s">
        <v>170</v>
      </c>
      <c r="S34" t="s">
        <v>171</v>
      </c>
      <c r="T34">
        <v>66.67</v>
      </c>
      <c r="U34">
        <v>42.31</v>
      </c>
      <c r="V34">
        <v>75</v>
      </c>
      <c r="W34">
        <v>80</v>
      </c>
      <c r="X34" t="s">
        <v>44</v>
      </c>
      <c r="Y34">
        <v>45</v>
      </c>
      <c r="Z34" t="s">
        <v>44</v>
      </c>
      <c r="AA34">
        <v>78</v>
      </c>
      <c r="AB34">
        <v>1782748444</v>
      </c>
    </row>
    <row r="35" spans="1:28" x14ac:dyDescent="0.25">
      <c r="A35" t="s">
        <v>172</v>
      </c>
      <c r="B35" t="s">
        <v>173</v>
      </c>
      <c r="C35">
        <v>4</v>
      </c>
      <c r="D35" t="s">
        <v>40</v>
      </c>
      <c r="E35" s="3">
        <v>97</v>
      </c>
      <c r="F35" s="3"/>
      <c r="G35" s="3">
        <f t="shared" si="3"/>
        <v>93.818400000000011</v>
      </c>
      <c r="H35" s="3">
        <v>81.092000000000013</v>
      </c>
      <c r="I35" s="3"/>
      <c r="J35" s="3"/>
      <c r="K35" s="2">
        <f t="shared" si="0"/>
        <v>18.45</v>
      </c>
      <c r="L35" s="2" t="str">
        <f t="shared" si="1"/>
        <v>E</v>
      </c>
      <c r="M35" t="str">
        <f t="shared" si="2"/>
        <v>0</v>
      </c>
      <c r="N35" t="s">
        <v>174</v>
      </c>
      <c r="O35">
        <v>24060124130064</v>
      </c>
      <c r="P35" t="s">
        <v>175</v>
      </c>
      <c r="S35" t="s">
        <v>176</v>
      </c>
      <c r="T35">
        <v>66.67</v>
      </c>
      <c r="U35">
        <v>84.62</v>
      </c>
      <c r="V35">
        <v>87.5</v>
      </c>
      <c r="W35">
        <v>66.67</v>
      </c>
      <c r="X35" t="s">
        <v>44</v>
      </c>
      <c r="Y35">
        <v>100</v>
      </c>
      <c r="Z35">
        <v>9.48</v>
      </c>
      <c r="AA35">
        <v>97</v>
      </c>
      <c r="AB35">
        <v>1782748444</v>
      </c>
    </row>
    <row r="36" spans="1:28" x14ac:dyDescent="0.25">
      <c r="A36" t="s">
        <v>177</v>
      </c>
      <c r="B36" t="s">
        <v>178</v>
      </c>
      <c r="C36">
        <v>4</v>
      </c>
      <c r="D36" t="s">
        <v>40</v>
      </c>
      <c r="E36" s="3"/>
      <c r="F36" s="3"/>
      <c r="G36" s="3">
        <f t="shared" si="3"/>
        <v>0</v>
      </c>
      <c r="H36" s="3">
        <v>0</v>
      </c>
      <c r="I36" s="3"/>
      <c r="J36" s="2"/>
      <c r="K36" s="2">
        <f t="shared" si="0"/>
        <v>0</v>
      </c>
      <c r="L36" s="2" t="str">
        <f t="shared" si="1"/>
        <v>E</v>
      </c>
      <c r="M36" t="str">
        <f t="shared" si="2"/>
        <v>0</v>
      </c>
    </row>
    <row r="37" spans="1:28" x14ac:dyDescent="0.25">
      <c r="A37" t="s">
        <v>179</v>
      </c>
      <c r="B37" t="s">
        <v>180</v>
      </c>
      <c r="C37">
        <v>4</v>
      </c>
      <c r="D37" t="s">
        <v>40</v>
      </c>
      <c r="E37" s="3">
        <v>95</v>
      </c>
      <c r="F37" s="3"/>
      <c r="G37" s="3">
        <f t="shared" si="3"/>
        <v>91.384399999999999</v>
      </c>
      <c r="H37" s="3">
        <v>76.921999999999997</v>
      </c>
      <c r="I37" s="3"/>
      <c r="J37" s="3"/>
      <c r="K37" s="2">
        <f t="shared" si="0"/>
        <v>17.920000000000002</v>
      </c>
      <c r="L37" s="2" t="str">
        <f t="shared" si="1"/>
        <v>E</v>
      </c>
      <c r="M37" t="str">
        <f t="shared" si="2"/>
        <v>0</v>
      </c>
      <c r="N37" t="s">
        <v>181</v>
      </c>
      <c r="O37">
        <v>24060124140204</v>
      </c>
      <c r="P37" t="s">
        <v>182</v>
      </c>
      <c r="S37" t="s">
        <v>183</v>
      </c>
      <c r="T37">
        <v>75</v>
      </c>
      <c r="U37">
        <v>51.28</v>
      </c>
      <c r="V37">
        <v>100</v>
      </c>
      <c r="W37">
        <v>63.33</v>
      </c>
      <c r="X37" t="s">
        <v>44</v>
      </c>
      <c r="Y37">
        <v>95</v>
      </c>
      <c r="Z37">
        <v>9.2799999999999994</v>
      </c>
      <c r="AA37">
        <v>95</v>
      </c>
      <c r="AB37">
        <v>1782748444</v>
      </c>
    </row>
    <row r="38" spans="1:28" x14ac:dyDescent="0.25">
      <c r="A38" t="s">
        <v>184</v>
      </c>
      <c r="B38" t="s">
        <v>185</v>
      </c>
      <c r="C38">
        <v>4</v>
      </c>
      <c r="D38" t="s">
        <v>40</v>
      </c>
      <c r="E38" s="3">
        <v>97</v>
      </c>
      <c r="F38" s="3"/>
      <c r="G38" s="3">
        <f t="shared" si="3"/>
        <v>94.228400000000008</v>
      </c>
      <c r="H38" s="3">
        <v>83.141999999999996</v>
      </c>
      <c r="I38" s="3"/>
      <c r="J38" s="3"/>
      <c r="K38" s="2">
        <f t="shared" si="0"/>
        <v>18.57</v>
      </c>
      <c r="L38" s="2" t="str">
        <f t="shared" si="1"/>
        <v>E</v>
      </c>
      <c r="M38" t="str">
        <f t="shared" si="2"/>
        <v>0</v>
      </c>
      <c r="N38" t="s">
        <v>186</v>
      </c>
      <c r="O38">
        <v>24060124120016</v>
      </c>
      <c r="P38" t="s">
        <v>187</v>
      </c>
      <c r="S38" t="s">
        <v>188</v>
      </c>
      <c r="T38">
        <v>83.33</v>
      </c>
      <c r="U38">
        <v>78.209999999999994</v>
      </c>
      <c r="V38">
        <v>87.5</v>
      </c>
      <c r="W38">
        <v>66.67</v>
      </c>
      <c r="X38" t="s">
        <v>44</v>
      </c>
      <c r="Y38">
        <v>100</v>
      </c>
      <c r="Z38">
        <v>7.11</v>
      </c>
      <c r="AA38">
        <v>97</v>
      </c>
      <c r="AB38">
        <v>1782748444</v>
      </c>
    </row>
    <row r="39" spans="1:28" x14ac:dyDescent="0.25">
      <c r="A39" t="s">
        <v>189</v>
      </c>
      <c r="B39" t="s">
        <v>190</v>
      </c>
      <c r="C39">
        <v>4</v>
      </c>
      <c r="D39" t="s">
        <v>40</v>
      </c>
      <c r="E39" s="3">
        <v>95</v>
      </c>
      <c r="F39" s="3"/>
      <c r="G39" s="3">
        <f t="shared" si="3"/>
        <v>93.938400000000001</v>
      </c>
      <c r="H39" s="3">
        <v>89.691999999999993</v>
      </c>
      <c r="I39" s="3"/>
      <c r="J39" s="3"/>
      <c r="K39" s="2">
        <f t="shared" si="0"/>
        <v>18.68</v>
      </c>
      <c r="L39" s="2" t="str">
        <f t="shared" si="1"/>
        <v>E</v>
      </c>
      <c r="M39" t="str">
        <f t="shared" si="2"/>
        <v>0</v>
      </c>
      <c r="N39" t="s">
        <v>191</v>
      </c>
      <c r="O39">
        <v>24060124120010</v>
      </c>
      <c r="P39" t="s">
        <v>192</v>
      </c>
      <c r="S39" t="s">
        <v>193</v>
      </c>
      <c r="T39">
        <v>75</v>
      </c>
      <c r="U39">
        <v>88.46</v>
      </c>
      <c r="V39">
        <v>100</v>
      </c>
      <c r="W39">
        <v>90</v>
      </c>
      <c r="X39" t="s">
        <v>44</v>
      </c>
      <c r="Y39">
        <v>95</v>
      </c>
      <c r="Z39">
        <v>9.2799999999999994</v>
      </c>
      <c r="AA39">
        <v>95</v>
      </c>
      <c r="AB39">
        <v>1782748444</v>
      </c>
    </row>
    <row r="40" spans="1:28" x14ac:dyDescent="0.25">
      <c r="A40" t="s">
        <v>194</v>
      </c>
      <c r="B40" t="s">
        <v>195</v>
      </c>
      <c r="C40">
        <v>4</v>
      </c>
      <c r="D40" t="s">
        <v>40</v>
      </c>
      <c r="E40" s="3"/>
      <c r="F40" s="3"/>
      <c r="G40" s="3">
        <f t="shared" si="3"/>
        <v>0</v>
      </c>
      <c r="H40" s="3">
        <v>0</v>
      </c>
      <c r="I40" s="3"/>
      <c r="J40" s="2"/>
      <c r="K40" s="2">
        <f t="shared" si="0"/>
        <v>0</v>
      </c>
      <c r="L40" s="2" t="str">
        <f t="shared" si="1"/>
        <v>E</v>
      </c>
      <c r="M40" t="str">
        <f t="shared" si="2"/>
        <v>0</v>
      </c>
    </row>
    <row r="41" spans="1:28" x14ac:dyDescent="0.25">
      <c r="A41" t="s">
        <v>196</v>
      </c>
      <c r="B41" t="s">
        <v>197</v>
      </c>
      <c r="C41">
        <v>4</v>
      </c>
      <c r="D41" t="s">
        <v>40</v>
      </c>
      <c r="E41" s="3">
        <v>98</v>
      </c>
      <c r="F41" s="3"/>
      <c r="G41" s="3">
        <f t="shared" si="3"/>
        <v>87.146000000000001</v>
      </c>
      <c r="H41" s="3">
        <v>43.730000000000004</v>
      </c>
      <c r="I41" s="3"/>
      <c r="J41" s="3"/>
      <c r="K41" s="2">
        <f t="shared" si="0"/>
        <v>16.34</v>
      </c>
      <c r="L41" s="2" t="str">
        <f t="shared" si="1"/>
        <v>E</v>
      </c>
      <c r="M41" t="str">
        <f t="shared" si="2"/>
        <v>0</v>
      </c>
      <c r="N41" t="s">
        <v>198</v>
      </c>
      <c r="O41">
        <v>24060124140163</v>
      </c>
      <c r="P41" t="s">
        <v>199</v>
      </c>
      <c r="S41" t="s">
        <v>200</v>
      </c>
      <c r="T41" t="s">
        <v>44</v>
      </c>
      <c r="U41">
        <v>46.15</v>
      </c>
      <c r="V41">
        <v>62.5</v>
      </c>
      <c r="W41">
        <v>50</v>
      </c>
      <c r="X41" t="s">
        <v>44</v>
      </c>
      <c r="Y41">
        <v>60</v>
      </c>
      <c r="Z41">
        <v>9.3800000000000008</v>
      </c>
      <c r="AA41">
        <v>98</v>
      </c>
      <c r="AB41">
        <v>1782748444</v>
      </c>
    </row>
    <row r="42" spans="1:28" x14ac:dyDescent="0.25">
      <c r="A42" t="s">
        <v>201</v>
      </c>
      <c r="B42" t="s">
        <v>202</v>
      </c>
      <c r="C42">
        <v>4</v>
      </c>
      <c r="D42" t="s">
        <v>40</v>
      </c>
      <c r="E42" s="3">
        <v>96</v>
      </c>
      <c r="F42" s="3"/>
      <c r="G42" s="3">
        <f t="shared" si="3"/>
        <v>91.828000000000017</v>
      </c>
      <c r="H42" s="3">
        <v>75.14</v>
      </c>
      <c r="I42" s="3"/>
      <c r="J42" s="3"/>
      <c r="K42" s="2">
        <f t="shared" si="0"/>
        <v>17.95</v>
      </c>
      <c r="L42" s="2" t="str">
        <f t="shared" si="1"/>
        <v>E</v>
      </c>
      <c r="M42" t="str">
        <f t="shared" si="2"/>
        <v>0</v>
      </c>
      <c r="N42" t="s">
        <v>203</v>
      </c>
      <c r="O42">
        <v>24060124140188</v>
      </c>
      <c r="P42" t="s">
        <v>204</v>
      </c>
      <c r="S42" t="s">
        <v>205</v>
      </c>
      <c r="T42">
        <v>58.33</v>
      </c>
      <c r="U42">
        <v>86.54</v>
      </c>
      <c r="V42">
        <v>87.5</v>
      </c>
      <c r="W42">
        <v>63.33</v>
      </c>
      <c r="X42" t="s">
        <v>44</v>
      </c>
      <c r="Y42">
        <v>80</v>
      </c>
      <c r="Z42">
        <v>9.1199999999999992</v>
      </c>
      <c r="AA42">
        <v>96</v>
      </c>
      <c r="AB42">
        <v>1782748444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C5D6-710C-4A1B-8F51-166C821A67E9}">
  <dimension ref="A7:L42"/>
  <sheetViews>
    <sheetView topLeftCell="A14" workbookViewId="0">
      <selection activeCell="L8" sqref="L8:L42"/>
    </sheetView>
  </sheetViews>
  <sheetFormatPr defaultRowHeight="15" x14ac:dyDescent="0.25"/>
  <sheetData>
    <row r="7" spans="1:12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34</v>
      </c>
    </row>
    <row r="8" spans="1:12" x14ac:dyDescent="0.25">
      <c r="A8" t="s">
        <v>41</v>
      </c>
      <c r="B8">
        <v>24060124130086</v>
      </c>
      <c r="C8" t="s">
        <v>42</v>
      </c>
      <c r="F8" t="s">
        <v>43</v>
      </c>
      <c r="G8">
        <v>58.33</v>
      </c>
      <c r="H8">
        <v>84.62</v>
      </c>
      <c r="I8">
        <v>87.5</v>
      </c>
      <c r="J8">
        <v>76.67</v>
      </c>
      <c r="K8">
        <v>75</v>
      </c>
      <c r="L8">
        <f>SUM(G8:K8)/5</f>
        <v>76.424000000000007</v>
      </c>
    </row>
    <row r="9" spans="1:12" x14ac:dyDescent="0.25">
      <c r="A9" t="s">
        <v>47</v>
      </c>
      <c r="B9">
        <v>24060124140124</v>
      </c>
      <c r="C9" t="s">
        <v>48</v>
      </c>
      <c r="F9" t="s">
        <v>49</v>
      </c>
      <c r="G9">
        <v>75</v>
      </c>
      <c r="H9">
        <v>62.82</v>
      </c>
      <c r="I9">
        <v>62.5</v>
      </c>
      <c r="J9">
        <v>53.33</v>
      </c>
      <c r="K9">
        <v>85</v>
      </c>
      <c r="L9">
        <f t="shared" ref="L9:L42" si="0">SUM(G9:K9)/5</f>
        <v>67.72999999999999</v>
      </c>
    </row>
    <row r="10" spans="1:12" x14ac:dyDescent="0.25">
      <c r="A10" t="s">
        <v>52</v>
      </c>
      <c r="B10">
        <v>24060124120012</v>
      </c>
      <c r="C10" t="s">
        <v>53</v>
      </c>
      <c r="F10" t="s">
        <v>54</v>
      </c>
      <c r="G10">
        <v>75</v>
      </c>
      <c r="H10">
        <v>73.08</v>
      </c>
      <c r="I10">
        <v>100</v>
      </c>
      <c r="J10">
        <v>60</v>
      </c>
      <c r="K10">
        <v>95</v>
      </c>
      <c r="L10">
        <f t="shared" si="0"/>
        <v>80.616</v>
      </c>
    </row>
    <row r="11" spans="1:12" x14ac:dyDescent="0.25">
      <c r="A11" t="s">
        <v>57</v>
      </c>
      <c r="B11">
        <v>24060124120026</v>
      </c>
      <c r="C11" t="s">
        <v>58</v>
      </c>
      <c r="F11" t="s">
        <v>59</v>
      </c>
      <c r="G11">
        <v>83.33</v>
      </c>
      <c r="H11">
        <v>81.73</v>
      </c>
      <c r="I11">
        <v>87.5</v>
      </c>
      <c r="J11">
        <v>93.33</v>
      </c>
      <c r="K11">
        <v>100</v>
      </c>
      <c r="L11">
        <f t="shared" si="0"/>
        <v>89.177999999999997</v>
      </c>
    </row>
    <row r="12" spans="1:12" x14ac:dyDescent="0.25">
      <c r="A12" t="s">
        <v>62</v>
      </c>
      <c r="B12">
        <v>24060124140137</v>
      </c>
      <c r="C12" t="s">
        <v>63</v>
      </c>
      <c r="F12" t="s">
        <v>64</v>
      </c>
      <c r="G12">
        <v>83.33</v>
      </c>
      <c r="H12">
        <v>82.05</v>
      </c>
      <c r="I12">
        <v>100</v>
      </c>
      <c r="J12">
        <v>80</v>
      </c>
      <c r="K12">
        <v>85</v>
      </c>
      <c r="L12">
        <f t="shared" si="0"/>
        <v>86.075999999999993</v>
      </c>
    </row>
    <row r="13" spans="1:12" x14ac:dyDescent="0.25">
      <c r="A13" t="s">
        <v>67</v>
      </c>
      <c r="B13">
        <v>24060124140169</v>
      </c>
      <c r="C13" t="s">
        <v>68</v>
      </c>
      <c r="F13" t="s">
        <v>69</v>
      </c>
      <c r="G13">
        <v>83.33</v>
      </c>
      <c r="H13">
        <v>71.150000000000006</v>
      </c>
      <c r="I13">
        <v>87.5</v>
      </c>
      <c r="J13">
        <v>70</v>
      </c>
      <c r="K13">
        <v>85</v>
      </c>
      <c r="L13">
        <f t="shared" si="0"/>
        <v>79.396000000000001</v>
      </c>
    </row>
    <row r="14" spans="1:12" x14ac:dyDescent="0.25">
      <c r="A14" t="s">
        <v>72</v>
      </c>
      <c r="B14">
        <v>24060124120015</v>
      </c>
      <c r="C14" t="s">
        <v>73</v>
      </c>
      <c r="F14" t="s">
        <v>74</v>
      </c>
      <c r="G14">
        <v>58.33</v>
      </c>
      <c r="H14">
        <v>52.24</v>
      </c>
      <c r="I14">
        <v>37.5</v>
      </c>
      <c r="J14">
        <v>40</v>
      </c>
      <c r="K14">
        <v>90</v>
      </c>
      <c r="L14">
        <f t="shared" si="0"/>
        <v>55.613999999999997</v>
      </c>
    </row>
    <row r="15" spans="1:12" x14ac:dyDescent="0.25">
      <c r="A15" t="s">
        <v>77</v>
      </c>
      <c r="B15">
        <v>24060124120020</v>
      </c>
      <c r="C15" t="s">
        <v>78</v>
      </c>
      <c r="F15" t="s">
        <v>79</v>
      </c>
      <c r="G15">
        <v>66.67</v>
      </c>
      <c r="H15">
        <v>73.08</v>
      </c>
      <c r="I15">
        <v>75</v>
      </c>
      <c r="J15">
        <v>63.33</v>
      </c>
      <c r="K15">
        <v>80</v>
      </c>
      <c r="L15">
        <f t="shared" si="0"/>
        <v>71.616</v>
      </c>
    </row>
    <row r="16" spans="1:12" x14ac:dyDescent="0.25">
      <c r="A16" t="s">
        <v>82</v>
      </c>
      <c r="B16">
        <v>24060124130061</v>
      </c>
      <c r="C16" t="s">
        <v>83</v>
      </c>
      <c r="F16" t="s">
        <v>84</v>
      </c>
      <c r="G16">
        <v>41.67</v>
      </c>
      <c r="H16">
        <v>71.150000000000006</v>
      </c>
      <c r="I16">
        <v>50</v>
      </c>
      <c r="J16">
        <v>60</v>
      </c>
      <c r="K16">
        <v>85</v>
      </c>
      <c r="L16">
        <f t="shared" si="0"/>
        <v>61.564</v>
      </c>
    </row>
    <row r="17" spans="1:12" x14ac:dyDescent="0.25">
      <c r="A17" t="s">
        <v>87</v>
      </c>
      <c r="B17">
        <v>24060124130115</v>
      </c>
      <c r="C17" t="s">
        <v>88</v>
      </c>
      <c r="F17" t="s">
        <v>89</v>
      </c>
      <c r="G17">
        <v>58.33</v>
      </c>
      <c r="H17">
        <v>68.91</v>
      </c>
      <c r="I17">
        <v>87.5</v>
      </c>
      <c r="J17">
        <v>80</v>
      </c>
      <c r="K17">
        <v>100</v>
      </c>
      <c r="L17">
        <f t="shared" si="0"/>
        <v>78.948000000000008</v>
      </c>
    </row>
    <row r="18" spans="1:12" x14ac:dyDescent="0.25">
      <c r="A18" t="s">
        <v>92</v>
      </c>
      <c r="B18">
        <v>24060124140125</v>
      </c>
      <c r="C18" t="s">
        <v>93</v>
      </c>
      <c r="F18" t="s">
        <v>94</v>
      </c>
      <c r="G18">
        <v>58.33</v>
      </c>
      <c r="H18">
        <v>92.31</v>
      </c>
      <c r="I18">
        <v>100</v>
      </c>
      <c r="J18">
        <v>76.67</v>
      </c>
      <c r="K18">
        <v>95</v>
      </c>
      <c r="L18">
        <f t="shared" si="0"/>
        <v>84.462000000000003</v>
      </c>
    </row>
    <row r="19" spans="1:12" x14ac:dyDescent="0.25">
      <c r="A19" t="s">
        <v>97</v>
      </c>
      <c r="B19">
        <v>24060124140134</v>
      </c>
      <c r="C19" t="s">
        <v>98</v>
      </c>
      <c r="F19" t="s">
        <v>99</v>
      </c>
      <c r="G19">
        <v>41.67</v>
      </c>
      <c r="H19">
        <v>78.209999999999994</v>
      </c>
      <c r="I19">
        <v>87.5</v>
      </c>
      <c r="J19">
        <v>66.67</v>
      </c>
      <c r="K19">
        <v>90</v>
      </c>
      <c r="L19">
        <f t="shared" si="0"/>
        <v>72.81</v>
      </c>
    </row>
    <row r="20" spans="1:12" x14ac:dyDescent="0.25">
      <c r="L20">
        <f t="shared" si="0"/>
        <v>0</v>
      </c>
    </row>
    <row r="21" spans="1:12" x14ac:dyDescent="0.25">
      <c r="A21" t="s">
        <v>104</v>
      </c>
      <c r="B21">
        <v>24060124130067</v>
      </c>
      <c r="C21" t="s">
        <v>105</v>
      </c>
      <c r="F21" t="s">
        <v>106</v>
      </c>
      <c r="G21">
        <v>83.33</v>
      </c>
      <c r="H21">
        <v>26.92</v>
      </c>
      <c r="I21">
        <v>87.5</v>
      </c>
      <c r="J21">
        <v>86.67</v>
      </c>
      <c r="K21">
        <v>80</v>
      </c>
      <c r="L21">
        <f t="shared" si="0"/>
        <v>72.884</v>
      </c>
    </row>
    <row r="22" spans="1:12" x14ac:dyDescent="0.25">
      <c r="A22" t="s">
        <v>109</v>
      </c>
      <c r="B22">
        <v>24060124140175</v>
      </c>
      <c r="C22" t="s">
        <v>110</v>
      </c>
      <c r="F22" t="s">
        <v>111</v>
      </c>
      <c r="G22">
        <v>50</v>
      </c>
      <c r="H22">
        <v>93.59</v>
      </c>
      <c r="I22">
        <v>75</v>
      </c>
      <c r="J22">
        <v>63.33</v>
      </c>
      <c r="K22" t="s">
        <v>44</v>
      </c>
      <c r="L22">
        <f t="shared" si="0"/>
        <v>56.384</v>
      </c>
    </row>
    <row r="23" spans="1:12" x14ac:dyDescent="0.25">
      <c r="A23" t="s">
        <v>114</v>
      </c>
      <c r="B23">
        <v>24060124120047</v>
      </c>
      <c r="C23" t="s">
        <v>115</v>
      </c>
      <c r="F23" t="s">
        <v>116</v>
      </c>
      <c r="G23">
        <v>58.33</v>
      </c>
      <c r="H23">
        <v>79.489999999999995</v>
      </c>
      <c r="I23">
        <v>87.5</v>
      </c>
      <c r="J23">
        <v>86.67</v>
      </c>
      <c r="K23">
        <v>80</v>
      </c>
      <c r="L23">
        <f t="shared" si="0"/>
        <v>78.397999999999996</v>
      </c>
    </row>
    <row r="24" spans="1:12" x14ac:dyDescent="0.25">
      <c r="A24" t="s">
        <v>119</v>
      </c>
      <c r="B24">
        <v>24060124130097</v>
      </c>
      <c r="C24" t="s">
        <v>120</v>
      </c>
      <c r="F24" t="s">
        <v>121</v>
      </c>
      <c r="G24">
        <v>75</v>
      </c>
      <c r="H24">
        <v>60.26</v>
      </c>
      <c r="I24">
        <v>75</v>
      </c>
      <c r="J24">
        <v>60</v>
      </c>
      <c r="K24">
        <v>85</v>
      </c>
      <c r="L24">
        <f t="shared" si="0"/>
        <v>71.051999999999992</v>
      </c>
    </row>
    <row r="25" spans="1:12" x14ac:dyDescent="0.25">
      <c r="A25" t="s">
        <v>124</v>
      </c>
      <c r="B25">
        <v>24060124130113</v>
      </c>
      <c r="C25" t="s">
        <v>125</v>
      </c>
      <c r="F25" t="s">
        <v>126</v>
      </c>
      <c r="G25">
        <v>75</v>
      </c>
      <c r="H25" t="s">
        <v>44</v>
      </c>
      <c r="I25" t="s">
        <v>44</v>
      </c>
      <c r="J25" t="s">
        <v>44</v>
      </c>
      <c r="K25">
        <v>85</v>
      </c>
      <c r="L25">
        <f t="shared" si="0"/>
        <v>32</v>
      </c>
    </row>
    <row r="26" spans="1:12" x14ac:dyDescent="0.25">
      <c r="A26" t="s">
        <v>129</v>
      </c>
      <c r="B26">
        <v>24060124140131</v>
      </c>
      <c r="C26" t="s">
        <v>130</v>
      </c>
      <c r="F26" t="s">
        <v>131</v>
      </c>
      <c r="G26">
        <v>66.67</v>
      </c>
      <c r="H26">
        <v>49.36</v>
      </c>
      <c r="I26">
        <v>50</v>
      </c>
      <c r="J26">
        <v>50</v>
      </c>
      <c r="K26">
        <v>80</v>
      </c>
      <c r="L26">
        <f t="shared" si="0"/>
        <v>59.205999999999996</v>
      </c>
    </row>
    <row r="27" spans="1:12" x14ac:dyDescent="0.25">
      <c r="A27" t="s">
        <v>134</v>
      </c>
      <c r="B27">
        <v>24060124110142</v>
      </c>
      <c r="C27" t="s">
        <v>135</v>
      </c>
      <c r="F27" t="s">
        <v>136</v>
      </c>
      <c r="G27">
        <v>75</v>
      </c>
      <c r="H27">
        <v>85.9</v>
      </c>
      <c r="I27">
        <v>100</v>
      </c>
      <c r="J27">
        <v>93.33</v>
      </c>
      <c r="K27">
        <v>100</v>
      </c>
      <c r="L27">
        <f t="shared" si="0"/>
        <v>90.845999999999989</v>
      </c>
    </row>
    <row r="28" spans="1:12" x14ac:dyDescent="0.25">
      <c r="A28" t="s">
        <v>139</v>
      </c>
      <c r="B28">
        <v>24060124120013</v>
      </c>
      <c r="C28" t="s">
        <v>140</v>
      </c>
      <c r="F28" t="s">
        <v>141</v>
      </c>
      <c r="G28">
        <v>66.67</v>
      </c>
      <c r="H28">
        <v>65.38</v>
      </c>
      <c r="I28">
        <v>87.5</v>
      </c>
      <c r="J28">
        <v>60</v>
      </c>
      <c r="K28">
        <v>100</v>
      </c>
      <c r="L28">
        <f t="shared" si="0"/>
        <v>75.91</v>
      </c>
    </row>
    <row r="29" spans="1:12" x14ac:dyDescent="0.25">
      <c r="A29" t="s">
        <v>144</v>
      </c>
      <c r="B29">
        <v>24060124120019</v>
      </c>
      <c r="C29" t="s">
        <v>145</v>
      </c>
      <c r="F29" t="s">
        <v>146</v>
      </c>
      <c r="G29">
        <v>83.33</v>
      </c>
      <c r="H29">
        <v>76.92</v>
      </c>
      <c r="I29">
        <v>87.5</v>
      </c>
      <c r="J29">
        <v>76.67</v>
      </c>
      <c r="K29">
        <v>90</v>
      </c>
      <c r="L29">
        <f t="shared" si="0"/>
        <v>82.884</v>
      </c>
    </row>
    <row r="30" spans="1:12" x14ac:dyDescent="0.25">
      <c r="A30" t="s">
        <v>149</v>
      </c>
      <c r="B30">
        <v>24060124140139</v>
      </c>
      <c r="C30" t="s">
        <v>150</v>
      </c>
      <c r="F30" t="s">
        <v>151</v>
      </c>
      <c r="G30">
        <v>58.33</v>
      </c>
      <c r="H30">
        <v>72.760000000000005</v>
      </c>
      <c r="I30">
        <v>75</v>
      </c>
      <c r="J30">
        <v>53.33</v>
      </c>
      <c r="K30">
        <v>75</v>
      </c>
      <c r="L30">
        <f t="shared" si="0"/>
        <v>66.884</v>
      </c>
    </row>
    <row r="31" spans="1:12" x14ac:dyDescent="0.25">
      <c r="A31" t="s">
        <v>154</v>
      </c>
      <c r="B31">
        <v>24060124140166</v>
      </c>
      <c r="C31" t="s">
        <v>155</v>
      </c>
      <c r="F31" t="s">
        <v>156</v>
      </c>
      <c r="G31">
        <v>75</v>
      </c>
      <c r="H31">
        <v>88.46</v>
      </c>
      <c r="I31">
        <v>75</v>
      </c>
      <c r="J31">
        <v>80</v>
      </c>
      <c r="K31">
        <v>100</v>
      </c>
      <c r="L31">
        <f t="shared" si="0"/>
        <v>83.691999999999993</v>
      </c>
    </row>
    <row r="32" spans="1:12" x14ac:dyDescent="0.25">
      <c r="A32" t="s">
        <v>159</v>
      </c>
      <c r="B32">
        <v>24060124140200</v>
      </c>
      <c r="C32" t="s">
        <v>160</v>
      </c>
      <c r="F32" t="s">
        <v>161</v>
      </c>
      <c r="G32">
        <v>58.33</v>
      </c>
      <c r="H32">
        <v>70.510000000000005</v>
      </c>
      <c r="I32">
        <v>75</v>
      </c>
      <c r="J32">
        <v>76.67</v>
      </c>
      <c r="K32">
        <v>100</v>
      </c>
      <c r="L32">
        <f t="shared" si="0"/>
        <v>76.102000000000004</v>
      </c>
    </row>
    <row r="33" spans="1:12" x14ac:dyDescent="0.25">
      <c r="A33" t="s">
        <v>164</v>
      </c>
      <c r="B33">
        <v>24060124120006</v>
      </c>
      <c r="C33" t="s">
        <v>165</v>
      </c>
      <c r="F33" t="s">
        <v>166</v>
      </c>
      <c r="G33">
        <v>58.33</v>
      </c>
      <c r="H33">
        <v>88.46</v>
      </c>
      <c r="I33">
        <v>87.5</v>
      </c>
      <c r="J33">
        <v>66.67</v>
      </c>
      <c r="K33">
        <v>100</v>
      </c>
      <c r="L33">
        <f t="shared" si="0"/>
        <v>80.191999999999993</v>
      </c>
    </row>
    <row r="34" spans="1:12" x14ac:dyDescent="0.25">
      <c r="A34" t="s">
        <v>169</v>
      </c>
      <c r="B34">
        <v>24060124130053</v>
      </c>
      <c r="C34" t="s">
        <v>170</v>
      </c>
      <c r="F34" t="s">
        <v>171</v>
      </c>
      <c r="G34">
        <v>66.67</v>
      </c>
      <c r="H34">
        <v>42.31</v>
      </c>
      <c r="I34">
        <v>75</v>
      </c>
      <c r="J34">
        <v>80</v>
      </c>
      <c r="K34">
        <v>45</v>
      </c>
      <c r="L34">
        <f t="shared" si="0"/>
        <v>61.796000000000006</v>
      </c>
    </row>
    <row r="35" spans="1:12" x14ac:dyDescent="0.25">
      <c r="A35" t="s">
        <v>174</v>
      </c>
      <c r="B35">
        <v>24060124130064</v>
      </c>
      <c r="C35" t="s">
        <v>175</v>
      </c>
      <c r="F35" t="s">
        <v>176</v>
      </c>
      <c r="G35">
        <v>66.67</v>
      </c>
      <c r="H35">
        <v>84.62</v>
      </c>
      <c r="I35">
        <v>87.5</v>
      </c>
      <c r="J35">
        <v>66.67</v>
      </c>
      <c r="K35">
        <v>100</v>
      </c>
      <c r="L35">
        <f t="shared" si="0"/>
        <v>81.092000000000013</v>
      </c>
    </row>
    <row r="36" spans="1:12" x14ac:dyDescent="0.25">
      <c r="L36">
        <f t="shared" si="0"/>
        <v>0</v>
      </c>
    </row>
    <row r="37" spans="1:12" x14ac:dyDescent="0.25">
      <c r="A37" t="s">
        <v>181</v>
      </c>
      <c r="B37">
        <v>24060124140204</v>
      </c>
      <c r="C37" t="s">
        <v>182</v>
      </c>
      <c r="F37" t="s">
        <v>183</v>
      </c>
      <c r="G37">
        <v>75</v>
      </c>
      <c r="H37">
        <v>51.28</v>
      </c>
      <c r="I37">
        <v>100</v>
      </c>
      <c r="J37">
        <v>63.33</v>
      </c>
      <c r="K37">
        <v>95</v>
      </c>
      <c r="L37">
        <f t="shared" si="0"/>
        <v>76.921999999999997</v>
      </c>
    </row>
    <row r="38" spans="1:12" x14ac:dyDescent="0.25">
      <c r="A38" t="s">
        <v>186</v>
      </c>
      <c r="B38">
        <v>24060124120016</v>
      </c>
      <c r="C38" t="s">
        <v>187</v>
      </c>
      <c r="F38" t="s">
        <v>188</v>
      </c>
      <c r="G38">
        <v>83.33</v>
      </c>
      <c r="H38">
        <v>78.209999999999994</v>
      </c>
      <c r="I38">
        <v>87.5</v>
      </c>
      <c r="J38">
        <v>66.67</v>
      </c>
      <c r="K38">
        <v>100</v>
      </c>
      <c r="L38">
        <f t="shared" si="0"/>
        <v>83.141999999999996</v>
      </c>
    </row>
    <row r="39" spans="1:12" x14ac:dyDescent="0.25">
      <c r="A39" t="s">
        <v>191</v>
      </c>
      <c r="B39">
        <v>24060124120010</v>
      </c>
      <c r="C39" t="s">
        <v>192</v>
      </c>
      <c r="F39" t="s">
        <v>193</v>
      </c>
      <c r="G39">
        <v>75</v>
      </c>
      <c r="H39">
        <v>88.46</v>
      </c>
      <c r="I39">
        <v>100</v>
      </c>
      <c r="J39">
        <v>90</v>
      </c>
      <c r="K39">
        <v>95</v>
      </c>
      <c r="L39">
        <f t="shared" si="0"/>
        <v>89.691999999999993</v>
      </c>
    </row>
    <row r="40" spans="1:12" x14ac:dyDescent="0.25">
      <c r="L40">
        <f t="shared" si="0"/>
        <v>0</v>
      </c>
    </row>
    <row r="41" spans="1:12" x14ac:dyDescent="0.25">
      <c r="A41" t="s">
        <v>198</v>
      </c>
      <c r="B41">
        <v>24060124140163</v>
      </c>
      <c r="C41" t="s">
        <v>199</v>
      </c>
      <c r="F41" t="s">
        <v>200</v>
      </c>
      <c r="G41" t="s">
        <v>44</v>
      </c>
      <c r="H41">
        <v>46.15</v>
      </c>
      <c r="I41">
        <v>62.5</v>
      </c>
      <c r="J41">
        <v>50</v>
      </c>
      <c r="K41">
        <v>60</v>
      </c>
      <c r="L41">
        <f t="shared" si="0"/>
        <v>43.730000000000004</v>
      </c>
    </row>
    <row r="42" spans="1:12" x14ac:dyDescent="0.25">
      <c r="A42" t="s">
        <v>203</v>
      </c>
      <c r="B42">
        <v>24060124140188</v>
      </c>
      <c r="C42" t="s">
        <v>204</v>
      </c>
      <c r="F42" t="s">
        <v>205</v>
      </c>
      <c r="G42">
        <v>58.33</v>
      </c>
      <c r="H42">
        <v>86.54</v>
      </c>
      <c r="I42">
        <v>87.5</v>
      </c>
      <c r="J42">
        <v>63.33</v>
      </c>
      <c r="K42">
        <v>80</v>
      </c>
      <c r="L42">
        <f t="shared" si="0"/>
        <v>75.14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workbookViewId="0"/>
  </sheetViews>
  <sheetFormatPr defaultRowHeight="15" x14ac:dyDescent="0.25"/>
  <sheetData>
    <row r="1" spans="1:1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 x14ac:dyDescent="0.25">
      <c r="A2" t="s">
        <v>206</v>
      </c>
      <c r="B2">
        <v>24060122120026</v>
      </c>
      <c r="C2" t="s">
        <v>207</v>
      </c>
      <c r="F2" t="s">
        <v>208</v>
      </c>
      <c r="G2">
        <v>75</v>
      </c>
      <c r="H2" t="s">
        <v>44</v>
      </c>
      <c r="I2" t="s">
        <v>44</v>
      </c>
      <c r="J2" t="s">
        <v>44</v>
      </c>
      <c r="K2" t="s">
        <v>44</v>
      </c>
      <c r="L2">
        <v>50</v>
      </c>
      <c r="M2">
        <v>2.89</v>
      </c>
      <c r="N2">
        <v>77.33</v>
      </c>
      <c r="O2">
        <v>1782748444</v>
      </c>
    </row>
    <row r="3" spans="1:15" x14ac:dyDescent="0.25">
      <c r="A3" t="s">
        <v>209</v>
      </c>
      <c r="B3">
        <v>24060122140178</v>
      </c>
      <c r="C3" t="s">
        <v>210</v>
      </c>
      <c r="F3" t="s">
        <v>211</v>
      </c>
      <c r="G3" t="s">
        <v>44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>
        <v>1782748444</v>
      </c>
    </row>
    <row r="4" spans="1:15" x14ac:dyDescent="0.25">
      <c r="A4" t="s">
        <v>212</v>
      </c>
      <c r="B4">
        <v>24060123120043</v>
      </c>
      <c r="C4" t="s">
        <v>213</v>
      </c>
      <c r="F4" t="s">
        <v>214</v>
      </c>
      <c r="G4">
        <v>58.33</v>
      </c>
      <c r="H4">
        <v>78.209999999999994</v>
      </c>
      <c r="I4">
        <v>62.5</v>
      </c>
      <c r="J4">
        <v>60</v>
      </c>
      <c r="K4" t="s">
        <v>44</v>
      </c>
      <c r="L4">
        <v>60</v>
      </c>
      <c r="M4">
        <v>9.18</v>
      </c>
      <c r="N4">
        <v>92</v>
      </c>
      <c r="O4">
        <v>1782748444</v>
      </c>
    </row>
    <row r="5" spans="1:15" x14ac:dyDescent="0.25">
      <c r="A5" t="s">
        <v>215</v>
      </c>
      <c r="B5">
        <v>24060123130055</v>
      </c>
      <c r="C5" t="s">
        <v>216</v>
      </c>
      <c r="F5" t="s">
        <v>217</v>
      </c>
      <c r="G5">
        <v>25</v>
      </c>
      <c r="H5">
        <v>73.08</v>
      </c>
      <c r="I5">
        <v>100</v>
      </c>
      <c r="J5">
        <v>73.33</v>
      </c>
      <c r="K5" t="s">
        <v>44</v>
      </c>
      <c r="L5">
        <v>80</v>
      </c>
      <c r="M5" t="s">
        <v>44</v>
      </c>
      <c r="N5" t="s">
        <v>44</v>
      </c>
      <c r="O5">
        <v>1782748444</v>
      </c>
    </row>
    <row r="6" spans="1:15" x14ac:dyDescent="0.25">
      <c r="A6" t="s">
        <v>218</v>
      </c>
      <c r="B6">
        <v>24060123130099</v>
      </c>
      <c r="C6" t="s">
        <v>219</v>
      </c>
      <c r="F6" t="s">
        <v>220</v>
      </c>
      <c r="G6">
        <v>58.33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>
        <v>1782748444</v>
      </c>
    </row>
    <row r="7" spans="1:15" x14ac:dyDescent="0.25">
      <c r="A7" t="s">
        <v>221</v>
      </c>
      <c r="B7">
        <v>24060123140063</v>
      </c>
      <c r="C7" t="s">
        <v>222</v>
      </c>
      <c r="F7" t="s">
        <v>223</v>
      </c>
      <c r="G7">
        <v>50</v>
      </c>
      <c r="H7">
        <v>61.54</v>
      </c>
      <c r="I7">
        <v>87.5</v>
      </c>
      <c r="J7">
        <v>53.33</v>
      </c>
      <c r="K7" t="s">
        <v>44</v>
      </c>
      <c r="L7">
        <v>55</v>
      </c>
      <c r="M7" t="s">
        <v>44</v>
      </c>
      <c r="N7" t="s">
        <v>44</v>
      </c>
      <c r="O7">
        <v>1782748444</v>
      </c>
    </row>
    <row r="8" spans="1:15" x14ac:dyDescent="0.25">
      <c r="A8" t="s">
        <v>224</v>
      </c>
      <c r="B8">
        <v>24060123140132</v>
      </c>
      <c r="C8" t="s">
        <v>225</v>
      </c>
      <c r="F8" t="s">
        <v>226</v>
      </c>
      <c r="G8">
        <v>58.33</v>
      </c>
      <c r="H8">
        <v>73.72</v>
      </c>
      <c r="I8">
        <v>87.5</v>
      </c>
      <c r="J8">
        <v>40</v>
      </c>
      <c r="K8" t="s">
        <v>44</v>
      </c>
      <c r="L8">
        <v>90</v>
      </c>
      <c r="M8" t="s">
        <v>44</v>
      </c>
      <c r="N8">
        <v>85</v>
      </c>
      <c r="O8">
        <v>1782748444</v>
      </c>
    </row>
    <row r="9" spans="1:15" x14ac:dyDescent="0.25">
      <c r="A9" t="s">
        <v>227</v>
      </c>
      <c r="B9">
        <v>24060123140156</v>
      </c>
      <c r="C9" t="s">
        <v>228</v>
      </c>
      <c r="F9" t="s">
        <v>229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>
        <v>100</v>
      </c>
      <c r="M9">
        <v>9.69</v>
      </c>
      <c r="N9">
        <v>94</v>
      </c>
      <c r="O9">
        <v>1782748444</v>
      </c>
    </row>
    <row r="10" spans="1:15" x14ac:dyDescent="0.25">
      <c r="A10" t="s">
        <v>230</v>
      </c>
      <c r="B10">
        <v>24060123140190</v>
      </c>
      <c r="C10" t="s">
        <v>231</v>
      </c>
      <c r="F10" t="s">
        <v>232</v>
      </c>
      <c r="G10">
        <v>75</v>
      </c>
      <c r="H10">
        <v>78.209999999999994</v>
      </c>
      <c r="I10">
        <v>75</v>
      </c>
      <c r="J10">
        <v>60</v>
      </c>
      <c r="K10" t="s">
        <v>44</v>
      </c>
      <c r="L10">
        <v>95</v>
      </c>
      <c r="M10" t="s">
        <v>44</v>
      </c>
      <c r="N10">
        <v>88</v>
      </c>
      <c r="O10">
        <v>1782748444</v>
      </c>
    </row>
    <row r="11" spans="1:15" x14ac:dyDescent="0.25">
      <c r="A11" t="s">
        <v>233</v>
      </c>
      <c r="B11">
        <v>24060123140191</v>
      </c>
      <c r="C11" t="s">
        <v>234</v>
      </c>
      <c r="F11" t="s">
        <v>235</v>
      </c>
      <c r="G11">
        <v>25</v>
      </c>
      <c r="H11">
        <v>84.62</v>
      </c>
      <c r="I11">
        <v>100</v>
      </c>
      <c r="J11">
        <v>56.67</v>
      </c>
      <c r="K11" t="s">
        <v>44</v>
      </c>
      <c r="L11">
        <v>100</v>
      </c>
      <c r="M11" t="s">
        <v>44</v>
      </c>
      <c r="N11" t="s">
        <v>44</v>
      </c>
      <c r="O11">
        <v>1782748444</v>
      </c>
    </row>
    <row r="12" spans="1:15" x14ac:dyDescent="0.25">
      <c r="A12" t="s">
        <v>134</v>
      </c>
      <c r="B12">
        <v>24060124110142</v>
      </c>
      <c r="C12" t="s">
        <v>135</v>
      </c>
      <c r="F12" t="s">
        <v>136</v>
      </c>
      <c r="G12">
        <v>75</v>
      </c>
      <c r="H12">
        <v>85.9</v>
      </c>
      <c r="I12">
        <v>100</v>
      </c>
      <c r="J12">
        <v>93.33</v>
      </c>
      <c r="K12" t="s">
        <v>44</v>
      </c>
      <c r="L12">
        <v>100</v>
      </c>
      <c r="M12">
        <v>9.36</v>
      </c>
      <c r="N12">
        <v>96</v>
      </c>
      <c r="O12">
        <v>1782748444</v>
      </c>
    </row>
    <row r="13" spans="1:15" x14ac:dyDescent="0.25">
      <c r="A13" t="s">
        <v>164</v>
      </c>
      <c r="B13">
        <v>24060124120006</v>
      </c>
      <c r="C13" t="s">
        <v>165</v>
      </c>
      <c r="F13" t="s">
        <v>166</v>
      </c>
      <c r="G13">
        <v>58.33</v>
      </c>
      <c r="H13">
        <v>88.46</v>
      </c>
      <c r="I13">
        <v>87.5</v>
      </c>
      <c r="J13">
        <v>66.67</v>
      </c>
      <c r="K13" t="s">
        <v>44</v>
      </c>
      <c r="L13">
        <v>100</v>
      </c>
      <c r="M13" t="s">
        <v>44</v>
      </c>
      <c r="N13">
        <v>96</v>
      </c>
      <c r="O13">
        <v>1782748444</v>
      </c>
    </row>
    <row r="14" spans="1:15" x14ac:dyDescent="0.25">
      <c r="A14" t="s">
        <v>191</v>
      </c>
      <c r="B14">
        <v>24060124120010</v>
      </c>
      <c r="C14" t="s">
        <v>192</v>
      </c>
      <c r="F14" t="s">
        <v>193</v>
      </c>
      <c r="G14">
        <v>75</v>
      </c>
      <c r="H14">
        <v>88.46</v>
      </c>
      <c r="I14">
        <v>100</v>
      </c>
      <c r="J14">
        <v>90</v>
      </c>
      <c r="K14" t="s">
        <v>44</v>
      </c>
      <c r="L14">
        <v>95</v>
      </c>
      <c r="M14">
        <v>9.2799999999999994</v>
      </c>
      <c r="N14">
        <v>95</v>
      </c>
      <c r="O14">
        <v>1782748444</v>
      </c>
    </row>
    <row r="15" spans="1:15" x14ac:dyDescent="0.25">
      <c r="A15" t="s">
        <v>52</v>
      </c>
      <c r="B15">
        <v>24060124120012</v>
      </c>
      <c r="C15" t="s">
        <v>53</v>
      </c>
      <c r="F15" t="s">
        <v>54</v>
      </c>
      <c r="G15">
        <v>75</v>
      </c>
      <c r="H15">
        <v>73.08</v>
      </c>
      <c r="I15">
        <v>100</v>
      </c>
      <c r="J15">
        <v>60</v>
      </c>
      <c r="K15" t="s">
        <v>44</v>
      </c>
      <c r="L15">
        <v>95</v>
      </c>
      <c r="M15">
        <v>9.41</v>
      </c>
      <c r="N15">
        <v>94</v>
      </c>
      <c r="O15">
        <v>1782748444</v>
      </c>
    </row>
    <row r="16" spans="1:15" x14ac:dyDescent="0.25">
      <c r="A16" t="s">
        <v>139</v>
      </c>
      <c r="B16">
        <v>24060124120013</v>
      </c>
      <c r="C16" t="s">
        <v>140</v>
      </c>
      <c r="F16" t="s">
        <v>141</v>
      </c>
      <c r="G16">
        <v>66.67</v>
      </c>
      <c r="H16">
        <v>65.38</v>
      </c>
      <c r="I16">
        <v>87.5</v>
      </c>
      <c r="J16">
        <v>60</v>
      </c>
      <c r="K16" t="s">
        <v>44</v>
      </c>
      <c r="L16">
        <v>100</v>
      </c>
      <c r="M16">
        <v>9.18</v>
      </c>
      <c r="N16">
        <v>93</v>
      </c>
      <c r="O16">
        <v>1782748444</v>
      </c>
    </row>
    <row r="17" spans="1:15" x14ac:dyDescent="0.25">
      <c r="A17" t="s">
        <v>72</v>
      </c>
      <c r="B17">
        <v>24060124120015</v>
      </c>
      <c r="C17" t="s">
        <v>73</v>
      </c>
      <c r="F17" t="s">
        <v>74</v>
      </c>
      <c r="G17">
        <v>58.33</v>
      </c>
      <c r="H17">
        <v>52.24</v>
      </c>
      <c r="I17">
        <v>37.5</v>
      </c>
      <c r="J17">
        <v>40</v>
      </c>
      <c r="K17" t="s">
        <v>44</v>
      </c>
      <c r="L17">
        <v>90</v>
      </c>
      <c r="M17" t="s">
        <v>44</v>
      </c>
      <c r="N17">
        <v>83</v>
      </c>
      <c r="O17">
        <v>1782748444</v>
      </c>
    </row>
    <row r="18" spans="1:15" x14ac:dyDescent="0.25">
      <c r="A18" t="s">
        <v>186</v>
      </c>
      <c r="B18">
        <v>24060124120016</v>
      </c>
      <c r="C18" t="s">
        <v>187</v>
      </c>
      <c r="F18" t="s">
        <v>188</v>
      </c>
      <c r="G18">
        <v>83.33</v>
      </c>
      <c r="H18">
        <v>78.209999999999994</v>
      </c>
      <c r="I18">
        <v>87.5</v>
      </c>
      <c r="J18">
        <v>66.67</v>
      </c>
      <c r="K18" t="s">
        <v>44</v>
      </c>
      <c r="L18">
        <v>100</v>
      </c>
      <c r="M18">
        <v>7.11</v>
      </c>
      <c r="N18">
        <v>97</v>
      </c>
      <c r="O18">
        <v>1782748444</v>
      </c>
    </row>
    <row r="19" spans="1:15" x14ac:dyDescent="0.25">
      <c r="A19" t="s">
        <v>144</v>
      </c>
      <c r="B19">
        <v>24060124120019</v>
      </c>
      <c r="C19" t="s">
        <v>145</v>
      </c>
      <c r="F19" t="s">
        <v>146</v>
      </c>
      <c r="G19">
        <v>83.33</v>
      </c>
      <c r="H19">
        <v>76.92</v>
      </c>
      <c r="I19">
        <v>87.5</v>
      </c>
      <c r="J19">
        <v>76.67</v>
      </c>
      <c r="K19" t="s">
        <v>44</v>
      </c>
      <c r="L19">
        <v>90</v>
      </c>
      <c r="M19">
        <v>9.69</v>
      </c>
      <c r="N19">
        <v>98</v>
      </c>
      <c r="O19">
        <v>1782748444</v>
      </c>
    </row>
    <row r="20" spans="1:15" x14ac:dyDescent="0.25">
      <c r="A20" t="s">
        <v>77</v>
      </c>
      <c r="B20">
        <v>24060124120020</v>
      </c>
      <c r="C20" t="s">
        <v>78</v>
      </c>
      <c r="F20" t="s">
        <v>79</v>
      </c>
      <c r="G20">
        <v>66.67</v>
      </c>
      <c r="H20">
        <v>73.08</v>
      </c>
      <c r="I20">
        <v>75</v>
      </c>
      <c r="J20">
        <v>63.33</v>
      </c>
      <c r="K20" t="s">
        <v>44</v>
      </c>
      <c r="L20">
        <v>80</v>
      </c>
      <c r="M20" t="s">
        <v>44</v>
      </c>
      <c r="N20">
        <v>95</v>
      </c>
      <c r="O20">
        <v>1782748444</v>
      </c>
    </row>
    <row r="21" spans="1:15" x14ac:dyDescent="0.25">
      <c r="A21" t="s">
        <v>57</v>
      </c>
      <c r="B21">
        <v>24060124120026</v>
      </c>
      <c r="C21" t="s">
        <v>58</v>
      </c>
      <c r="F21" t="s">
        <v>59</v>
      </c>
      <c r="G21">
        <v>83.33</v>
      </c>
      <c r="H21">
        <v>81.73</v>
      </c>
      <c r="I21">
        <v>87.5</v>
      </c>
      <c r="J21">
        <v>93.33</v>
      </c>
      <c r="K21" t="s">
        <v>44</v>
      </c>
      <c r="L21">
        <v>100</v>
      </c>
      <c r="M21">
        <v>9.69</v>
      </c>
      <c r="N21">
        <v>100</v>
      </c>
      <c r="O21">
        <v>1782748444</v>
      </c>
    </row>
    <row r="22" spans="1:15" x14ac:dyDescent="0.25">
      <c r="A22" t="s">
        <v>114</v>
      </c>
      <c r="B22">
        <v>24060124120047</v>
      </c>
      <c r="C22" t="s">
        <v>115</v>
      </c>
      <c r="F22" t="s">
        <v>116</v>
      </c>
      <c r="G22">
        <v>58.33</v>
      </c>
      <c r="H22">
        <v>79.489999999999995</v>
      </c>
      <c r="I22">
        <v>87.5</v>
      </c>
      <c r="J22">
        <v>86.67</v>
      </c>
      <c r="K22" t="s">
        <v>44</v>
      </c>
      <c r="L22">
        <v>80</v>
      </c>
      <c r="M22">
        <v>9.59</v>
      </c>
      <c r="N22">
        <v>94</v>
      </c>
      <c r="O22">
        <v>1782748444</v>
      </c>
    </row>
    <row r="23" spans="1:15" x14ac:dyDescent="0.25">
      <c r="A23" t="s">
        <v>169</v>
      </c>
      <c r="B23">
        <v>24060124130053</v>
      </c>
      <c r="C23" t="s">
        <v>170</v>
      </c>
      <c r="F23" t="s">
        <v>171</v>
      </c>
      <c r="G23">
        <v>66.67</v>
      </c>
      <c r="H23">
        <v>42.31</v>
      </c>
      <c r="I23">
        <v>75</v>
      </c>
      <c r="J23">
        <v>80</v>
      </c>
      <c r="K23" t="s">
        <v>44</v>
      </c>
      <c r="L23">
        <v>45</v>
      </c>
      <c r="M23" t="s">
        <v>44</v>
      </c>
      <c r="N23">
        <v>78</v>
      </c>
      <c r="O23">
        <v>1782748444</v>
      </c>
    </row>
    <row r="24" spans="1:15" x14ac:dyDescent="0.25">
      <c r="A24" t="s">
        <v>236</v>
      </c>
      <c r="B24">
        <v>24060124130055</v>
      </c>
      <c r="C24" t="s">
        <v>237</v>
      </c>
      <c r="F24" t="s">
        <v>238</v>
      </c>
      <c r="G24">
        <v>75</v>
      </c>
      <c r="H24">
        <v>88.46</v>
      </c>
      <c r="I24">
        <v>100</v>
      </c>
      <c r="J24">
        <v>80</v>
      </c>
      <c r="K24" t="s">
        <v>44</v>
      </c>
      <c r="L24" t="s">
        <v>44</v>
      </c>
      <c r="M24" t="s">
        <v>44</v>
      </c>
      <c r="N24" t="s">
        <v>44</v>
      </c>
      <c r="O24">
        <v>1782748444</v>
      </c>
    </row>
    <row r="25" spans="1:15" x14ac:dyDescent="0.25">
      <c r="A25" t="s">
        <v>82</v>
      </c>
      <c r="B25">
        <v>24060124130061</v>
      </c>
      <c r="C25" t="s">
        <v>83</v>
      </c>
      <c r="F25" t="s">
        <v>84</v>
      </c>
      <c r="G25">
        <v>41.67</v>
      </c>
      <c r="H25">
        <v>71.150000000000006</v>
      </c>
      <c r="I25">
        <v>50</v>
      </c>
      <c r="J25">
        <v>60</v>
      </c>
      <c r="K25" t="s">
        <v>44</v>
      </c>
      <c r="L25">
        <v>85</v>
      </c>
      <c r="M25">
        <v>7.87</v>
      </c>
      <c r="N25">
        <v>85</v>
      </c>
      <c r="O25">
        <v>1782748444</v>
      </c>
    </row>
    <row r="26" spans="1:15" x14ac:dyDescent="0.25">
      <c r="A26" t="s">
        <v>174</v>
      </c>
      <c r="B26">
        <v>24060124130064</v>
      </c>
      <c r="C26" t="s">
        <v>175</v>
      </c>
      <c r="F26" t="s">
        <v>176</v>
      </c>
      <c r="G26">
        <v>66.67</v>
      </c>
      <c r="H26">
        <v>84.62</v>
      </c>
      <c r="I26">
        <v>87.5</v>
      </c>
      <c r="J26">
        <v>66.67</v>
      </c>
      <c r="K26" t="s">
        <v>44</v>
      </c>
      <c r="L26">
        <v>100</v>
      </c>
      <c r="M26">
        <v>9.48</v>
      </c>
      <c r="N26">
        <v>97</v>
      </c>
      <c r="O26">
        <v>1782748444</v>
      </c>
    </row>
    <row r="27" spans="1:15" x14ac:dyDescent="0.25">
      <c r="A27" t="s">
        <v>104</v>
      </c>
      <c r="B27">
        <v>24060124130067</v>
      </c>
      <c r="C27" t="s">
        <v>105</v>
      </c>
      <c r="F27" t="s">
        <v>106</v>
      </c>
      <c r="G27">
        <v>83.33</v>
      </c>
      <c r="H27">
        <v>26.92</v>
      </c>
      <c r="I27">
        <v>87.5</v>
      </c>
      <c r="J27">
        <v>86.67</v>
      </c>
      <c r="K27" t="s">
        <v>44</v>
      </c>
      <c r="L27">
        <v>80</v>
      </c>
      <c r="M27" t="s">
        <v>44</v>
      </c>
      <c r="N27">
        <v>94</v>
      </c>
      <c r="O27">
        <v>1782748444</v>
      </c>
    </row>
    <row r="28" spans="1:15" x14ac:dyDescent="0.25">
      <c r="A28" t="s">
        <v>41</v>
      </c>
      <c r="B28">
        <v>24060124130086</v>
      </c>
      <c r="C28" t="s">
        <v>42</v>
      </c>
      <c r="F28" t="s">
        <v>43</v>
      </c>
      <c r="G28">
        <v>58.33</v>
      </c>
      <c r="H28">
        <v>84.62</v>
      </c>
      <c r="I28">
        <v>87.5</v>
      </c>
      <c r="J28">
        <v>76.67</v>
      </c>
      <c r="K28" t="s">
        <v>44</v>
      </c>
      <c r="L28">
        <v>75</v>
      </c>
      <c r="M28">
        <v>8.0399999999999991</v>
      </c>
      <c r="N28">
        <v>87</v>
      </c>
      <c r="O28">
        <v>1782748444</v>
      </c>
    </row>
    <row r="29" spans="1:15" x14ac:dyDescent="0.25">
      <c r="A29" t="s">
        <v>119</v>
      </c>
      <c r="B29">
        <v>24060124130097</v>
      </c>
      <c r="C29" t="s">
        <v>120</v>
      </c>
      <c r="F29" t="s">
        <v>121</v>
      </c>
      <c r="G29">
        <v>75</v>
      </c>
      <c r="H29">
        <v>60.26</v>
      </c>
      <c r="I29">
        <v>75</v>
      </c>
      <c r="J29">
        <v>60</v>
      </c>
      <c r="K29" t="s">
        <v>44</v>
      </c>
      <c r="L29">
        <v>85</v>
      </c>
      <c r="M29">
        <v>3.51</v>
      </c>
      <c r="N29">
        <v>87</v>
      </c>
      <c r="O29">
        <v>1782748444</v>
      </c>
    </row>
    <row r="30" spans="1:15" x14ac:dyDescent="0.25">
      <c r="A30" t="s">
        <v>124</v>
      </c>
      <c r="B30">
        <v>24060124130113</v>
      </c>
      <c r="C30" t="s">
        <v>125</v>
      </c>
      <c r="F30" t="s">
        <v>126</v>
      </c>
      <c r="G30">
        <v>75</v>
      </c>
      <c r="H30" t="s">
        <v>44</v>
      </c>
      <c r="I30" t="s">
        <v>44</v>
      </c>
      <c r="J30" t="s">
        <v>44</v>
      </c>
      <c r="K30" t="s">
        <v>44</v>
      </c>
      <c r="L30">
        <v>85</v>
      </c>
      <c r="M30" t="s">
        <v>44</v>
      </c>
      <c r="N30">
        <v>95</v>
      </c>
      <c r="O30">
        <v>1782748444</v>
      </c>
    </row>
    <row r="31" spans="1:15" x14ac:dyDescent="0.25">
      <c r="A31" t="s">
        <v>87</v>
      </c>
      <c r="B31">
        <v>24060124130115</v>
      </c>
      <c r="C31" t="s">
        <v>88</v>
      </c>
      <c r="F31" t="s">
        <v>89</v>
      </c>
      <c r="G31">
        <v>58.33</v>
      </c>
      <c r="H31">
        <v>68.91</v>
      </c>
      <c r="I31">
        <v>87.5</v>
      </c>
      <c r="J31">
        <v>80</v>
      </c>
      <c r="K31" t="s">
        <v>44</v>
      </c>
      <c r="L31">
        <v>100</v>
      </c>
      <c r="M31">
        <v>8.59</v>
      </c>
      <c r="N31">
        <v>78</v>
      </c>
      <c r="O31">
        <v>1782748444</v>
      </c>
    </row>
    <row r="32" spans="1:15" x14ac:dyDescent="0.25">
      <c r="A32" t="s">
        <v>47</v>
      </c>
      <c r="B32">
        <v>24060124140124</v>
      </c>
      <c r="C32" t="s">
        <v>48</v>
      </c>
      <c r="F32" t="s">
        <v>49</v>
      </c>
      <c r="G32">
        <v>75</v>
      </c>
      <c r="H32">
        <v>62.82</v>
      </c>
      <c r="I32">
        <v>62.5</v>
      </c>
      <c r="J32">
        <v>53.33</v>
      </c>
      <c r="K32" t="s">
        <v>44</v>
      </c>
      <c r="L32">
        <v>85</v>
      </c>
      <c r="M32">
        <v>9.69</v>
      </c>
      <c r="N32">
        <v>93</v>
      </c>
      <c r="O32">
        <v>1782748444</v>
      </c>
    </row>
    <row r="33" spans="1:15" x14ac:dyDescent="0.25">
      <c r="A33" t="s">
        <v>92</v>
      </c>
      <c r="B33">
        <v>24060124140125</v>
      </c>
      <c r="C33" t="s">
        <v>93</v>
      </c>
      <c r="F33" t="s">
        <v>94</v>
      </c>
      <c r="G33">
        <v>58.33</v>
      </c>
      <c r="H33">
        <v>92.31</v>
      </c>
      <c r="I33">
        <v>100</v>
      </c>
      <c r="J33">
        <v>76.67</v>
      </c>
      <c r="K33" t="s">
        <v>44</v>
      </c>
      <c r="L33">
        <v>95</v>
      </c>
      <c r="M33">
        <v>9.3800000000000008</v>
      </c>
      <c r="N33">
        <v>95</v>
      </c>
      <c r="O33">
        <v>1782748444</v>
      </c>
    </row>
    <row r="34" spans="1:15" x14ac:dyDescent="0.25">
      <c r="A34" t="s">
        <v>129</v>
      </c>
      <c r="B34">
        <v>24060124140131</v>
      </c>
      <c r="C34" t="s">
        <v>130</v>
      </c>
      <c r="F34" t="s">
        <v>131</v>
      </c>
      <c r="G34">
        <v>66.67</v>
      </c>
      <c r="H34">
        <v>49.36</v>
      </c>
      <c r="I34">
        <v>50</v>
      </c>
      <c r="J34">
        <v>50</v>
      </c>
      <c r="K34" t="s">
        <v>44</v>
      </c>
      <c r="L34">
        <v>80</v>
      </c>
      <c r="M34">
        <v>8.8699999999999992</v>
      </c>
      <c r="N34">
        <v>91</v>
      </c>
      <c r="O34">
        <v>1782748444</v>
      </c>
    </row>
    <row r="35" spans="1:15" x14ac:dyDescent="0.25">
      <c r="A35" t="s">
        <v>97</v>
      </c>
      <c r="B35">
        <v>24060124140134</v>
      </c>
      <c r="C35" t="s">
        <v>98</v>
      </c>
      <c r="F35" t="s">
        <v>99</v>
      </c>
      <c r="G35">
        <v>41.67</v>
      </c>
      <c r="H35">
        <v>78.209999999999994</v>
      </c>
      <c r="I35">
        <v>87.5</v>
      </c>
      <c r="J35">
        <v>66.67</v>
      </c>
      <c r="K35" t="s">
        <v>44</v>
      </c>
      <c r="L35">
        <v>90</v>
      </c>
      <c r="M35">
        <v>7.73</v>
      </c>
      <c r="N35">
        <v>95</v>
      </c>
      <c r="O35">
        <v>1782748444</v>
      </c>
    </row>
    <row r="36" spans="1:15" x14ac:dyDescent="0.25">
      <c r="A36" t="s">
        <v>62</v>
      </c>
      <c r="B36">
        <v>24060124140137</v>
      </c>
      <c r="C36" t="s">
        <v>63</v>
      </c>
      <c r="F36" t="s">
        <v>64</v>
      </c>
      <c r="G36">
        <v>83.33</v>
      </c>
      <c r="H36">
        <v>82.05</v>
      </c>
      <c r="I36">
        <v>100</v>
      </c>
      <c r="J36">
        <v>80</v>
      </c>
      <c r="K36" t="s">
        <v>44</v>
      </c>
      <c r="L36">
        <v>85</v>
      </c>
      <c r="M36">
        <v>8.69</v>
      </c>
      <c r="N36">
        <v>86</v>
      </c>
      <c r="O36">
        <v>1782748444</v>
      </c>
    </row>
    <row r="37" spans="1:15" x14ac:dyDescent="0.25">
      <c r="A37" t="s">
        <v>149</v>
      </c>
      <c r="B37">
        <v>24060124140139</v>
      </c>
      <c r="C37" t="s">
        <v>150</v>
      </c>
      <c r="F37" t="s">
        <v>151</v>
      </c>
      <c r="G37">
        <v>58.33</v>
      </c>
      <c r="H37">
        <v>72.760000000000005</v>
      </c>
      <c r="I37">
        <v>75</v>
      </c>
      <c r="J37">
        <v>53.33</v>
      </c>
      <c r="K37" t="s">
        <v>44</v>
      </c>
      <c r="L37">
        <v>75</v>
      </c>
      <c r="M37">
        <v>9.2799999999999994</v>
      </c>
      <c r="N37">
        <v>94</v>
      </c>
      <c r="O37">
        <v>1782748444</v>
      </c>
    </row>
    <row r="38" spans="1:15" x14ac:dyDescent="0.25">
      <c r="A38" t="s">
        <v>239</v>
      </c>
      <c r="B38">
        <v>24060124140151</v>
      </c>
      <c r="C38" t="s">
        <v>240</v>
      </c>
      <c r="F38" t="s">
        <v>241</v>
      </c>
      <c r="G38" t="s">
        <v>44</v>
      </c>
      <c r="H38">
        <v>75</v>
      </c>
      <c r="I38">
        <v>100</v>
      </c>
      <c r="J38">
        <v>53.33</v>
      </c>
      <c r="K38" t="s">
        <v>44</v>
      </c>
      <c r="L38" t="s">
        <v>44</v>
      </c>
      <c r="M38">
        <v>3.71</v>
      </c>
      <c r="N38">
        <v>86</v>
      </c>
      <c r="O38">
        <v>1782748444</v>
      </c>
    </row>
    <row r="39" spans="1:15" x14ac:dyDescent="0.25">
      <c r="A39" t="s">
        <v>198</v>
      </c>
      <c r="B39">
        <v>24060124140163</v>
      </c>
      <c r="C39" t="s">
        <v>199</v>
      </c>
      <c r="F39" t="s">
        <v>200</v>
      </c>
      <c r="G39" t="s">
        <v>44</v>
      </c>
      <c r="H39">
        <v>46.15</v>
      </c>
      <c r="I39">
        <v>62.5</v>
      </c>
      <c r="J39">
        <v>50</v>
      </c>
      <c r="K39" t="s">
        <v>44</v>
      </c>
      <c r="L39">
        <v>60</v>
      </c>
      <c r="M39">
        <v>9.3800000000000008</v>
      </c>
      <c r="N39">
        <v>98</v>
      </c>
      <c r="O39">
        <v>1782748444</v>
      </c>
    </row>
    <row r="40" spans="1:15" x14ac:dyDescent="0.25">
      <c r="A40" t="s">
        <v>154</v>
      </c>
      <c r="B40">
        <v>24060124140166</v>
      </c>
      <c r="C40" t="s">
        <v>155</v>
      </c>
      <c r="F40" t="s">
        <v>156</v>
      </c>
      <c r="G40">
        <v>75</v>
      </c>
      <c r="H40">
        <v>88.46</v>
      </c>
      <c r="I40">
        <v>75</v>
      </c>
      <c r="J40">
        <v>80</v>
      </c>
      <c r="K40" t="s">
        <v>44</v>
      </c>
      <c r="L40">
        <v>100</v>
      </c>
      <c r="M40">
        <v>1.34</v>
      </c>
      <c r="N40">
        <v>96</v>
      </c>
      <c r="O40">
        <v>1782748444</v>
      </c>
    </row>
    <row r="41" spans="1:15" x14ac:dyDescent="0.25">
      <c r="A41" t="s">
        <v>67</v>
      </c>
      <c r="B41">
        <v>24060124140169</v>
      </c>
      <c r="C41" t="s">
        <v>68</v>
      </c>
      <c r="F41" t="s">
        <v>69</v>
      </c>
      <c r="G41">
        <v>83.33</v>
      </c>
      <c r="H41">
        <v>71.150000000000006</v>
      </c>
      <c r="I41">
        <v>87.5</v>
      </c>
      <c r="J41">
        <v>70</v>
      </c>
      <c r="K41" t="s">
        <v>44</v>
      </c>
      <c r="L41">
        <v>85</v>
      </c>
      <c r="M41">
        <v>6.48</v>
      </c>
      <c r="N41">
        <v>88.33</v>
      </c>
      <c r="O41">
        <v>1782748444</v>
      </c>
    </row>
    <row r="42" spans="1:15" x14ac:dyDescent="0.25">
      <c r="A42" t="s">
        <v>109</v>
      </c>
      <c r="B42">
        <v>24060124140175</v>
      </c>
      <c r="C42" t="s">
        <v>110</v>
      </c>
      <c r="F42" t="s">
        <v>111</v>
      </c>
      <c r="G42">
        <v>50</v>
      </c>
      <c r="H42">
        <v>93.59</v>
      </c>
      <c r="I42">
        <v>75</v>
      </c>
      <c r="J42">
        <v>63.33</v>
      </c>
      <c r="K42" t="s">
        <v>44</v>
      </c>
      <c r="L42" t="s">
        <v>44</v>
      </c>
      <c r="M42" t="s">
        <v>44</v>
      </c>
      <c r="N42">
        <v>86</v>
      </c>
      <c r="O42">
        <v>1782748444</v>
      </c>
    </row>
    <row r="43" spans="1:15" x14ac:dyDescent="0.25">
      <c r="A43" t="s">
        <v>242</v>
      </c>
      <c r="B43">
        <v>24060124140177</v>
      </c>
      <c r="C43" t="s">
        <v>243</v>
      </c>
      <c r="F43" t="s">
        <v>244</v>
      </c>
      <c r="G43">
        <v>75</v>
      </c>
      <c r="H43">
        <v>53.21</v>
      </c>
      <c r="I43">
        <v>62.5</v>
      </c>
      <c r="J43">
        <v>60</v>
      </c>
      <c r="K43" t="s">
        <v>44</v>
      </c>
      <c r="L43">
        <v>65</v>
      </c>
      <c r="M43" t="s">
        <v>44</v>
      </c>
      <c r="N43">
        <v>84</v>
      </c>
      <c r="O43">
        <v>1782748444</v>
      </c>
    </row>
    <row r="44" spans="1:15" x14ac:dyDescent="0.25">
      <c r="A44" t="s">
        <v>203</v>
      </c>
      <c r="B44">
        <v>24060124140188</v>
      </c>
      <c r="C44" t="s">
        <v>204</v>
      </c>
      <c r="F44" t="s">
        <v>205</v>
      </c>
      <c r="G44">
        <v>58.33</v>
      </c>
      <c r="H44">
        <v>86.54</v>
      </c>
      <c r="I44">
        <v>87.5</v>
      </c>
      <c r="J44">
        <v>63.33</v>
      </c>
      <c r="K44" t="s">
        <v>44</v>
      </c>
      <c r="L44">
        <v>80</v>
      </c>
      <c r="M44">
        <v>9.1199999999999992</v>
      </c>
      <c r="N44">
        <v>96</v>
      </c>
      <c r="O44">
        <v>1782748444</v>
      </c>
    </row>
    <row r="45" spans="1:15" x14ac:dyDescent="0.25">
      <c r="A45" t="s">
        <v>159</v>
      </c>
      <c r="B45">
        <v>24060124140200</v>
      </c>
      <c r="C45" t="s">
        <v>160</v>
      </c>
      <c r="F45" t="s">
        <v>161</v>
      </c>
      <c r="G45">
        <v>58.33</v>
      </c>
      <c r="H45">
        <v>70.510000000000005</v>
      </c>
      <c r="I45">
        <v>75</v>
      </c>
      <c r="J45">
        <v>76.67</v>
      </c>
      <c r="K45" t="s">
        <v>44</v>
      </c>
      <c r="L45">
        <v>100</v>
      </c>
      <c r="M45">
        <v>9.18</v>
      </c>
      <c r="N45">
        <v>95</v>
      </c>
      <c r="O45">
        <v>1782748444</v>
      </c>
    </row>
    <row r="46" spans="1:15" x14ac:dyDescent="0.25">
      <c r="A46" t="s">
        <v>181</v>
      </c>
      <c r="B46">
        <v>24060124140204</v>
      </c>
      <c r="C46" t="s">
        <v>182</v>
      </c>
      <c r="F46" t="s">
        <v>183</v>
      </c>
      <c r="G46">
        <v>75</v>
      </c>
      <c r="H46">
        <v>51.28</v>
      </c>
      <c r="I46">
        <v>100</v>
      </c>
      <c r="J46">
        <v>63.33</v>
      </c>
      <c r="K46" t="s">
        <v>44</v>
      </c>
      <c r="L46">
        <v>95</v>
      </c>
      <c r="M46">
        <v>9.2799999999999994</v>
      </c>
      <c r="N46">
        <v>95</v>
      </c>
      <c r="O46">
        <v>1782748444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x14ac:dyDescent="0.25">
      <c r="A1" t="s">
        <v>245</v>
      </c>
      <c r="B1" t="s">
        <v>246</v>
      </c>
    </row>
    <row r="2" spans="1:2" x14ac:dyDescent="0.25">
      <c r="A2" t="s">
        <v>247</v>
      </c>
      <c r="B2">
        <v>35</v>
      </c>
    </row>
    <row r="3" spans="1:2" x14ac:dyDescent="0.25">
      <c r="A3" t="s">
        <v>248</v>
      </c>
      <c r="B3">
        <v>32</v>
      </c>
    </row>
    <row r="4" spans="1:2" x14ac:dyDescent="0.25">
      <c r="A4" t="s">
        <v>249</v>
      </c>
      <c r="B4">
        <v>3</v>
      </c>
    </row>
    <row r="5" spans="1:2" x14ac:dyDescent="0.25">
      <c r="A5" t="s">
        <v>250</v>
      </c>
      <c r="B5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Sheet1</vt:lpstr>
      <vt:lpstr>Data_Gabungan</vt:lpstr>
      <vt:lpstr>Ringkasan_Match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HP OHS2021</cp:lastModifiedBy>
  <dcterms:created xsi:type="dcterms:W3CDTF">2026-06-29T22:52:59Z</dcterms:created>
  <dcterms:modified xsi:type="dcterms:W3CDTF">2026-06-29T16:00:12Z</dcterms:modified>
  <cp:category>Test result file</cp:category>
</cp:coreProperties>
</file>