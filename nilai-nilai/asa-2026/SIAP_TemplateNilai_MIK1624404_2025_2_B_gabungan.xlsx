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 VICTUS\Documents\Dropbox\file-penting\ASA\2026\"/>
    </mc:Choice>
  </mc:AlternateContent>
  <xr:revisionPtr revIDLastSave="0" documentId="8_{F93A412B-98A9-4BEB-AD12-DAA607170F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Data_Gabungan" sheetId="2" r:id="rId2"/>
    <sheet name="Ringkasan_Match" sheetId="3" r:id="rId3"/>
    <sheet name="Worksheet (2)" sheetId="4" r:id="rId4"/>
    <sheet name="Sheet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K9" i="1" s="1"/>
  <c r="M9" i="1" s="1"/>
  <c r="G10" i="1"/>
  <c r="K10" i="1" s="1"/>
  <c r="M10" i="1" s="1"/>
  <c r="G11" i="1"/>
  <c r="K11" i="1" s="1"/>
  <c r="L11" i="1" s="1"/>
  <c r="G12" i="1"/>
  <c r="K12" i="1" s="1"/>
  <c r="L12" i="1" s="1"/>
  <c r="G13" i="1"/>
  <c r="K13" i="1" s="1"/>
  <c r="M13" i="1" s="1"/>
  <c r="G14" i="1"/>
  <c r="K14" i="1" s="1"/>
  <c r="M14" i="1" s="1"/>
  <c r="G15" i="1"/>
  <c r="K15" i="1" s="1"/>
  <c r="M15" i="1" s="1"/>
  <c r="G16" i="1"/>
  <c r="G17" i="1"/>
  <c r="G18" i="1"/>
  <c r="G19" i="1"/>
  <c r="G20" i="1"/>
  <c r="G21" i="1"/>
  <c r="G22" i="1"/>
  <c r="G23" i="1"/>
  <c r="G24" i="1"/>
  <c r="G25" i="1"/>
  <c r="G26" i="1"/>
  <c r="K26" i="1" s="1"/>
  <c r="M26" i="1" s="1"/>
  <c r="G27" i="1"/>
  <c r="K27" i="1" s="1"/>
  <c r="M27" i="1" s="1"/>
  <c r="G28" i="1"/>
  <c r="K28" i="1" s="1"/>
  <c r="L28" i="1" s="1"/>
  <c r="G29" i="1"/>
  <c r="K29" i="1" s="1"/>
  <c r="M29" i="1" s="1"/>
  <c r="G30" i="1"/>
  <c r="K30" i="1" s="1"/>
  <c r="M30" i="1" s="1"/>
  <c r="G31" i="1"/>
  <c r="K31" i="1" s="1"/>
  <c r="M31" i="1" s="1"/>
  <c r="G32" i="1"/>
  <c r="K32" i="1" s="1"/>
  <c r="L32" i="1" s="1"/>
  <c r="G33" i="1"/>
  <c r="K33" i="1" s="1"/>
  <c r="M33" i="1" s="1"/>
  <c r="G34" i="1"/>
  <c r="K34" i="1" s="1"/>
  <c r="M34" i="1" s="1"/>
  <c r="G35" i="1"/>
  <c r="K35" i="1" s="1"/>
  <c r="M35" i="1" s="1"/>
  <c r="G36" i="1"/>
  <c r="G37" i="1"/>
  <c r="G38" i="1"/>
  <c r="G39" i="1"/>
  <c r="G40" i="1"/>
  <c r="G41" i="1"/>
  <c r="G42" i="1"/>
  <c r="G43" i="1"/>
  <c r="G8" i="1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9" i="5"/>
  <c r="L10" i="5"/>
  <c r="L11" i="5"/>
  <c r="L12" i="5"/>
  <c r="L13" i="5"/>
  <c r="L14" i="5"/>
  <c r="L15" i="5"/>
  <c r="L16" i="5"/>
  <c r="L8" i="5"/>
  <c r="K44" i="4"/>
  <c r="M44" i="4" s="1"/>
  <c r="K43" i="4"/>
  <c r="M43" i="4" s="1"/>
  <c r="K42" i="4"/>
  <c r="L42" i="4" s="1"/>
  <c r="K41" i="4"/>
  <c r="M41" i="4" s="1"/>
  <c r="L40" i="4"/>
  <c r="K40" i="4"/>
  <c r="M40" i="4" s="1"/>
  <c r="K39" i="4"/>
  <c r="M39" i="4" s="1"/>
  <c r="M38" i="4"/>
  <c r="L38" i="4"/>
  <c r="K38" i="4"/>
  <c r="K37" i="4"/>
  <c r="M37" i="4" s="1"/>
  <c r="K36" i="4"/>
  <c r="M36" i="4" s="1"/>
  <c r="K35" i="4"/>
  <c r="M35" i="4" s="1"/>
  <c r="K34" i="4"/>
  <c r="L34" i="4" s="1"/>
  <c r="K33" i="4"/>
  <c r="M33" i="4" s="1"/>
  <c r="L32" i="4"/>
  <c r="K32" i="4"/>
  <c r="M32" i="4" s="1"/>
  <c r="M31" i="4"/>
  <c r="K31" i="4"/>
  <c r="L31" i="4" s="1"/>
  <c r="K30" i="4"/>
  <c r="M30" i="4" s="1"/>
  <c r="K29" i="4"/>
  <c r="M29" i="4" s="1"/>
  <c r="K28" i="4"/>
  <c r="M28" i="4" s="1"/>
  <c r="K27" i="4"/>
  <c r="M27" i="4" s="1"/>
  <c r="K26" i="4"/>
  <c r="M26" i="4" s="1"/>
  <c r="K25" i="4"/>
  <c r="L25" i="4" s="1"/>
  <c r="K24" i="4"/>
  <c r="M24" i="4" s="1"/>
  <c r="K23" i="4"/>
  <c r="M23" i="4" s="1"/>
  <c r="K22" i="4"/>
  <c r="M22" i="4" s="1"/>
  <c r="K21" i="4"/>
  <c r="L21" i="4" s="1"/>
  <c r="K20" i="4"/>
  <c r="M20" i="4" s="1"/>
  <c r="K19" i="4"/>
  <c r="M19" i="4" s="1"/>
  <c r="M18" i="4"/>
  <c r="L18" i="4"/>
  <c r="K18" i="4"/>
  <c r="K17" i="4"/>
  <c r="M17" i="4" s="1"/>
  <c r="K16" i="4"/>
  <c r="M16" i="4" s="1"/>
  <c r="K15" i="4"/>
  <c r="M15" i="4" s="1"/>
  <c r="K14" i="4"/>
  <c r="M14" i="4" s="1"/>
  <c r="K13" i="4"/>
  <c r="M13" i="4" s="1"/>
  <c r="K12" i="4"/>
  <c r="M12" i="4" s="1"/>
  <c r="M11" i="4"/>
  <c r="K11" i="4"/>
  <c r="L11" i="4" s="1"/>
  <c r="K10" i="4"/>
  <c r="M10" i="4" s="1"/>
  <c r="K9" i="4"/>
  <c r="M9" i="4" s="1"/>
  <c r="K8" i="4"/>
  <c r="M8" i="4" s="1"/>
  <c r="K44" i="1"/>
  <c r="L44" i="1" s="1"/>
  <c r="K43" i="1"/>
  <c r="M43" i="1" s="1"/>
  <c r="K42" i="1"/>
  <c r="M42" i="1" s="1"/>
  <c r="K41" i="1"/>
  <c r="M41" i="1" s="1"/>
  <c r="K40" i="1"/>
  <c r="M40" i="1" s="1"/>
  <c r="K39" i="1"/>
  <c r="M39" i="1" s="1"/>
  <c r="K38" i="1"/>
  <c r="M38" i="1" s="1"/>
  <c r="K37" i="1"/>
  <c r="M37" i="1" s="1"/>
  <c r="K36" i="1"/>
  <c r="M36" i="1" s="1"/>
  <c r="K25" i="1"/>
  <c r="M25" i="1" s="1"/>
  <c r="K24" i="1"/>
  <c r="L24" i="1" s="1"/>
  <c r="K23" i="1"/>
  <c r="M23" i="1" s="1"/>
  <c r="K22" i="1"/>
  <c r="M22" i="1" s="1"/>
  <c r="K21" i="1"/>
  <c r="M21" i="1" s="1"/>
  <c r="K20" i="1"/>
  <c r="M20" i="1" s="1"/>
  <c r="K19" i="1"/>
  <c r="M19" i="1" s="1"/>
  <c r="K18" i="1"/>
  <c r="L18" i="1" s="1"/>
  <c r="K17" i="1"/>
  <c r="M17" i="1" s="1"/>
  <c r="K16" i="1"/>
  <c r="L16" i="1" s="1"/>
  <c r="K8" i="1"/>
  <c r="L8" i="1" s="1"/>
  <c r="L38" i="1" l="1"/>
  <c r="M25" i="4"/>
  <c r="M34" i="4"/>
  <c r="L41" i="4"/>
  <c r="L8" i="4"/>
  <c r="M21" i="4"/>
  <c r="M42" i="4"/>
  <c r="L12" i="4"/>
  <c r="L19" i="4"/>
  <c r="L39" i="4"/>
  <c r="L26" i="4"/>
  <c r="L13" i="4"/>
  <c r="L33" i="4"/>
  <c r="L20" i="4"/>
  <c r="L27" i="4"/>
  <c r="L14" i="4"/>
  <c r="L28" i="4"/>
  <c r="L15" i="4"/>
  <c r="L35" i="4"/>
  <c r="L22" i="4"/>
  <c r="L9" i="4"/>
  <c r="L29" i="4"/>
  <c r="L16" i="4"/>
  <c r="L36" i="4"/>
  <c r="L23" i="4"/>
  <c r="L43" i="4"/>
  <c r="L10" i="4"/>
  <c r="L30" i="4"/>
  <c r="L17" i="4"/>
  <c r="L37" i="4"/>
  <c r="L24" i="4"/>
  <c r="L44" i="4"/>
  <c r="L31" i="1"/>
  <c r="M28" i="1"/>
  <c r="M24" i="1"/>
  <c r="L42" i="1"/>
  <c r="M11" i="1"/>
  <c r="M44" i="1"/>
  <c r="M16" i="1"/>
  <c r="L35" i="1"/>
  <c r="M8" i="1"/>
  <c r="L22" i="1"/>
  <c r="L15" i="1"/>
  <c r="M18" i="1"/>
  <c r="L25" i="1"/>
  <c r="M12" i="1"/>
  <c r="L19" i="1"/>
  <c r="M32" i="1"/>
  <c r="L39" i="1"/>
  <c r="L26" i="1"/>
  <c r="L13" i="1"/>
  <c r="L33" i="1"/>
  <c r="L20" i="1"/>
  <c r="L40" i="1"/>
  <c r="L27" i="1"/>
  <c r="L14" i="1"/>
  <c r="L34" i="1"/>
  <c r="L21" i="1"/>
  <c r="L41" i="1"/>
  <c r="L9" i="1"/>
  <c r="L29" i="1"/>
  <c r="L36" i="1"/>
  <c r="L23" i="1"/>
  <c r="L43" i="1"/>
  <c r="L10" i="1"/>
  <c r="L30" i="1"/>
  <c r="L17" i="1"/>
  <c r="L37" i="1"/>
</calcChain>
</file>

<file path=xl/sharedStrings.xml><?xml version="1.0" encoding="utf-8"?>
<sst xmlns="http://schemas.openxmlformats.org/spreadsheetml/2006/main" count="879" uniqueCount="260">
  <si>
    <t>Mata Kuliah</t>
  </si>
  <si>
    <t>: MIK1624404 - Analisis dan Strategi Algoritma</t>
  </si>
  <si>
    <t>Tahun Ajaran</t>
  </si>
  <si>
    <t>: 2025</t>
  </si>
  <si>
    <t>NDk5NDgy</t>
  </si>
  <si>
    <t>Semester</t>
  </si>
  <si>
    <t>: Genap</t>
  </si>
  <si>
    <t>Kelas</t>
  </si>
  <si>
    <t>: B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</si>
  <si>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</si>
  <si>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</si>
  <si>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</si>
  <si>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</si>
  <si>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</si>
  <si>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</si>
  <si>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</si>
  <si>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(5%)</t>
  </si>
  <si>
    <t>Nilai Quiz (0,00-100,00) (5%)</t>
  </si>
  <si>
    <t>Nilai UTS (0,00-100,00) (20%)</t>
  </si>
  <si>
    <t>Nilai UAS (0,00-100) (20%)</t>
  </si>
  <si>
    <t>Nilai Akhir Angka (0,00-100,00)</t>
  </si>
  <si>
    <t>Nilai Akhir Huruf (A/B/C/D/E)</t>
  </si>
  <si>
    <t>Nilai Bobot (0-4)</t>
  </si>
  <si>
    <t>First name</t>
  </si>
  <si>
    <t>Last name</t>
  </si>
  <si>
    <t>ID number</t>
  </si>
  <si>
    <t>Institution</t>
  </si>
  <si>
    <t>Department</t>
  </si>
  <si>
    <t>Email address</t>
  </si>
  <si>
    <t>Quiz: Quis 1 (Real)</t>
  </si>
  <si>
    <t>Quiz: Quis 2 (Real)</t>
  </si>
  <si>
    <t>Quiz: quis 3 (Real)</t>
  </si>
  <si>
    <t>Quiz: Quis 4 (Real)</t>
  </si>
  <si>
    <t>Quiz: quis 5 (Real)</t>
  </si>
  <si>
    <t>Quiz: latihan UTS (Real)</t>
  </si>
  <si>
    <t>Quiz: UTS (Real)</t>
  </si>
  <si>
    <t>Last downloaded from this course</t>
  </si>
  <si>
    <t>24060124140191</t>
  </si>
  <si>
    <t>ARGA YURA DANENDRA</t>
  </si>
  <si>
    <t>BARU</t>
  </si>
  <si>
    <t>Arga Yura Danendra</t>
  </si>
  <si>
    <t>5774e22c-186e-4a1c-b1a9-38b79aaee659</t>
  </si>
  <si>
    <t>argayura@students.undip.ac.id</t>
  </si>
  <si>
    <t>-</t>
  </si>
  <si>
    <t>24060124120025</t>
  </si>
  <si>
    <t>GANENDRA SATYA SINDHUNATA</t>
  </si>
  <si>
    <t>Ganendra Satya Sindhunata</t>
  </si>
  <si>
    <t>8a5caf17-6e23-4f22-acc4-94f0abe349d6</t>
  </si>
  <si>
    <t>ganendrasatya@students.undip.ac.id</t>
  </si>
  <si>
    <t>24060124130101</t>
  </si>
  <si>
    <t>GALANG BINTANG RAMADHAN</t>
  </si>
  <si>
    <t>Galang Bintang Ramadhan</t>
  </si>
  <si>
    <t>2829bd85-1e6f-4882-a55d-613e56e88cc5</t>
  </si>
  <si>
    <t>galangbintang@students.undip.ac.id</t>
  </si>
  <si>
    <t>24060124130121</t>
  </si>
  <si>
    <t>FAZL NIZAM PRIYAMBODHO</t>
  </si>
  <si>
    <t>Fazl Nizam Priyambodho</t>
  </si>
  <si>
    <t>04fc40a2-f2a6-4d89-96fc-ee81ae6a6bec</t>
  </si>
  <si>
    <t>fazlnizampriyambodho@students.undip.ac.id</t>
  </si>
  <si>
    <t>24060124140162</t>
  </si>
  <si>
    <t>GALVIN SHALAHUDIN MUMTAZ</t>
  </si>
  <si>
    <t>Galvin Shalahudin Mumtaz</t>
  </si>
  <si>
    <t>a8a2ebef-a8e1-4ac3-b818-b3131ec7676c</t>
  </si>
  <si>
    <t>galvin@students.undip.ac.id</t>
  </si>
  <si>
    <t>24060124140185</t>
  </si>
  <si>
    <t>FARHAN MUHTARAM</t>
  </si>
  <si>
    <t>Farhan Muhtaram</t>
  </si>
  <si>
    <t>e6aa7bf8-45aa-4faf-b401-4bc798718a9f</t>
  </si>
  <si>
    <t>farhanmuhtaram@students.undip.ac.id</t>
  </si>
  <si>
    <t>24060124120001</t>
  </si>
  <si>
    <t>RIZKY SAEFIRDAUS</t>
  </si>
  <si>
    <t>Rizky Saefirdaus</t>
  </si>
  <si>
    <t>025c65de-44f5-4ffb-bbf4-461e11f9468a</t>
  </si>
  <si>
    <t>saefirdaus@students.undip.ac.id</t>
  </si>
  <si>
    <t>24060124120043</t>
  </si>
  <si>
    <t>SYIFA AENI MUDRIKAH</t>
  </si>
  <si>
    <t>Syifa Aeni Mudrikah</t>
  </si>
  <si>
    <t>5fc98607-6d44-4154-b85c-a80c2976ed46</t>
  </si>
  <si>
    <t>syifaaenimudrikah@students.undip.ac.id</t>
  </si>
  <si>
    <t>24060124130071</t>
  </si>
  <si>
    <t>RAFI ANANDRA DHARMAWAN</t>
  </si>
  <si>
    <t>Rafi Anandra Dharmawan</t>
  </si>
  <si>
    <t>291e39af-c4fa-4ae9-8643-6494da5278be</t>
  </si>
  <si>
    <t>rafianandra@students.undip.ac.id</t>
  </si>
  <si>
    <t>24060124130078</t>
  </si>
  <si>
    <t>RESTU SURYA (&lt; 75%)</t>
  </si>
  <si>
    <t>24060124130085</t>
  </si>
  <si>
    <t>RAFFA PUTRA NUGROHO</t>
  </si>
  <si>
    <t>Raffa Putra Nugroho</t>
  </si>
  <si>
    <t>73297ac4-2e3f-4d82-80ef-2caea3944731</t>
  </si>
  <si>
    <t>raffaputnugr0@students.undip.ac.id</t>
  </si>
  <si>
    <t>24060124130106</t>
  </si>
  <si>
    <t>SHOFWAN FIKRUL HUDA</t>
  </si>
  <si>
    <t>Shofwan Fikrul Huda</t>
  </si>
  <si>
    <t>691eb548-58f9-43e1-9e7b-9ac0c4c017cf</t>
  </si>
  <si>
    <t>shofwanfikrulhuda@students.undip.ac.id</t>
  </si>
  <si>
    <t>24060124140146</t>
  </si>
  <si>
    <t>SHAFA AQILLA ZAHIRA</t>
  </si>
  <si>
    <t>Shafa Aqilla Zahira</t>
  </si>
  <si>
    <t>c78e8a5a-0831-401f-994b-384ce1559204</t>
  </si>
  <si>
    <t>shafaaqillazahira@students.undip.ac.id</t>
  </si>
  <si>
    <t>24060124140155</t>
  </si>
  <si>
    <t>REVALINA SALWA ALIYA WICAKSONO PRABOWO</t>
  </si>
  <si>
    <t>Revalina Salwa Aliya Wicaksono Prabowo</t>
  </si>
  <si>
    <t>597859a9-c1eb-4ab3-9b2e-f3749dd367f7</t>
  </si>
  <si>
    <t>revalinasaliya@students.undip.ac.id</t>
  </si>
  <si>
    <t>24060124140157</t>
  </si>
  <si>
    <t>REYNALDI BERTINUS HUTAGAOL</t>
  </si>
  <si>
    <t>Reynaldi Bertinus Hutagaol</t>
  </si>
  <si>
    <t>f92fc13b-312b-43f3-a1df-37a03703561d</t>
  </si>
  <si>
    <t>reynaldihutagaol@students.undip.ac.id</t>
  </si>
  <si>
    <t>24060124140178</t>
  </si>
  <si>
    <t>RAIHAN LAZUARDI</t>
  </si>
  <si>
    <t>Raihan Lazuardi</t>
  </si>
  <si>
    <t>fe6d6ef2-571f-4010-b827-9a40afea4300</t>
  </si>
  <si>
    <t>raihanlazuardi@students.undip.ac.id</t>
  </si>
  <si>
    <t>24060124120017</t>
  </si>
  <si>
    <t>LINTANG AULIA NURAINI</t>
  </si>
  <si>
    <t>Lintang Aulia Nuraini</t>
  </si>
  <si>
    <t>82ca6965-edbf-4d20-9bbc-ca193d79dd75</t>
  </si>
  <si>
    <t>lintangaulianuraini@students.undip.ac.id</t>
  </si>
  <si>
    <t>24060124130077</t>
  </si>
  <si>
    <t>LAURENSIUS BRIAN PRAYOGA</t>
  </si>
  <si>
    <t>Laurensius Brian Prayoga</t>
  </si>
  <si>
    <t>61e63fbc-e9d2-4c66-9c5b-c85cbefabf1a</t>
  </si>
  <si>
    <t>lbrianprayoga18@students.undip.ac.id</t>
  </si>
  <si>
    <t>24060124130094</t>
  </si>
  <si>
    <t>MOSES MORELL YOSEFAN</t>
  </si>
  <si>
    <t>Moses Morell Yosefan</t>
  </si>
  <si>
    <t>da3173cf-2b20-4de6-8e38-7d6981dd1b3a</t>
  </si>
  <si>
    <t>mosesmorell@students.undip.ac.id</t>
  </si>
  <si>
    <t>24060124140187</t>
  </si>
  <si>
    <t>MICHAEL STEVANO</t>
  </si>
  <si>
    <t>Michael Stevano</t>
  </si>
  <si>
    <t>3cf9233b-1519-40f7-aa76-466203df786f</t>
  </si>
  <si>
    <t>michaelstevano@students.undip.ac.id</t>
  </si>
  <si>
    <t>24060124140193</t>
  </si>
  <si>
    <t>MOHAMMAD BANYUPUTRA EKA PRAMUDHITA</t>
  </si>
  <si>
    <t>Mohammad Banyuputra Eka Pramudhita</t>
  </si>
  <si>
    <t>5cba7c74-8059-4161-a8e7-3bdf75cb641d</t>
  </si>
  <si>
    <t>banyuputraekap@students.undip.ac.id</t>
  </si>
  <si>
    <t>24060124120044</t>
  </si>
  <si>
    <t>JORDAN TENGGARA</t>
  </si>
  <si>
    <t>Jordan Tenggara</t>
  </si>
  <si>
    <t>e6b246f8-b6c4-4e85-bbbb-66b8c5f89c74</t>
  </si>
  <si>
    <t>jordantenggara@students.undip.ac.id</t>
  </si>
  <si>
    <t>24060124130081</t>
  </si>
  <si>
    <t>HANA NAFI'ATUL HAQ</t>
  </si>
  <si>
    <t>Hana Nafi'atul Haq</t>
  </si>
  <si>
    <t>9f2605e9-8801-43d5-8dd2-3da4b05da32d</t>
  </si>
  <si>
    <t>hananafi@students.undip.ac.id</t>
  </si>
  <si>
    <t>24060124140128</t>
  </si>
  <si>
    <t>IDA BAGUS NGURAH YUDISTIRA KEMENUH</t>
  </si>
  <si>
    <t>Ida Bagus Ngurah Yudistira Kemenuh</t>
  </si>
  <si>
    <t>5fba966f-06a0-4636-b644-bcffd705eb35</t>
  </si>
  <si>
    <t>yudist@students.undip.ac.id</t>
  </si>
  <si>
    <t>24060124140153</t>
  </si>
  <si>
    <t>IZA YUNUS ANDHIKA</t>
  </si>
  <si>
    <t>Iza Yunus Andhika</t>
  </si>
  <si>
    <t>80f9312f-8258-49cb-9c59-297ebfed2ebc</t>
  </si>
  <si>
    <t>zandhika13@students.undip.ac.id</t>
  </si>
  <si>
    <t>24060124120027</t>
  </si>
  <si>
    <t>MUHAMMAD NAUVAL FADLI</t>
  </si>
  <si>
    <t>Muhammad Nauval Fadli</t>
  </si>
  <si>
    <t>2e0407a8-5f1f-4b94-8112-a5ceb6906f5d</t>
  </si>
  <si>
    <t>val145@students.undip.ac.id</t>
  </si>
  <si>
    <t>24060124140140</t>
  </si>
  <si>
    <t>MUHAMMAD IBRAHIM ALGHIFARI</t>
  </si>
  <si>
    <t>Muhammad Ibrahim Alghifari</t>
  </si>
  <si>
    <t>58da7198-1741-437e-be28-dd32b9b77136</t>
  </si>
  <si>
    <t>ibrahimalghifari@students.undip.ac.id</t>
  </si>
  <si>
    <t>24060124140141</t>
  </si>
  <si>
    <t>MUCHAMMAD RAJIB TAFRICHAN</t>
  </si>
  <si>
    <t>Muchammad Rajib Tafrichan</t>
  </si>
  <si>
    <t>9a4f396d-30bf-431c-9081-8ee443bfcd9b</t>
  </si>
  <si>
    <t>mrajibtafrichan@students.undip.ac.id</t>
  </si>
  <si>
    <t>24060124120038</t>
  </si>
  <si>
    <t>ALYSSA SHANE KURNIAWAN</t>
  </si>
  <si>
    <t>Alyssa Shane Kurniawan</t>
  </si>
  <si>
    <t>c2c3d44a-c7d2-4dc6-af91-ef49b01c0c0f</t>
  </si>
  <si>
    <t>alyssashane@students.undip.ac.id</t>
  </si>
  <si>
    <t>24060124140152</t>
  </si>
  <si>
    <t>ADHYAKSA MARGANDATUA BANJAR NAHOR</t>
  </si>
  <si>
    <t>Adhyaksa Margandatua Banjar Nahor</t>
  </si>
  <si>
    <t>f70e11a9-b5fb-4048-b4f1-b4bd22d01332</t>
  </si>
  <si>
    <t>mbnadhyaksa@students.undip.ac.id</t>
  </si>
  <si>
    <t>24060124140179</t>
  </si>
  <si>
    <t>ADAM MULYA RASYID</t>
  </si>
  <si>
    <t>Adam Mulya Rasyid</t>
  </si>
  <si>
    <t>167cf67b-bce1-472d-b0d1-a2d0b41d72b0</t>
  </si>
  <si>
    <t>adamrasyid@students.undip.ac.id</t>
  </si>
  <si>
    <t>24060124120041</t>
  </si>
  <si>
    <t>NAWAAL HANIF MUMTAZ ARRIYE</t>
  </si>
  <si>
    <t>Nawaal Hanif Mumtaz Arriye</t>
  </si>
  <si>
    <t>f47148a3-6267-4f7a-a384-120d434a70ec</t>
  </si>
  <si>
    <t>nawaal123@students.undip.ac.id</t>
  </si>
  <si>
    <t>24060124120050</t>
  </si>
  <si>
    <t>OLIVIA OKTAVIANI</t>
  </si>
  <si>
    <t>Olivia Oktaviani</t>
  </si>
  <si>
    <t>fac41eea-b385-44a8-9592-331bcecea80f</t>
  </si>
  <si>
    <t>oliviaoktaviani@students.undip.ac.id</t>
  </si>
  <si>
    <t>24060124140132</t>
  </si>
  <si>
    <t>PUTI SHASTA KHAFIYANI</t>
  </si>
  <si>
    <t>Puti Shasta Khafiyani</t>
  </si>
  <si>
    <t>17fb50d2-437c-443e-b0dd-c648fd526201</t>
  </si>
  <si>
    <t>putishasta@students.undip.ac.id</t>
  </si>
  <si>
    <t>24060124120002</t>
  </si>
  <si>
    <t>BIRELA MIADETA PURITA</t>
  </si>
  <si>
    <t>Birela Miadeta Purita</t>
  </si>
  <si>
    <t>f70db285-5e78-448d-af71-00e59cbfebf7</t>
  </si>
  <si>
    <t>birelamiadeta@students.undip.ac.id</t>
  </si>
  <si>
    <t>24060124120034</t>
  </si>
  <si>
    <t>DIAH MAULIDA PRATIWI</t>
  </si>
  <si>
    <t>Diah Maulida Pratiwi</t>
  </si>
  <si>
    <t>26674a22-3f22-4587-a7f8-0053b02acbbd</t>
  </si>
  <si>
    <t>diahmaulida555@students.undip.ac.id</t>
  </si>
  <si>
    <t>24060124130105</t>
  </si>
  <si>
    <t>DEWANGGA RAJA ARI WIYASA (&lt; 75%)</t>
  </si>
  <si>
    <t>Fathia Rahma</t>
  </si>
  <si>
    <t>f713bfbf-63f8-4f2a-bf4e-f4fd5a9b65cc</t>
  </si>
  <si>
    <t>fathiarahma@students.undip.ac.id</t>
  </si>
  <si>
    <t>Raditya Arya Wicaksana</t>
  </si>
  <si>
    <t>4ca256f5-c736-4f37-8de6-60a2ab3d7b4f</t>
  </si>
  <si>
    <t>radityaarya@students.undip.ac.id</t>
  </si>
  <si>
    <t>Zahra Nisaa' Fitria Nur'afifah</t>
  </si>
  <si>
    <t>ec25763f-e67c-4bc3-a0a4-1160405b6d01</t>
  </si>
  <si>
    <t>zahranisaafitrianura@students.undip.ac.id</t>
  </si>
  <si>
    <t>Muhammad Shafwan Raihan Serunting</t>
  </si>
  <si>
    <t>875dbde6-3abb-4477-8622-714abadf4af9</t>
  </si>
  <si>
    <t>muhammadshafwanraiha@students.undip.ac.id</t>
  </si>
  <si>
    <t>Fakhri Ali Azadi</t>
  </si>
  <si>
    <t>9c518235-cd49-42fb-b96a-598a6f512b44</t>
  </si>
  <si>
    <t>aaliiazadi@students.undip.ac.id</t>
  </si>
  <si>
    <t>Gading Arsana Rachman</t>
  </si>
  <si>
    <t>ecf8bf13-dd5c-4d6a-8f5a-dbe099521a7f</t>
  </si>
  <si>
    <t>gadingarsana@students.undip.ac.id</t>
  </si>
  <si>
    <t>Aura Cantika Nabila Amelia</t>
  </si>
  <si>
    <t>199cb5ff-2bcd-4ecd-b034-eaebb41a0228</t>
  </si>
  <si>
    <t>auracantikanabilaame@students.undip.ac.id</t>
  </si>
  <si>
    <t>Cipta Fikri Wiratama</t>
  </si>
  <si>
    <t>3fe4ca1a-a688-4325-b46c-4a80910d0320</t>
  </si>
  <si>
    <t>fikriw@students.undip.ac.id</t>
  </si>
  <si>
    <t>Stephen Andrew Pakpahan</t>
  </si>
  <si>
    <t>bf4e7d96-33a4-4242-8063-9327c138cb46</t>
  </si>
  <si>
    <t>stephenn03@students.undip.ac.id</t>
  </si>
  <si>
    <t>Benjamin Hamonangan Tua</t>
  </si>
  <si>
    <t>72581d79-740e-48cd-a371-92cf13a1b314</t>
  </si>
  <si>
    <t>benjaminhamonangantu@students.undip.ac.id</t>
  </si>
  <si>
    <t>Restu Surya</t>
  </si>
  <si>
    <t>c39c5cdf-e358-4105-83a1-faded57d4c91</t>
  </si>
  <si>
    <t>restusurya@students.undip.ac.id</t>
  </si>
  <si>
    <t>Dewangga Raja Ari Wiyasa</t>
  </si>
  <si>
    <t>872fd5f0-03b7-4ed5-876a-74db3806172c</t>
  </si>
  <si>
    <t>dewanggarajaari@students.undip.ac.id</t>
  </si>
  <si>
    <t>Metric</t>
  </si>
  <si>
    <t>Value</t>
  </si>
  <si>
    <t>Template</t>
  </si>
  <si>
    <t>Berhasil cocok</t>
  </si>
  <si>
    <t>Tidak cocok</t>
  </si>
  <si>
    <t>Data awal tidak ada di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</si>
</sst>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969823-2BF7-4CBB-AF64-92F2BA9720F5}">
  <we:reference id="wa200005502" version="1.0.0.12" store="en-US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4"/>
  <sheetViews>
    <sheetView tabSelected="1" topLeftCell="E1" workbookViewId="0">
      <selection activeCell="G45" sqref="G45"/>
    </sheetView>
  </sheetViews>
  <sheetFormatPr defaultRowHeight="15" x14ac:dyDescent="0.25"/>
  <cols>
    <col min="1" max="1" width="17.5703125" bestFit="1" customWidth="1"/>
    <col min="2" max="2" width="55.28515625" bestFit="1" customWidth="1"/>
    <col min="3" max="3" width="10.5703125" bestFit="1" customWidth="1"/>
    <col min="4" max="4" width="8.140625" bestFit="1" customWidth="1"/>
    <col min="5" max="5" width="57.7109375" bestFit="1" customWidth="1"/>
    <col min="6" max="6" width="45.85546875" bestFit="1" customWidth="1"/>
    <col min="7" max="7" width="36.42578125" bestFit="1" customWidth="1"/>
    <col min="8" max="9" width="35.28515625" bestFit="1" customWidth="1"/>
    <col min="10" max="10" width="31.7109375" bestFit="1" customWidth="1"/>
    <col min="11" max="11" width="37.7109375" bestFit="1" customWidth="1"/>
    <col min="12" max="12" width="35.28515625" bestFit="1" customWidth="1"/>
    <col min="13" max="13" width="21.140625" bestFit="1" customWidth="1"/>
    <col min="20" max="21" width="17.42578125" bestFit="1" customWidth="1"/>
    <col min="22" max="22" width="17" bestFit="1" customWidth="1"/>
    <col min="23" max="23" width="17.42578125" bestFit="1" customWidth="1"/>
    <col min="24" max="24" width="17" bestFit="1" customWidth="1"/>
    <col min="25" max="25" width="17" customWidth="1"/>
    <col min="26" max="26" width="22" bestFit="1" customWidth="1"/>
  </cols>
  <sheetData>
    <row r="1" spans="1:28" x14ac:dyDescent="0.25">
      <c r="A1" t="s">
        <v>0</v>
      </c>
      <c r="B1" t="s">
        <v>1</v>
      </c>
    </row>
    <row r="2" spans="1:28" x14ac:dyDescent="0.25">
      <c r="A2" t="s">
        <v>2</v>
      </c>
      <c r="B2" t="s">
        <v>3</v>
      </c>
      <c r="I2" s="1" t="s">
        <v>4</v>
      </c>
    </row>
    <row r="3" spans="1:28" x14ac:dyDescent="0.25">
      <c r="A3" t="s">
        <v>5</v>
      </c>
      <c r="B3" t="s">
        <v>6</v>
      </c>
    </row>
    <row r="4" spans="1:28" x14ac:dyDescent="0.25">
      <c r="A4" t="s">
        <v>7</v>
      </c>
      <c r="B4" t="s">
        <v>8</v>
      </c>
    </row>
    <row r="5" spans="1:28" x14ac:dyDescent="0.25">
      <c r="A5" t="s">
        <v>9</v>
      </c>
      <c r="B5" t="s">
        <v>10</v>
      </c>
    </row>
    <row r="7" spans="1:28" x14ac:dyDescent="0.25">
      <c r="A7" t="s">
        <v>11</v>
      </c>
      <c r="B7" t="s">
        <v>12</v>
      </c>
      <c r="C7" t="s">
        <v>5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24</v>
      </c>
      <c r="P7" t="s">
        <v>25</v>
      </c>
      <c r="Q7" t="s">
        <v>26</v>
      </c>
      <c r="R7" t="s">
        <v>27</v>
      </c>
      <c r="S7" t="s">
        <v>28</v>
      </c>
      <c r="T7" t="s">
        <v>29</v>
      </c>
      <c r="U7" t="s">
        <v>30</v>
      </c>
      <c r="V7" t="s">
        <v>31</v>
      </c>
      <c r="W7" t="s">
        <v>32</v>
      </c>
      <c r="X7" t="s">
        <v>33</v>
      </c>
      <c r="Z7" t="s">
        <v>34</v>
      </c>
      <c r="AA7" t="s">
        <v>35</v>
      </c>
      <c r="AB7" t="s">
        <v>36</v>
      </c>
    </row>
    <row r="8" spans="1:28" x14ac:dyDescent="0.25">
      <c r="A8" t="s">
        <v>37</v>
      </c>
      <c r="B8" t="s">
        <v>38</v>
      </c>
      <c r="C8">
        <v>4</v>
      </c>
      <c r="D8" t="s">
        <v>39</v>
      </c>
      <c r="E8" s="4">
        <v>81</v>
      </c>
      <c r="F8" s="3"/>
      <c r="G8" s="3">
        <f>(E8*0.8)+(H8*0.2)</f>
        <v>77.466800000000006</v>
      </c>
      <c r="H8" s="3">
        <v>63.334000000000003</v>
      </c>
      <c r="I8" s="3"/>
      <c r="J8" s="3"/>
      <c r="K8" s="2">
        <f t="shared" ref="K8:K44" si="0">ROUND( ((E8*10+F8*40+G8*5+H8*5+I8*20+J8*20) / 100), 2)</f>
        <v>15.14</v>
      </c>
      <c r="L8" s="2" t="str">
        <f t="shared" ref="L8:L44" si="1"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>E</v>
      </c>
      <c r="M8" t="str">
        <f t="shared" ref="M8:M44" si="2"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>0</v>
      </c>
      <c r="N8" t="s">
        <v>40</v>
      </c>
      <c r="O8">
        <v>24060124140191</v>
      </c>
      <c r="P8" t="s">
        <v>41</v>
      </c>
      <c r="S8" t="s">
        <v>42</v>
      </c>
      <c r="T8">
        <v>41.67</v>
      </c>
      <c r="U8">
        <v>50</v>
      </c>
      <c r="V8">
        <v>70</v>
      </c>
      <c r="W8">
        <v>80</v>
      </c>
      <c r="X8">
        <v>75</v>
      </c>
      <c r="Z8" t="s">
        <v>43</v>
      </c>
      <c r="AA8">
        <v>81</v>
      </c>
      <c r="AB8">
        <v>1782745205</v>
      </c>
    </row>
    <row r="9" spans="1:28" x14ac:dyDescent="0.25">
      <c r="A9" t="s">
        <v>44</v>
      </c>
      <c r="B9" t="s">
        <v>45</v>
      </c>
      <c r="C9">
        <v>4</v>
      </c>
      <c r="D9" t="s">
        <v>39</v>
      </c>
      <c r="E9" s="4">
        <v>92</v>
      </c>
      <c r="F9" s="3"/>
      <c r="G9" s="3">
        <f t="shared" ref="G9:G43" si="3">(E9*0.8)+(H9*0.2)</f>
        <v>87.860800000000012</v>
      </c>
      <c r="H9" s="3">
        <v>71.304000000000002</v>
      </c>
      <c r="I9" s="3"/>
      <c r="J9" s="3"/>
      <c r="K9" s="2">
        <f t="shared" si="0"/>
        <v>17.16</v>
      </c>
      <c r="L9" s="2" t="str">
        <f t="shared" si="1"/>
        <v>E</v>
      </c>
      <c r="M9" t="str">
        <f t="shared" si="2"/>
        <v>0</v>
      </c>
      <c r="N9" t="s">
        <v>46</v>
      </c>
      <c r="O9">
        <v>24060124120025</v>
      </c>
      <c r="P9" t="s">
        <v>47</v>
      </c>
      <c r="S9" t="s">
        <v>48</v>
      </c>
      <c r="T9">
        <v>41.67</v>
      </c>
      <c r="U9">
        <v>68.180000000000007</v>
      </c>
      <c r="V9">
        <v>56.67</v>
      </c>
      <c r="W9">
        <v>90</v>
      </c>
      <c r="X9">
        <v>100</v>
      </c>
      <c r="Z9" t="s">
        <v>43</v>
      </c>
      <c r="AA9">
        <v>92</v>
      </c>
      <c r="AB9">
        <v>1782745205</v>
      </c>
    </row>
    <row r="10" spans="1:28" x14ac:dyDescent="0.25">
      <c r="A10" t="s">
        <v>49</v>
      </c>
      <c r="B10" t="s">
        <v>50</v>
      </c>
      <c r="C10">
        <v>4</v>
      </c>
      <c r="D10" t="s">
        <v>39</v>
      </c>
      <c r="E10" s="4">
        <v>100</v>
      </c>
      <c r="F10" s="3"/>
      <c r="G10" s="3">
        <f t="shared" si="3"/>
        <v>97.418000000000006</v>
      </c>
      <c r="H10" s="3">
        <v>87.09</v>
      </c>
      <c r="I10" s="3"/>
      <c r="J10" s="3"/>
      <c r="K10" s="2">
        <f t="shared" si="0"/>
        <v>19.23</v>
      </c>
      <c r="L10" s="2" t="str">
        <f t="shared" si="1"/>
        <v>E</v>
      </c>
      <c r="M10" t="str">
        <f t="shared" si="2"/>
        <v>0</v>
      </c>
      <c r="N10" t="s">
        <v>51</v>
      </c>
      <c r="O10">
        <v>24060124130101</v>
      </c>
      <c r="P10" t="s">
        <v>52</v>
      </c>
      <c r="S10" t="s">
        <v>53</v>
      </c>
      <c r="T10">
        <v>83.33</v>
      </c>
      <c r="U10">
        <v>95.45</v>
      </c>
      <c r="V10">
        <v>66.67</v>
      </c>
      <c r="W10">
        <v>90</v>
      </c>
      <c r="X10">
        <v>100</v>
      </c>
      <c r="Z10">
        <v>9.7899999999999991</v>
      </c>
      <c r="AA10">
        <v>100</v>
      </c>
      <c r="AB10">
        <v>1782745205</v>
      </c>
    </row>
    <row r="11" spans="1:28" x14ac:dyDescent="0.25">
      <c r="A11" t="s">
        <v>54</v>
      </c>
      <c r="B11" t="s">
        <v>55</v>
      </c>
      <c r="C11">
        <v>4</v>
      </c>
      <c r="D11" t="s">
        <v>39</v>
      </c>
      <c r="E11" s="4">
        <v>88</v>
      </c>
      <c r="F11" s="3"/>
      <c r="G11" s="3">
        <f t="shared" si="3"/>
        <v>86.70920000000001</v>
      </c>
      <c r="H11" s="3">
        <v>81.546000000000006</v>
      </c>
      <c r="I11" s="3"/>
      <c r="J11" s="3"/>
      <c r="K11" s="2">
        <f t="shared" si="0"/>
        <v>17.21</v>
      </c>
      <c r="L11" s="2" t="str">
        <f t="shared" si="1"/>
        <v>E</v>
      </c>
      <c r="M11" t="str">
        <f t="shared" si="2"/>
        <v>0</v>
      </c>
      <c r="N11" t="s">
        <v>56</v>
      </c>
      <c r="O11">
        <v>24060124130121</v>
      </c>
      <c r="P11" t="s">
        <v>57</v>
      </c>
      <c r="S11" t="s">
        <v>58</v>
      </c>
      <c r="T11">
        <v>75</v>
      </c>
      <c r="U11">
        <v>72.73</v>
      </c>
      <c r="V11">
        <v>70</v>
      </c>
      <c r="W11">
        <v>90</v>
      </c>
      <c r="X11">
        <v>100</v>
      </c>
      <c r="Z11" t="s">
        <v>43</v>
      </c>
      <c r="AA11">
        <v>88</v>
      </c>
      <c r="AB11">
        <v>1782745205</v>
      </c>
    </row>
    <row r="12" spans="1:28" x14ac:dyDescent="0.25">
      <c r="A12" t="s">
        <v>59</v>
      </c>
      <c r="B12" t="s">
        <v>60</v>
      </c>
      <c r="C12">
        <v>4</v>
      </c>
      <c r="D12" t="s">
        <v>39</v>
      </c>
      <c r="E12" s="4">
        <v>87</v>
      </c>
      <c r="F12" s="3"/>
      <c r="G12" s="3">
        <f t="shared" si="3"/>
        <v>82.751200000000011</v>
      </c>
      <c r="H12" s="3">
        <v>65.756</v>
      </c>
      <c r="I12" s="3"/>
      <c r="J12" s="3"/>
      <c r="K12" s="2">
        <f t="shared" si="0"/>
        <v>16.13</v>
      </c>
      <c r="L12" s="2" t="str">
        <f t="shared" si="1"/>
        <v>E</v>
      </c>
      <c r="M12" t="str">
        <f t="shared" si="2"/>
        <v>0</v>
      </c>
      <c r="N12" t="s">
        <v>61</v>
      </c>
      <c r="O12">
        <v>24060124140162</v>
      </c>
      <c r="P12" t="s">
        <v>62</v>
      </c>
      <c r="S12" t="s">
        <v>63</v>
      </c>
      <c r="T12">
        <v>50</v>
      </c>
      <c r="U12">
        <v>95.45</v>
      </c>
      <c r="V12">
        <v>83.33</v>
      </c>
      <c r="W12" t="s">
        <v>43</v>
      </c>
      <c r="X12">
        <v>100</v>
      </c>
      <c r="Z12">
        <v>7.84</v>
      </c>
      <c r="AA12">
        <v>87</v>
      </c>
      <c r="AB12">
        <v>1782745205</v>
      </c>
    </row>
    <row r="13" spans="1:28" x14ac:dyDescent="0.25">
      <c r="A13" t="s">
        <v>64</v>
      </c>
      <c r="B13" t="s">
        <v>65</v>
      </c>
      <c r="C13">
        <v>4</v>
      </c>
      <c r="D13" t="s">
        <v>39</v>
      </c>
      <c r="E13" s="4">
        <v>94</v>
      </c>
      <c r="F13" s="3"/>
      <c r="G13" s="3">
        <f t="shared" si="3"/>
        <v>89.805199999999999</v>
      </c>
      <c r="H13" s="3">
        <v>73.025999999999996</v>
      </c>
      <c r="I13" s="3"/>
      <c r="J13" s="3"/>
      <c r="K13" s="2">
        <f t="shared" si="0"/>
        <v>17.54</v>
      </c>
      <c r="L13" s="2" t="str">
        <f t="shared" si="1"/>
        <v>E</v>
      </c>
      <c r="M13" t="str">
        <f t="shared" si="2"/>
        <v>0</v>
      </c>
      <c r="N13" t="s">
        <v>66</v>
      </c>
      <c r="O13">
        <v>24060124140185</v>
      </c>
      <c r="P13" t="s">
        <v>67</v>
      </c>
      <c r="S13" t="s">
        <v>68</v>
      </c>
      <c r="T13">
        <v>66.67</v>
      </c>
      <c r="U13">
        <v>51.52</v>
      </c>
      <c r="V13">
        <v>63.33</v>
      </c>
      <c r="W13">
        <v>88.61</v>
      </c>
      <c r="X13">
        <v>95</v>
      </c>
      <c r="Z13" t="s">
        <v>43</v>
      </c>
      <c r="AA13">
        <v>94</v>
      </c>
      <c r="AB13">
        <v>1782745205</v>
      </c>
    </row>
    <row r="14" spans="1:28" x14ac:dyDescent="0.25">
      <c r="A14" t="s">
        <v>69</v>
      </c>
      <c r="B14" t="s">
        <v>70</v>
      </c>
      <c r="C14">
        <v>4</v>
      </c>
      <c r="D14" t="s">
        <v>39</v>
      </c>
      <c r="E14" s="4">
        <v>98</v>
      </c>
      <c r="F14" s="3"/>
      <c r="G14" s="3">
        <f t="shared" si="3"/>
        <v>91.909200000000013</v>
      </c>
      <c r="H14" s="3">
        <v>67.546000000000006</v>
      </c>
      <c r="I14" s="3"/>
      <c r="J14" s="3"/>
      <c r="K14" s="2">
        <f t="shared" si="0"/>
        <v>17.77</v>
      </c>
      <c r="L14" s="2" t="str">
        <f t="shared" si="1"/>
        <v>E</v>
      </c>
      <c r="M14" t="str">
        <f t="shared" si="2"/>
        <v>0</v>
      </c>
      <c r="N14" t="s">
        <v>71</v>
      </c>
      <c r="O14">
        <v>24060124120001</v>
      </c>
      <c r="P14" t="s">
        <v>72</v>
      </c>
      <c r="S14" t="s">
        <v>73</v>
      </c>
      <c r="T14">
        <v>50</v>
      </c>
      <c r="U14">
        <v>72.73</v>
      </c>
      <c r="V14">
        <v>26.67</v>
      </c>
      <c r="W14">
        <v>93.33</v>
      </c>
      <c r="X14">
        <v>95</v>
      </c>
      <c r="Z14">
        <v>9.7899999999999991</v>
      </c>
      <c r="AA14">
        <v>98</v>
      </c>
      <c r="AB14">
        <v>1782745205</v>
      </c>
    </row>
    <row r="15" spans="1:28" x14ac:dyDescent="0.25">
      <c r="A15" t="s">
        <v>74</v>
      </c>
      <c r="B15" t="s">
        <v>75</v>
      </c>
      <c r="C15">
        <v>4</v>
      </c>
      <c r="D15" t="s">
        <v>39</v>
      </c>
      <c r="E15" s="4">
        <v>95</v>
      </c>
      <c r="F15" s="3"/>
      <c r="G15" s="3">
        <f t="shared" si="3"/>
        <v>92.769599999999997</v>
      </c>
      <c r="H15" s="3">
        <v>83.847999999999999</v>
      </c>
      <c r="I15" s="3"/>
      <c r="J15" s="3"/>
      <c r="K15" s="2">
        <f t="shared" si="0"/>
        <v>18.329999999999998</v>
      </c>
      <c r="L15" s="2" t="str">
        <f t="shared" si="1"/>
        <v>E</v>
      </c>
      <c r="M15" t="str">
        <f t="shared" si="2"/>
        <v>0</v>
      </c>
      <c r="N15" t="s">
        <v>76</v>
      </c>
      <c r="O15">
        <v>24060124120043</v>
      </c>
      <c r="P15" t="s">
        <v>77</v>
      </c>
      <c r="S15" t="s">
        <v>78</v>
      </c>
      <c r="T15">
        <v>75</v>
      </c>
      <c r="U15">
        <v>90.91</v>
      </c>
      <c r="V15">
        <v>73.33</v>
      </c>
      <c r="W15">
        <v>90</v>
      </c>
      <c r="X15">
        <v>90</v>
      </c>
      <c r="Z15">
        <v>8.9700000000000006</v>
      </c>
      <c r="AA15">
        <v>95</v>
      </c>
      <c r="AB15">
        <v>1782745205</v>
      </c>
    </row>
    <row r="16" spans="1:28" x14ac:dyDescent="0.25">
      <c r="A16" t="s">
        <v>79</v>
      </c>
      <c r="B16" t="s">
        <v>80</v>
      </c>
      <c r="C16">
        <v>4</v>
      </c>
      <c r="D16" t="s">
        <v>39</v>
      </c>
      <c r="E16" s="4">
        <v>98</v>
      </c>
      <c r="F16" s="3"/>
      <c r="G16" s="3">
        <f t="shared" si="3"/>
        <v>95.563600000000008</v>
      </c>
      <c r="H16" s="3">
        <v>85.818000000000012</v>
      </c>
      <c r="I16" s="3"/>
      <c r="J16" s="3"/>
      <c r="K16" s="2">
        <f t="shared" si="0"/>
        <v>18.87</v>
      </c>
      <c r="L16" s="2" t="str">
        <f t="shared" si="1"/>
        <v>E</v>
      </c>
      <c r="M16" t="str">
        <f t="shared" si="2"/>
        <v>0</v>
      </c>
      <c r="N16" t="s">
        <v>81</v>
      </c>
      <c r="O16">
        <v>24060124130071</v>
      </c>
      <c r="P16" t="s">
        <v>82</v>
      </c>
      <c r="S16" t="s">
        <v>83</v>
      </c>
      <c r="T16">
        <v>75</v>
      </c>
      <c r="U16">
        <v>92.42</v>
      </c>
      <c r="V16">
        <v>80</v>
      </c>
      <c r="W16">
        <v>96.67</v>
      </c>
      <c r="X16">
        <v>85</v>
      </c>
      <c r="Z16">
        <v>8.7799999999999994</v>
      </c>
      <c r="AA16">
        <v>98</v>
      </c>
      <c r="AB16">
        <v>1782745205</v>
      </c>
    </row>
    <row r="17" spans="1:28" x14ac:dyDescent="0.25">
      <c r="A17" t="s">
        <v>84</v>
      </c>
      <c r="B17" t="s">
        <v>85</v>
      </c>
      <c r="C17">
        <v>4</v>
      </c>
      <c r="D17" t="s">
        <v>39</v>
      </c>
      <c r="E17" s="4"/>
      <c r="F17" s="3"/>
      <c r="G17" s="3">
        <f t="shared" si="3"/>
        <v>0</v>
      </c>
      <c r="H17" s="3">
        <v>0</v>
      </c>
      <c r="I17" s="3"/>
      <c r="J17" s="2"/>
      <c r="K17" s="2">
        <f t="shared" si="0"/>
        <v>0</v>
      </c>
      <c r="L17" s="2" t="str">
        <f t="shared" si="1"/>
        <v>E</v>
      </c>
      <c r="M17" t="str">
        <f t="shared" si="2"/>
        <v>0</v>
      </c>
    </row>
    <row r="18" spans="1:28" x14ac:dyDescent="0.25">
      <c r="A18" t="s">
        <v>86</v>
      </c>
      <c r="B18" t="s">
        <v>87</v>
      </c>
      <c r="C18">
        <v>4</v>
      </c>
      <c r="D18" t="s">
        <v>39</v>
      </c>
      <c r="E18" s="4">
        <v>93</v>
      </c>
      <c r="F18" s="3"/>
      <c r="G18" s="3">
        <f t="shared" si="3"/>
        <v>87.2988</v>
      </c>
      <c r="H18" s="3">
        <v>64.494</v>
      </c>
      <c r="I18" s="3"/>
      <c r="J18" s="3"/>
      <c r="K18" s="2">
        <f t="shared" si="0"/>
        <v>16.89</v>
      </c>
      <c r="L18" s="2" t="str">
        <f t="shared" si="1"/>
        <v>E</v>
      </c>
      <c r="M18" t="str">
        <f t="shared" si="2"/>
        <v>0</v>
      </c>
      <c r="N18" t="s">
        <v>88</v>
      </c>
      <c r="O18">
        <v>24060124130085</v>
      </c>
      <c r="P18" t="s">
        <v>89</v>
      </c>
      <c r="S18" t="s">
        <v>90</v>
      </c>
      <c r="T18" t="s">
        <v>43</v>
      </c>
      <c r="U18">
        <v>86.36</v>
      </c>
      <c r="V18">
        <v>56.67</v>
      </c>
      <c r="W18">
        <v>94.44</v>
      </c>
      <c r="X18">
        <v>85</v>
      </c>
      <c r="Z18" t="s">
        <v>43</v>
      </c>
      <c r="AA18">
        <v>93</v>
      </c>
      <c r="AB18">
        <v>1782745205</v>
      </c>
    </row>
    <row r="19" spans="1:28" x14ac:dyDescent="0.25">
      <c r="A19" t="s">
        <v>91</v>
      </c>
      <c r="B19" t="s">
        <v>92</v>
      </c>
      <c r="C19">
        <v>4</v>
      </c>
      <c r="D19" t="s">
        <v>39</v>
      </c>
      <c r="E19" s="4">
        <v>89.33</v>
      </c>
      <c r="F19" s="3"/>
      <c r="G19" s="3">
        <f t="shared" si="3"/>
        <v>88.562799999999996</v>
      </c>
      <c r="H19" s="3">
        <v>85.494</v>
      </c>
      <c r="I19" s="3"/>
      <c r="J19" s="3"/>
      <c r="K19" s="2">
        <f t="shared" si="0"/>
        <v>17.64</v>
      </c>
      <c r="L19" s="2" t="str">
        <f t="shared" si="1"/>
        <v>E</v>
      </c>
      <c r="M19" t="str">
        <f t="shared" si="2"/>
        <v>0</v>
      </c>
      <c r="N19" t="s">
        <v>93</v>
      </c>
      <c r="O19">
        <v>24060124130106</v>
      </c>
      <c r="P19" t="s">
        <v>94</v>
      </c>
      <c r="S19" t="s">
        <v>95</v>
      </c>
      <c r="T19">
        <v>75</v>
      </c>
      <c r="U19">
        <v>86.36</v>
      </c>
      <c r="V19">
        <v>76.67</v>
      </c>
      <c r="W19">
        <v>89.44</v>
      </c>
      <c r="X19">
        <v>100</v>
      </c>
      <c r="Z19" t="s">
        <v>43</v>
      </c>
      <c r="AA19">
        <v>89.33</v>
      </c>
      <c r="AB19">
        <v>1782745205</v>
      </c>
    </row>
    <row r="20" spans="1:28" x14ac:dyDescent="0.25">
      <c r="A20" t="s">
        <v>96</v>
      </c>
      <c r="B20" t="s">
        <v>97</v>
      </c>
      <c r="C20">
        <v>4</v>
      </c>
      <c r="D20" t="s">
        <v>39</v>
      </c>
      <c r="E20" s="4">
        <v>92</v>
      </c>
      <c r="F20" s="3"/>
      <c r="G20" s="3">
        <f t="shared" si="3"/>
        <v>87.648400000000009</v>
      </c>
      <c r="H20" s="3">
        <v>70.24199999999999</v>
      </c>
      <c r="I20" s="3"/>
      <c r="J20" s="3"/>
      <c r="K20" s="2">
        <f t="shared" si="0"/>
        <v>17.09</v>
      </c>
      <c r="L20" s="2" t="str">
        <f t="shared" si="1"/>
        <v>E</v>
      </c>
      <c r="M20" t="str">
        <f t="shared" si="2"/>
        <v>0</v>
      </c>
      <c r="N20" t="s">
        <v>98</v>
      </c>
      <c r="O20">
        <v>24060124140146</v>
      </c>
      <c r="P20" t="s">
        <v>99</v>
      </c>
      <c r="S20" t="s">
        <v>100</v>
      </c>
      <c r="T20">
        <v>50</v>
      </c>
      <c r="U20">
        <v>54.55</v>
      </c>
      <c r="V20">
        <v>63.33</v>
      </c>
      <c r="W20">
        <v>93.33</v>
      </c>
      <c r="X20">
        <v>90</v>
      </c>
      <c r="Z20" t="s">
        <v>43</v>
      </c>
      <c r="AA20">
        <v>92</v>
      </c>
      <c r="AB20">
        <v>1782745205</v>
      </c>
    </row>
    <row r="21" spans="1:28" x14ac:dyDescent="0.25">
      <c r="A21" t="s">
        <v>101</v>
      </c>
      <c r="B21" t="s">
        <v>102</v>
      </c>
      <c r="C21">
        <v>4</v>
      </c>
      <c r="D21" t="s">
        <v>39</v>
      </c>
      <c r="E21" s="4">
        <v>92</v>
      </c>
      <c r="F21" s="3"/>
      <c r="G21" s="3">
        <f t="shared" si="3"/>
        <v>87.224400000000003</v>
      </c>
      <c r="H21" s="3">
        <v>68.122</v>
      </c>
      <c r="I21" s="3"/>
      <c r="J21" s="3"/>
      <c r="K21" s="2">
        <f t="shared" si="0"/>
        <v>16.97</v>
      </c>
      <c r="L21" s="2" t="str">
        <f t="shared" si="1"/>
        <v>E</v>
      </c>
      <c r="M21" t="str">
        <f t="shared" si="2"/>
        <v>0</v>
      </c>
      <c r="N21" t="s">
        <v>103</v>
      </c>
      <c r="O21">
        <v>24060124140155</v>
      </c>
      <c r="P21" t="s">
        <v>104</v>
      </c>
      <c r="S21" t="s">
        <v>105</v>
      </c>
      <c r="T21" t="s">
        <v>43</v>
      </c>
      <c r="U21">
        <v>77.27</v>
      </c>
      <c r="V21">
        <v>86.67</v>
      </c>
      <c r="W21">
        <v>86.67</v>
      </c>
      <c r="X21">
        <v>90</v>
      </c>
      <c r="Z21" t="s">
        <v>43</v>
      </c>
      <c r="AA21">
        <v>92</v>
      </c>
      <c r="AB21">
        <v>1782745205</v>
      </c>
    </row>
    <row r="22" spans="1:28" x14ac:dyDescent="0.25">
      <c r="A22" t="s">
        <v>106</v>
      </c>
      <c r="B22" t="s">
        <v>107</v>
      </c>
      <c r="C22">
        <v>4</v>
      </c>
      <c r="D22" t="s">
        <v>39</v>
      </c>
      <c r="E22" s="4">
        <v>96</v>
      </c>
      <c r="F22" s="3"/>
      <c r="G22" s="3">
        <f t="shared" si="3"/>
        <v>93.502800000000008</v>
      </c>
      <c r="H22" s="3">
        <v>83.513999999999996</v>
      </c>
      <c r="I22" s="3"/>
      <c r="J22" s="3"/>
      <c r="K22" s="2">
        <f t="shared" si="0"/>
        <v>18.45</v>
      </c>
      <c r="L22" s="2" t="str">
        <f t="shared" si="1"/>
        <v>E</v>
      </c>
      <c r="M22" t="str">
        <f t="shared" si="2"/>
        <v>0</v>
      </c>
      <c r="N22" t="s">
        <v>108</v>
      </c>
      <c r="O22">
        <v>24060124140157</v>
      </c>
      <c r="P22" t="s">
        <v>109</v>
      </c>
      <c r="S22" t="s">
        <v>110</v>
      </c>
      <c r="T22">
        <v>75</v>
      </c>
      <c r="U22">
        <v>90.91</v>
      </c>
      <c r="V22">
        <v>63.33</v>
      </c>
      <c r="W22">
        <v>93.33</v>
      </c>
      <c r="X22">
        <v>95</v>
      </c>
      <c r="Z22">
        <v>9.48</v>
      </c>
      <c r="AA22">
        <v>96</v>
      </c>
      <c r="AB22">
        <v>1782745205</v>
      </c>
    </row>
    <row r="23" spans="1:28" x14ac:dyDescent="0.25">
      <c r="A23" t="s">
        <v>111</v>
      </c>
      <c r="B23" t="s">
        <v>112</v>
      </c>
      <c r="C23">
        <v>4</v>
      </c>
      <c r="D23" t="s">
        <v>39</v>
      </c>
      <c r="E23" s="4">
        <v>96</v>
      </c>
      <c r="F23" s="3"/>
      <c r="G23" s="3">
        <f t="shared" si="3"/>
        <v>93.454400000000021</v>
      </c>
      <c r="H23" s="3">
        <v>83.272000000000006</v>
      </c>
      <c r="I23" s="3"/>
      <c r="J23" s="3"/>
      <c r="K23" s="2">
        <f t="shared" si="0"/>
        <v>18.440000000000001</v>
      </c>
      <c r="L23" s="2" t="str">
        <f t="shared" si="1"/>
        <v>E</v>
      </c>
      <c r="M23" t="str">
        <f t="shared" si="2"/>
        <v>0</v>
      </c>
      <c r="N23" t="s">
        <v>113</v>
      </c>
      <c r="O23">
        <v>24060124140178</v>
      </c>
      <c r="P23" t="s">
        <v>114</v>
      </c>
      <c r="S23" t="s">
        <v>115</v>
      </c>
      <c r="T23">
        <v>58.33</v>
      </c>
      <c r="U23">
        <v>86.36</v>
      </c>
      <c r="V23">
        <v>86.67</v>
      </c>
      <c r="W23">
        <v>100</v>
      </c>
      <c r="X23">
        <v>85</v>
      </c>
      <c r="Z23" t="s">
        <v>43</v>
      </c>
      <c r="AA23">
        <v>96</v>
      </c>
      <c r="AB23">
        <v>1782745205</v>
      </c>
    </row>
    <row r="24" spans="1:28" x14ac:dyDescent="0.25">
      <c r="A24" t="s">
        <v>116</v>
      </c>
      <c r="B24" t="s">
        <v>117</v>
      </c>
      <c r="C24">
        <v>4</v>
      </c>
      <c r="D24" t="s">
        <v>39</v>
      </c>
      <c r="E24" s="4">
        <v>97</v>
      </c>
      <c r="F24" s="3"/>
      <c r="G24" s="3">
        <f t="shared" si="3"/>
        <v>94.884800000000013</v>
      </c>
      <c r="H24" s="3">
        <v>86.424000000000007</v>
      </c>
      <c r="I24" s="3"/>
      <c r="J24" s="3"/>
      <c r="K24" s="2">
        <f t="shared" si="0"/>
        <v>18.77</v>
      </c>
      <c r="L24" s="2" t="str">
        <f t="shared" si="1"/>
        <v>E</v>
      </c>
      <c r="M24" t="str">
        <f t="shared" si="2"/>
        <v>0</v>
      </c>
      <c r="N24" t="s">
        <v>118</v>
      </c>
      <c r="O24">
        <v>24060124120017</v>
      </c>
      <c r="P24" t="s">
        <v>119</v>
      </c>
      <c r="S24" t="s">
        <v>120</v>
      </c>
      <c r="T24">
        <v>66.67</v>
      </c>
      <c r="U24">
        <v>95.45</v>
      </c>
      <c r="V24">
        <v>93.33</v>
      </c>
      <c r="W24">
        <v>91.67</v>
      </c>
      <c r="X24">
        <v>85</v>
      </c>
      <c r="Z24">
        <v>8.66</v>
      </c>
      <c r="AA24">
        <v>97</v>
      </c>
      <c r="AB24">
        <v>1782745205</v>
      </c>
    </row>
    <row r="25" spans="1:28" x14ac:dyDescent="0.25">
      <c r="A25" t="s">
        <v>121</v>
      </c>
      <c r="B25" t="s">
        <v>122</v>
      </c>
      <c r="C25">
        <v>4</v>
      </c>
      <c r="D25" t="s">
        <v>39</v>
      </c>
      <c r="E25" s="4">
        <v>84</v>
      </c>
      <c r="F25" s="3"/>
      <c r="G25" s="3">
        <f t="shared" si="3"/>
        <v>83.285200000000003</v>
      </c>
      <c r="H25" s="3">
        <v>80.426000000000016</v>
      </c>
      <c r="I25" s="3"/>
      <c r="J25" s="3"/>
      <c r="K25" s="2">
        <f t="shared" si="0"/>
        <v>16.59</v>
      </c>
      <c r="L25" s="2" t="str">
        <f t="shared" si="1"/>
        <v>E</v>
      </c>
      <c r="M25" t="str">
        <f t="shared" si="2"/>
        <v>0</v>
      </c>
      <c r="N25" t="s">
        <v>123</v>
      </c>
      <c r="O25">
        <v>24060124130077</v>
      </c>
      <c r="P25" t="s">
        <v>124</v>
      </c>
      <c r="S25" t="s">
        <v>125</v>
      </c>
      <c r="T25">
        <v>75</v>
      </c>
      <c r="U25">
        <v>78.790000000000006</v>
      </c>
      <c r="V25">
        <v>66.67</v>
      </c>
      <c r="W25">
        <v>96.67</v>
      </c>
      <c r="X25">
        <v>85</v>
      </c>
      <c r="Z25">
        <v>8.3800000000000008</v>
      </c>
      <c r="AA25">
        <v>84</v>
      </c>
      <c r="AB25">
        <v>1782745205</v>
      </c>
    </row>
    <row r="26" spans="1:28" x14ac:dyDescent="0.25">
      <c r="A26" t="s">
        <v>126</v>
      </c>
      <c r="B26" t="s">
        <v>127</v>
      </c>
      <c r="C26">
        <v>4</v>
      </c>
      <c r="D26" t="s">
        <v>39</v>
      </c>
      <c r="E26" s="4">
        <v>94</v>
      </c>
      <c r="F26" s="3"/>
      <c r="G26" s="3">
        <f t="shared" si="3"/>
        <v>91.75160000000001</v>
      </c>
      <c r="H26" s="3">
        <v>82.75800000000001</v>
      </c>
      <c r="I26" s="3"/>
      <c r="J26" s="3"/>
      <c r="K26" s="2">
        <f t="shared" si="0"/>
        <v>18.13</v>
      </c>
      <c r="L26" s="2" t="str">
        <f t="shared" si="1"/>
        <v>E</v>
      </c>
      <c r="M26" t="str">
        <f t="shared" si="2"/>
        <v>0</v>
      </c>
      <c r="N26" t="s">
        <v>128</v>
      </c>
      <c r="O26">
        <v>24060124130094</v>
      </c>
      <c r="P26" t="s">
        <v>129</v>
      </c>
      <c r="S26" t="s">
        <v>130</v>
      </c>
      <c r="T26">
        <v>66.67</v>
      </c>
      <c r="U26">
        <v>95.45</v>
      </c>
      <c r="V26">
        <v>60</v>
      </c>
      <c r="W26">
        <v>96.67</v>
      </c>
      <c r="X26">
        <v>95</v>
      </c>
      <c r="Z26" t="s">
        <v>43</v>
      </c>
      <c r="AA26">
        <v>94</v>
      </c>
      <c r="AB26">
        <v>1782745205</v>
      </c>
    </row>
    <row r="27" spans="1:28" x14ac:dyDescent="0.25">
      <c r="A27" t="s">
        <v>131</v>
      </c>
      <c r="B27" t="s">
        <v>132</v>
      </c>
      <c r="C27">
        <v>4</v>
      </c>
      <c r="D27" t="s">
        <v>39</v>
      </c>
      <c r="E27" s="4">
        <v>87.67</v>
      </c>
      <c r="F27" s="3"/>
      <c r="G27" s="3">
        <f t="shared" si="3"/>
        <v>80.754000000000005</v>
      </c>
      <c r="H27" s="3">
        <v>53.089999999999996</v>
      </c>
      <c r="I27" s="3"/>
      <c r="J27" s="3"/>
      <c r="K27" s="2">
        <f t="shared" si="0"/>
        <v>15.46</v>
      </c>
      <c r="L27" s="2" t="str">
        <f t="shared" si="1"/>
        <v>E</v>
      </c>
      <c r="M27" t="str">
        <f t="shared" si="2"/>
        <v>0</v>
      </c>
      <c r="N27" t="s">
        <v>133</v>
      </c>
      <c r="O27">
        <v>24060124140187</v>
      </c>
      <c r="P27" t="s">
        <v>134</v>
      </c>
      <c r="S27" t="s">
        <v>135</v>
      </c>
      <c r="T27">
        <v>66.67</v>
      </c>
      <c r="U27">
        <v>95.45</v>
      </c>
      <c r="V27">
        <v>33.33</v>
      </c>
      <c r="W27" t="s">
        <v>43</v>
      </c>
      <c r="X27">
        <v>70</v>
      </c>
      <c r="Z27" t="s">
        <v>43</v>
      </c>
      <c r="AA27">
        <v>87.67</v>
      </c>
      <c r="AB27">
        <v>1782745205</v>
      </c>
    </row>
    <row r="28" spans="1:28" x14ac:dyDescent="0.25">
      <c r="A28" t="s">
        <v>136</v>
      </c>
      <c r="B28" t="s">
        <v>137</v>
      </c>
      <c r="C28">
        <v>4</v>
      </c>
      <c r="D28" t="s">
        <v>39</v>
      </c>
      <c r="E28" s="4">
        <v>93</v>
      </c>
      <c r="F28" s="3"/>
      <c r="G28" s="3">
        <f t="shared" si="3"/>
        <v>89.951600000000013</v>
      </c>
      <c r="H28" s="3">
        <v>77.75800000000001</v>
      </c>
      <c r="I28" s="3"/>
      <c r="J28" s="3"/>
      <c r="K28" s="2">
        <f t="shared" si="0"/>
        <v>17.690000000000001</v>
      </c>
      <c r="L28" s="2" t="str">
        <f t="shared" si="1"/>
        <v>E</v>
      </c>
      <c r="M28" t="str">
        <f t="shared" si="2"/>
        <v>0</v>
      </c>
      <c r="N28" t="s">
        <v>138</v>
      </c>
      <c r="O28">
        <v>24060124140193</v>
      </c>
      <c r="P28" t="s">
        <v>139</v>
      </c>
      <c r="S28" t="s">
        <v>140</v>
      </c>
      <c r="T28">
        <v>75</v>
      </c>
      <c r="U28">
        <v>78.790000000000006</v>
      </c>
      <c r="V28">
        <v>50</v>
      </c>
      <c r="W28">
        <v>90</v>
      </c>
      <c r="X28">
        <v>95</v>
      </c>
      <c r="Z28">
        <v>5.82</v>
      </c>
      <c r="AA28">
        <v>93</v>
      </c>
      <c r="AB28">
        <v>1782745205</v>
      </c>
    </row>
    <row r="29" spans="1:28" x14ac:dyDescent="0.25">
      <c r="A29" t="s">
        <v>141</v>
      </c>
      <c r="B29" t="s">
        <v>142</v>
      </c>
      <c r="C29">
        <v>4</v>
      </c>
      <c r="D29" t="s">
        <v>39</v>
      </c>
      <c r="E29" s="4">
        <v>100</v>
      </c>
      <c r="F29" s="3"/>
      <c r="G29" s="3">
        <f t="shared" si="3"/>
        <v>95.83</v>
      </c>
      <c r="H29" s="3">
        <v>79.150000000000006</v>
      </c>
      <c r="I29" s="3"/>
      <c r="J29" s="3"/>
      <c r="K29" s="2">
        <f t="shared" si="0"/>
        <v>18.75</v>
      </c>
      <c r="L29" s="2" t="str">
        <f t="shared" si="1"/>
        <v>E</v>
      </c>
      <c r="M29" t="str">
        <f t="shared" si="2"/>
        <v>0</v>
      </c>
      <c r="N29" t="s">
        <v>143</v>
      </c>
      <c r="O29">
        <v>24060124120044</v>
      </c>
      <c r="P29" t="s">
        <v>144</v>
      </c>
      <c r="S29" t="s">
        <v>145</v>
      </c>
      <c r="T29">
        <v>66.67</v>
      </c>
      <c r="U29">
        <v>92.42</v>
      </c>
      <c r="V29">
        <v>63.33</v>
      </c>
      <c r="W29">
        <v>93.33</v>
      </c>
      <c r="X29">
        <v>80</v>
      </c>
      <c r="Z29">
        <v>9.48</v>
      </c>
      <c r="AA29">
        <v>100</v>
      </c>
      <c r="AB29">
        <v>1782745205</v>
      </c>
    </row>
    <row r="30" spans="1:28" x14ac:dyDescent="0.25">
      <c r="A30" t="s">
        <v>146</v>
      </c>
      <c r="B30" t="s">
        <v>147</v>
      </c>
      <c r="C30">
        <v>4</v>
      </c>
      <c r="D30" t="s">
        <v>39</v>
      </c>
      <c r="E30" s="4">
        <v>96</v>
      </c>
      <c r="F30" s="3"/>
      <c r="G30" s="3">
        <f t="shared" si="3"/>
        <v>93.915200000000013</v>
      </c>
      <c r="H30" s="3">
        <v>85.575999999999993</v>
      </c>
      <c r="I30" s="3"/>
      <c r="J30" s="3"/>
      <c r="K30" s="2">
        <f t="shared" si="0"/>
        <v>18.57</v>
      </c>
      <c r="L30" s="2" t="str">
        <f t="shared" si="1"/>
        <v>E</v>
      </c>
      <c r="M30" t="str">
        <f t="shared" si="2"/>
        <v>0</v>
      </c>
      <c r="N30" t="s">
        <v>148</v>
      </c>
      <c r="O30">
        <v>24060124130081</v>
      </c>
      <c r="P30" t="s">
        <v>149</v>
      </c>
      <c r="S30" t="s">
        <v>150</v>
      </c>
      <c r="T30">
        <v>66.67</v>
      </c>
      <c r="U30">
        <v>87.88</v>
      </c>
      <c r="V30">
        <v>80</v>
      </c>
      <c r="W30">
        <v>93.33</v>
      </c>
      <c r="X30">
        <v>100</v>
      </c>
      <c r="Z30">
        <v>9.3800000000000008</v>
      </c>
      <c r="AA30">
        <v>96</v>
      </c>
      <c r="AB30">
        <v>1782745205</v>
      </c>
    </row>
    <row r="31" spans="1:28" x14ac:dyDescent="0.25">
      <c r="A31" t="s">
        <v>151</v>
      </c>
      <c r="B31" t="s">
        <v>152</v>
      </c>
      <c r="C31">
        <v>4</v>
      </c>
      <c r="D31" t="s">
        <v>39</v>
      </c>
      <c r="E31" s="4">
        <v>89</v>
      </c>
      <c r="F31" s="3"/>
      <c r="G31" s="3">
        <f t="shared" si="3"/>
        <v>88.266800000000003</v>
      </c>
      <c r="H31" s="3">
        <v>85.334000000000003</v>
      </c>
      <c r="I31" s="3"/>
      <c r="J31" s="3"/>
      <c r="K31" s="2">
        <f t="shared" si="0"/>
        <v>17.579999999999998</v>
      </c>
      <c r="L31" s="2" t="str">
        <f t="shared" si="1"/>
        <v>E</v>
      </c>
      <c r="M31" t="str">
        <f t="shared" si="2"/>
        <v>0</v>
      </c>
      <c r="N31" t="s">
        <v>153</v>
      </c>
      <c r="O31">
        <v>24060124140128</v>
      </c>
      <c r="P31" t="s">
        <v>154</v>
      </c>
      <c r="S31" t="s">
        <v>155</v>
      </c>
      <c r="T31">
        <v>66.67</v>
      </c>
      <c r="U31">
        <v>83.33</v>
      </c>
      <c r="V31">
        <v>90</v>
      </c>
      <c r="W31">
        <v>86.67</v>
      </c>
      <c r="X31">
        <v>100</v>
      </c>
      <c r="Z31" t="s">
        <v>43</v>
      </c>
      <c r="AA31">
        <v>89</v>
      </c>
      <c r="AB31">
        <v>1782745205</v>
      </c>
    </row>
    <row r="32" spans="1:28" x14ac:dyDescent="0.25">
      <c r="A32" t="s">
        <v>156</v>
      </c>
      <c r="B32" t="s">
        <v>157</v>
      </c>
      <c r="C32">
        <v>4</v>
      </c>
      <c r="D32" t="s">
        <v>39</v>
      </c>
      <c r="E32" s="4">
        <v>92</v>
      </c>
      <c r="F32" s="3"/>
      <c r="G32" s="3">
        <f t="shared" si="3"/>
        <v>91.218400000000017</v>
      </c>
      <c r="H32" s="3">
        <v>88.092000000000013</v>
      </c>
      <c r="I32" s="3"/>
      <c r="J32" s="3"/>
      <c r="K32" s="2">
        <f t="shared" si="0"/>
        <v>18.170000000000002</v>
      </c>
      <c r="L32" s="2" t="str">
        <f t="shared" si="1"/>
        <v>E</v>
      </c>
      <c r="M32" t="str">
        <f t="shared" si="2"/>
        <v>0</v>
      </c>
      <c r="N32" t="s">
        <v>158</v>
      </c>
      <c r="O32">
        <v>24060124140153</v>
      </c>
      <c r="P32" t="s">
        <v>159</v>
      </c>
      <c r="S32" t="s">
        <v>160</v>
      </c>
      <c r="T32">
        <v>66.67</v>
      </c>
      <c r="U32">
        <v>95.45</v>
      </c>
      <c r="V32">
        <v>86.67</v>
      </c>
      <c r="W32">
        <v>96.67</v>
      </c>
      <c r="X32">
        <v>95</v>
      </c>
      <c r="Z32" t="s">
        <v>43</v>
      </c>
      <c r="AA32">
        <v>92</v>
      </c>
      <c r="AB32">
        <v>1782745205</v>
      </c>
    </row>
    <row r="33" spans="1:28" x14ac:dyDescent="0.25">
      <c r="A33" t="s">
        <v>161</v>
      </c>
      <c r="B33" t="s">
        <v>162</v>
      </c>
      <c r="C33">
        <v>4</v>
      </c>
      <c r="D33" t="s">
        <v>39</v>
      </c>
      <c r="E33" s="4">
        <v>96</v>
      </c>
      <c r="F33" s="3"/>
      <c r="G33" s="3">
        <f t="shared" si="3"/>
        <v>93.824000000000012</v>
      </c>
      <c r="H33" s="3">
        <v>85.12</v>
      </c>
      <c r="I33" s="3"/>
      <c r="J33" s="3"/>
      <c r="K33" s="2">
        <f t="shared" si="0"/>
        <v>18.55</v>
      </c>
      <c r="L33" s="2" t="str">
        <f t="shared" si="1"/>
        <v>E</v>
      </c>
      <c r="M33" t="str">
        <f t="shared" si="2"/>
        <v>0</v>
      </c>
      <c r="N33" t="s">
        <v>163</v>
      </c>
      <c r="O33">
        <v>24060124120027</v>
      </c>
      <c r="P33" t="s">
        <v>164</v>
      </c>
      <c r="S33" t="s">
        <v>165</v>
      </c>
      <c r="T33">
        <v>58.33</v>
      </c>
      <c r="U33">
        <v>77.27</v>
      </c>
      <c r="V33">
        <v>90</v>
      </c>
      <c r="W33">
        <v>100</v>
      </c>
      <c r="X33">
        <v>100</v>
      </c>
      <c r="Z33" t="s">
        <v>43</v>
      </c>
      <c r="AA33">
        <v>96</v>
      </c>
      <c r="AB33">
        <v>1782745205</v>
      </c>
    </row>
    <row r="34" spans="1:28" x14ac:dyDescent="0.25">
      <c r="A34" t="s">
        <v>166</v>
      </c>
      <c r="B34" t="s">
        <v>167</v>
      </c>
      <c r="C34">
        <v>4</v>
      </c>
      <c r="D34" t="s">
        <v>39</v>
      </c>
      <c r="E34" s="4">
        <v>86</v>
      </c>
      <c r="F34" s="3"/>
      <c r="G34" s="3">
        <f t="shared" si="3"/>
        <v>85.169600000000003</v>
      </c>
      <c r="H34" s="3">
        <v>81.847999999999999</v>
      </c>
      <c r="I34" s="3"/>
      <c r="J34" s="3"/>
      <c r="K34" s="2">
        <f t="shared" si="0"/>
        <v>16.95</v>
      </c>
      <c r="L34" s="2" t="str">
        <f t="shared" si="1"/>
        <v>E</v>
      </c>
      <c r="M34" t="str">
        <f t="shared" si="2"/>
        <v>0</v>
      </c>
      <c r="N34" t="s">
        <v>168</v>
      </c>
      <c r="O34">
        <v>24060124140140</v>
      </c>
      <c r="P34" t="s">
        <v>169</v>
      </c>
      <c r="S34" t="s">
        <v>170</v>
      </c>
      <c r="T34">
        <v>75</v>
      </c>
      <c r="U34">
        <v>90.91</v>
      </c>
      <c r="V34">
        <v>70</v>
      </c>
      <c r="W34">
        <v>83.33</v>
      </c>
      <c r="X34">
        <v>90</v>
      </c>
      <c r="Z34">
        <v>8.69</v>
      </c>
      <c r="AA34">
        <v>86</v>
      </c>
      <c r="AB34">
        <v>1782745205</v>
      </c>
    </row>
    <row r="35" spans="1:28" x14ac:dyDescent="0.25">
      <c r="A35" t="s">
        <v>171</v>
      </c>
      <c r="B35" t="s">
        <v>172</v>
      </c>
      <c r="C35">
        <v>4</v>
      </c>
      <c r="D35" t="s">
        <v>39</v>
      </c>
      <c r="E35" s="4">
        <v>69</v>
      </c>
      <c r="F35" s="3"/>
      <c r="G35" s="3">
        <f t="shared" si="3"/>
        <v>70.23</v>
      </c>
      <c r="H35" s="3">
        <v>75.150000000000006</v>
      </c>
      <c r="I35" s="3"/>
      <c r="J35" s="3"/>
      <c r="K35" s="2">
        <f t="shared" si="0"/>
        <v>14.17</v>
      </c>
      <c r="L35" s="2" t="str">
        <f t="shared" si="1"/>
        <v>E</v>
      </c>
      <c r="M35" t="str">
        <f t="shared" si="2"/>
        <v>0</v>
      </c>
      <c r="N35" t="s">
        <v>173</v>
      </c>
      <c r="O35">
        <v>24060124140141</v>
      </c>
      <c r="P35" t="s">
        <v>174</v>
      </c>
      <c r="S35" t="s">
        <v>175</v>
      </c>
      <c r="T35">
        <v>58.33</v>
      </c>
      <c r="U35">
        <v>84.09</v>
      </c>
      <c r="V35">
        <v>63.33</v>
      </c>
      <c r="W35">
        <v>80</v>
      </c>
      <c r="X35">
        <v>90</v>
      </c>
      <c r="Z35" t="s">
        <v>43</v>
      </c>
      <c r="AA35">
        <v>69</v>
      </c>
      <c r="AB35">
        <v>1782745205</v>
      </c>
    </row>
    <row r="36" spans="1:28" x14ac:dyDescent="0.25">
      <c r="A36" t="s">
        <v>176</v>
      </c>
      <c r="B36" t="s">
        <v>177</v>
      </c>
      <c r="C36">
        <v>4</v>
      </c>
      <c r="D36" t="s">
        <v>39</v>
      </c>
      <c r="E36" s="4">
        <v>99</v>
      </c>
      <c r="F36" s="3"/>
      <c r="G36" s="3">
        <f t="shared" si="3"/>
        <v>97.65440000000001</v>
      </c>
      <c r="H36" s="3">
        <v>92.272000000000006</v>
      </c>
      <c r="I36" s="3"/>
      <c r="J36" s="3"/>
      <c r="K36" s="2">
        <f t="shared" si="0"/>
        <v>19.399999999999999</v>
      </c>
      <c r="L36" s="2" t="str">
        <f t="shared" si="1"/>
        <v>E</v>
      </c>
      <c r="M36" t="str">
        <f t="shared" si="2"/>
        <v>0</v>
      </c>
      <c r="N36" t="s">
        <v>178</v>
      </c>
      <c r="O36">
        <v>24060124120038</v>
      </c>
      <c r="P36" t="s">
        <v>179</v>
      </c>
      <c r="S36" t="s">
        <v>180</v>
      </c>
      <c r="T36">
        <v>83.33</v>
      </c>
      <c r="U36">
        <v>86.36</v>
      </c>
      <c r="V36">
        <v>96.67</v>
      </c>
      <c r="W36">
        <v>100</v>
      </c>
      <c r="X36">
        <v>95</v>
      </c>
      <c r="Z36" t="s">
        <v>43</v>
      </c>
      <c r="AA36">
        <v>99</v>
      </c>
      <c r="AB36">
        <v>1782745205</v>
      </c>
    </row>
    <row r="37" spans="1:28" x14ac:dyDescent="0.25">
      <c r="A37" t="s">
        <v>181</v>
      </c>
      <c r="B37" t="s">
        <v>182</v>
      </c>
      <c r="C37">
        <v>4</v>
      </c>
      <c r="D37" t="s">
        <v>39</v>
      </c>
      <c r="E37" s="4">
        <v>87.33</v>
      </c>
      <c r="F37" s="3"/>
      <c r="G37" s="3">
        <f t="shared" si="3"/>
        <v>86.082400000000007</v>
      </c>
      <c r="H37" s="3">
        <v>81.092000000000013</v>
      </c>
      <c r="I37" s="3"/>
      <c r="J37" s="3"/>
      <c r="K37" s="2">
        <f t="shared" si="0"/>
        <v>17.09</v>
      </c>
      <c r="L37" s="2" t="str">
        <f t="shared" si="1"/>
        <v>E</v>
      </c>
      <c r="M37" t="str">
        <f t="shared" si="2"/>
        <v>0</v>
      </c>
      <c r="N37" t="s">
        <v>183</v>
      </c>
      <c r="O37">
        <v>24060124140152</v>
      </c>
      <c r="P37" t="s">
        <v>184</v>
      </c>
      <c r="S37" t="s">
        <v>185</v>
      </c>
      <c r="T37">
        <v>58.33</v>
      </c>
      <c r="U37">
        <v>78.790000000000006</v>
      </c>
      <c r="V37">
        <v>96.67</v>
      </c>
      <c r="W37">
        <v>81.67</v>
      </c>
      <c r="X37">
        <v>90</v>
      </c>
      <c r="Z37">
        <v>9.24</v>
      </c>
      <c r="AA37">
        <v>87.33</v>
      </c>
      <c r="AB37">
        <v>1782745205</v>
      </c>
    </row>
    <row r="38" spans="1:28" x14ac:dyDescent="0.25">
      <c r="A38" t="s">
        <v>186</v>
      </c>
      <c r="B38" t="s">
        <v>187</v>
      </c>
      <c r="C38">
        <v>4</v>
      </c>
      <c r="D38" t="s">
        <v>39</v>
      </c>
      <c r="E38" s="4">
        <v>95</v>
      </c>
      <c r="F38" s="3"/>
      <c r="G38" s="3">
        <f t="shared" si="3"/>
        <v>94.824399999999997</v>
      </c>
      <c r="H38" s="3">
        <v>94.122</v>
      </c>
      <c r="I38" s="3"/>
      <c r="J38" s="3"/>
      <c r="K38" s="2">
        <f t="shared" si="0"/>
        <v>18.95</v>
      </c>
      <c r="L38" s="2" t="str">
        <f t="shared" si="1"/>
        <v>E</v>
      </c>
      <c r="M38" t="str">
        <f t="shared" si="2"/>
        <v>0</v>
      </c>
      <c r="N38" t="s">
        <v>188</v>
      </c>
      <c r="O38">
        <v>24060124140179</v>
      </c>
      <c r="P38" t="s">
        <v>189</v>
      </c>
      <c r="S38" t="s">
        <v>190</v>
      </c>
      <c r="T38">
        <v>83.33</v>
      </c>
      <c r="U38">
        <v>93.94</v>
      </c>
      <c r="V38">
        <v>96.67</v>
      </c>
      <c r="W38">
        <v>96.67</v>
      </c>
      <c r="X38">
        <v>100</v>
      </c>
      <c r="Z38">
        <v>0.21</v>
      </c>
      <c r="AA38">
        <v>95</v>
      </c>
      <c r="AB38">
        <v>1782745205</v>
      </c>
    </row>
    <row r="39" spans="1:28" x14ac:dyDescent="0.25">
      <c r="A39" t="s">
        <v>191</v>
      </c>
      <c r="B39" t="s">
        <v>192</v>
      </c>
      <c r="C39">
        <v>4</v>
      </c>
      <c r="D39" t="s">
        <v>39</v>
      </c>
      <c r="E39" s="4">
        <v>94.33</v>
      </c>
      <c r="F39" s="3"/>
      <c r="G39" s="3">
        <f t="shared" si="3"/>
        <v>91.930399999999992</v>
      </c>
      <c r="H39" s="3">
        <v>82.331999999999994</v>
      </c>
      <c r="I39" s="3"/>
      <c r="J39" s="3"/>
      <c r="K39" s="2">
        <f t="shared" si="0"/>
        <v>18.149999999999999</v>
      </c>
      <c r="L39" s="2" t="str">
        <f t="shared" si="1"/>
        <v>E</v>
      </c>
      <c r="M39" t="str">
        <f t="shared" si="2"/>
        <v>0</v>
      </c>
      <c r="N39" t="s">
        <v>193</v>
      </c>
      <c r="O39">
        <v>24060124120041</v>
      </c>
      <c r="P39" t="s">
        <v>194</v>
      </c>
      <c r="S39" t="s">
        <v>195</v>
      </c>
      <c r="T39">
        <v>83.33</v>
      </c>
      <c r="U39">
        <v>83.33</v>
      </c>
      <c r="V39">
        <v>56.67</v>
      </c>
      <c r="W39">
        <v>93.33</v>
      </c>
      <c r="X39">
        <v>95</v>
      </c>
      <c r="Z39" t="s">
        <v>43</v>
      </c>
      <c r="AA39">
        <v>94.33</v>
      </c>
      <c r="AB39">
        <v>1782745205</v>
      </c>
    </row>
    <row r="40" spans="1:28" x14ac:dyDescent="0.25">
      <c r="A40" t="s">
        <v>196</v>
      </c>
      <c r="B40" t="s">
        <v>197</v>
      </c>
      <c r="C40">
        <v>4</v>
      </c>
      <c r="D40" t="s">
        <v>39</v>
      </c>
      <c r="E40" s="4">
        <v>99</v>
      </c>
      <c r="F40" s="3"/>
      <c r="G40" s="3">
        <f t="shared" si="3"/>
        <v>96.642400000000009</v>
      </c>
      <c r="H40" s="3">
        <v>87.212000000000003</v>
      </c>
      <c r="I40" s="3"/>
      <c r="J40" s="3"/>
      <c r="K40" s="2">
        <f t="shared" si="0"/>
        <v>19.09</v>
      </c>
      <c r="L40" s="2" t="str">
        <f t="shared" si="1"/>
        <v>E</v>
      </c>
      <c r="M40" t="str">
        <f t="shared" si="2"/>
        <v>0</v>
      </c>
      <c r="N40" t="s">
        <v>198</v>
      </c>
      <c r="O40">
        <v>24060124120050</v>
      </c>
      <c r="P40" t="s">
        <v>199</v>
      </c>
      <c r="S40" t="s">
        <v>200</v>
      </c>
      <c r="T40">
        <v>83.33</v>
      </c>
      <c r="U40">
        <v>72.73</v>
      </c>
      <c r="V40">
        <v>90</v>
      </c>
      <c r="W40">
        <v>100</v>
      </c>
      <c r="X40">
        <v>90</v>
      </c>
      <c r="Z40">
        <v>9.59</v>
      </c>
      <c r="AA40">
        <v>99</v>
      </c>
      <c r="AB40">
        <v>1782745205</v>
      </c>
    </row>
    <row r="41" spans="1:28" x14ac:dyDescent="0.25">
      <c r="A41" t="s">
        <v>201</v>
      </c>
      <c r="B41" t="s">
        <v>202</v>
      </c>
      <c r="C41">
        <v>4</v>
      </c>
      <c r="D41" t="s">
        <v>39</v>
      </c>
      <c r="E41" s="4">
        <v>90</v>
      </c>
      <c r="F41" s="3"/>
      <c r="G41" s="3">
        <f t="shared" si="3"/>
        <v>89.181600000000003</v>
      </c>
      <c r="H41" s="3">
        <v>85.907999999999987</v>
      </c>
      <c r="I41" s="3"/>
      <c r="J41" s="3"/>
      <c r="K41" s="2">
        <f t="shared" si="0"/>
        <v>17.75</v>
      </c>
      <c r="L41" s="2" t="str">
        <f t="shared" si="1"/>
        <v>E</v>
      </c>
      <c r="M41" t="str">
        <f t="shared" si="2"/>
        <v>0</v>
      </c>
      <c r="N41" t="s">
        <v>203</v>
      </c>
      <c r="O41">
        <v>24060124140132</v>
      </c>
      <c r="P41" t="s">
        <v>204</v>
      </c>
      <c r="S41" t="s">
        <v>205</v>
      </c>
      <c r="T41">
        <v>83.33</v>
      </c>
      <c r="U41">
        <v>87.88</v>
      </c>
      <c r="V41">
        <v>70</v>
      </c>
      <c r="W41">
        <v>93.33</v>
      </c>
      <c r="X41">
        <v>95</v>
      </c>
      <c r="Z41">
        <v>9.2799999999999994</v>
      </c>
      <c r="AA41">
        <v>90</v>
      </c>
      <c r="AB41">
        <v>1782745205</v>
      </c>
    </row>
    <row r="42" spans="1:28" x14ac:dyDescent="0.25">
      <c r="A42" t="s">
        <v>206</v>
      </c>
      <c r="B42" t="s">
        <v>207</v>
      </c>
      <c r="C42">
        <v>4</v>
      </c>
      <c r="D42" t="s">
        <v>39</v>
      </c>
      <c r="E42" s="4">
        <v>95.33</v>
      </c>
      <c r="F42" s="3"/>
      <c r="G42" s="3">
        <f t="shared" si="3"/>
        <v>94.5488</v>
      </c>
      <c r="H42" s="3">
        <v>91.424000000000007</v>
      </c>
      <c r="I42" s="3"/>
      <c r="J42" s="3"/>
      <c r="K42" s="2">
        <f t="shared" si="0"/>
        <v>18.829999999999998</v>
      </c>
      <c r="L42" s="2" t="str">
        <f t="shared" si="1"/>
        <v>E</v>
      </c>
      <c r="M42" t="str">
        <f t="shared" si="2"/>
        <v>0</v>
      </c>
      <c r="N42" t="s">
        <v>208</v>
      </c>
      <c r="O42">
        <v>24060124120002</v>
      </c>
      <c r="P42" t="s">
        <v>209</v>
      </c>
      <c r="S42" t="s">
        <v>210</v>
      </c>
      <c r="T42">
        <v>75</v>
      </c>
      <c r="U42">
        <v>95.45</v>
      </c>
      <c r="V42">
        <v>90</v>
      </c>
      <c r="W42">
        <v>96.67</v>
      </c>
      <c r="X42">
        <v>100</v>
      </c>
      <c r="Z42">
        <v>9.59</v>
      </c>
      <c r="AA42">
        <v>95.33</v>
      </c>
      <c r="AB42">
        <v>1782745205</v>
      </c>
    </row>
    <row r="43" spans="1:28" x14ac:dyDescent="0.25">
      <c r="A43" t="s">
        <v>211</v>
      </c>
      <c r="B43" t="s">
        <v>212</v>
      </c>
      <c r="C43">
        <v>4</v>
      </c>
      <c r="D43" t="s">
        <v>39</v>
      </c>
      <c r="E43" s="4">
        <v>89</v>
      </c>
      <c r="F43" s="3"/>
      <c r="G43" s="3">
        <f t="shared" si="3"/>
        <v>84.565200000000004</v>
      </c>
      <c r="H43" s="3">
        <v>66.825999999999993</v>
      </c>
      <c r="I43" s="3"/>
      <c r="J43" s="3"/>
      <c r="K43" s="2">
        <f t="shared" si="0"/>
        <v>16.47</v>
      </c>
      <c r="L43" s="2" t="str">
        <f t="shared" si="1"/>
        <v>E</v>
      </c>
      <c r="M43" t="str">
        <f t="shared" si="2"/>
        <v>0</v>
      </c>
      <c r="N43" t="s">
        <v>213</v>
      </c>
      <c r="O43">
        <v>24060124120034</v>
      </c>
      <c r="P43" t="s">
        <v>214</v>
      </c>
      <c r="S43" t="s">
        <v>215</v>
      </c>
      <c r="T43">
        <v>50</v>
      </c>
      <c r="U43">
        <v>86.36</v>
      </c>
      <c r="V43">
        <v>63.33</v>
      </c>
      <c r="W43">
        <v>74.44</v>
      </c>
      <c r="X43">
        <v>60</v>
      </c>
      <c r="Z43" t="s">
        <v>43</v>
      </c>
      <c r="AA43">
        <v>89</v>
      </c>
      <c r="AB43">
        <v>1782745205</v>
      </c>
    </row>
    <row r="44" spans="1:28" x14ac:dyDescent="0.25">
      <c r="A44" t="s">
        <v>216</v>
      </c>
      <c r="B44" t="s">
        <v>217</v>
      </c>
      <c r="C44">
        <v>4</v>
      </c>
      <c r="D44" t="s">
        <v>39</v>
      </c>
      <c r="E44" s="3"/>
      <c r="F44" s="3"/>
      <c r="G44" s="3"/>
      <c r="H44" s="3"/>
      <c r="I44" s="3"/>
      <c r="J44" s="2"/>
      <c r="K44" s="2">
        <f t="shared" si="0"/>
        <v>0</v>
      </c>
      <c r="L44" s="2" t="str">
        <f t="shared" si="1"/>
        <v>E</v>
      </c>
      <c r="M44" t="str">
        <f t="shared" si="2"/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workbookViewId="0"/>
  </sheetViews>
  <sheetFormatPr defaultRowHeight="15" x14ac:dyDescent="0.25"/>
  <sheetData>
    <row r="1" spans="1:14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</row>
    <row r="2" spans="1:14" x14ac:dyDescent="0.25">
      <c r="A2" t="s">
        <v>218</v>
      </c>
      <c r="B2">
        <v>24060122130082</v>
      </c>
      <c r="C2" t="s">
        <v>219</v>
      </c>
      <c r="F2" t="s">
        <v>220</v>
      </c>
      <c r="G2">
        <v>66.67</v>
      </c>
      <c r="H2">
        <v>95.45</v>
      </c>
      <c r="I2">
        <v>80</v>
      </c>
      <c r="J2">
        <v>81.11</v>
      </c>
      <c r="K2">
        <v>100</v>
      </c>
      <c r="L2" t="s">
        <v>43</v>
      </c>
      <c r="M2">
        <v>93</v>
      </c>
      <c r="N2">
        <v>1782745205</v>
      </c>
    </row>
    <row r="3" spans="1:14" x14ac:dyDescent="0.25">
      <c r="A3" t="s">
        <v>221</v>
      </c>
      <c r="B3">
        <v>24060122140126</v>
      </c>
      <c r="C3" t="s">
        <v>222</v>
      </c>
      <c r="F3" t="s">
        <v>223</v>
      </c>
      <c r="G3">
        <v>75</v>
      </c>
      <c r="H3">
        <v>77.27</v>
      </c>
      <c r="I3">
        <v>46.67</v>
      </c>
      <c r="J3">
        <v>90</v>
      </c>
      <c r="K3">
        <v>95</v>
      </c>
      <c r="L3" t="s">
        <v>43</v>
      </c>
      <c r="M3" t="s">
        <v>43</v>
      </c>
      <c r="N3">
        <v>1782745205</v>
      </c>
    </row>
    <row r="4" spans="1:14" x14ac:dyDescent="0.25">
      <c r="A4" t="s">
        <v>224</v>
      </c>
      <c r="B4">
        <v>24060122140162</v>
      </c>
      <c r="C4" t="s">
        <v>225</v>
      </c>
      <c r="F4" t="s">
        <v>226</v>
      </c>
      <c r="G4">
        <v>66.67</v>
      </c>
      <c r="H4">
        <v>90.91</v>
      </c>
      <c r="I4">
        <v>86.67</v>
      </c>
      <c r="J4">
        <v>96.67</v>
      </c>
      <c r="K4">
        <v>95</v>
      </c>
      <c r="L4">
        <v>9.7899999999999991</v>
      </c>
      <c r="M4">
        <v>95</v>
      </c>
      <c r="N4">
        <v>1782745205</v>
      </c>
    </row>
    <row r="5" spans="1:14" x14ac:dyDescent="0.25">
      <c r="A5" t="s">
        <v>227</v>
      </c>
      <c r="B5">
        <v>24060123140120</v>
      </c>
      <c r="C5" t="s">
        <v>228</v>
      </c>
      <c r="F5" t="s">
        <v>229</v>
      </c>
      <c r="G5">
        <v>83.33</v>
      </c>
      <c r="H5">
        <v>95.45</v>
      </c>
      <c r="I5">
        <v>73.33</v>
      </c>
      <c r="J5">
        <v>97.78</v>
      </c>
      <c r="K5">
        <v>55</v>
      </c>
      <c r="L5">
        <v>9.69</v>
      </c>
      <c r="M5">
        <v>92</v>
      </c>
      <c r="N5">
        <v>1782745205</v>
      </c>
    </row>
    <row r="6" spans="1:14" x14ac:dyDescent="0.25">
      <c r="A6" t="s">
        <v>230</v>
      </c>
      <c r="B6">
        <v>24060123140128</v>
      </c>
      <c r="C6" t="s">
        <v>231</v>
      </c>
      <c r="F6" t="s">
        <v>232</v>
      </c>
      <c r="G6" t="s">
        <v>43</v>
      </c>
      <c r="H6">
        <v>95.45</v>
      </c>
      <c r="I6">
        <v>93.33</v>
      </c>
      <c r="J6">
        <v>96.67</v>
      </c>
      <c r="K6">
        <v>85</v>
      </c>
      <c r="L6" t="s">
        <v>43</v>
      </c>
      <c r="M6" t="s">
        <v>43</v>
      </c>
      <c r="N6">
        <v>1782745205</v>
      </c>
    </row>
    <row r="7" spans="1:14" x14ac:dyDescent="0.25">
      <c r="A7" t="s">
        <v>233</v>
      </c>
      <c r="B7">
        <v>24060123140159</v>
      </c>
      <c r="C7" t="s">
        <v>234</v>
      </c>
      <c r="F7" t="s">
        <v>235</v>
      </c>
      <c r="G7">
        <v>75</v>
      </c>
      <c r="H7">
        <v>92.05</v>
      </c>
      <c r="I7">
        <v>53.33</v>
      </c>
      <c r="J7" t="s">
        <v>43</v>
      </c>
      <c r="K7" t="s">
        <v>43</v>
      </c>
      <c r="L7" t="s">
        <v>43</v>
      </c>
      <c r="M7" t="s">
        <v>43</v>
      </c>
      <c r="N7">
        <v>1782745205</v>
      </c>
    </row>
    <row r="8" spans="1:14" x14ac:dyDescent="0.25">
      <c r="A8" t="s">
        <v>236</v>
      </c>
      <c r="B8">
        <v>24060123140161</v>
      </c>
      <c r="C8" t="s">
        <v>237</v>
      </c>
      <c r="F8" t="s">
        <v>238</v>
      </c>
      <c r="G8" t="s">
        <v>43</v>
      </c>
      <c r="H8">
        <v>83.33</v>
      </c>
      <c r="I8">
        <v>86.67</v>
      </c>
      <c r="J8">
        <v>96.67</v>
      </c>
      <c r="K8">
        <v>75</v>
      </c>
      <c r="L8">
        <v>9.59</v>
      </c>
      <c r="M8">
        <v>99</v>
      </c>
      <c r="N8">
        <v>1782745205</v>
      </c>
    </row>
    <row r="9" spans="1:14" x14ac:dyDescent="0.25">
      <c r="A9" t="s">
        <v>239</v>
      </c>
      <c r="B9">
        <v>24060123140172</v>
      </c>
      <c r="C9" t="s">
        <v>240</v>
      </c>
      <c r="F9" t="s">
        <v>241</v>
      </c>
      <c r="G9">
        <v>33.33</v>
      </c>
      <c r="H9">
        <v>83.33</v>
      </c>
      <c r="I9">
        <v>93.33</v>
      </c>
      <c r="J9">
        <v>96.67</v>
      </c>
      <c r="K9">
        <v>100</v>
      </c>
      <c r="L9">
        <v>1.55</v>
      </c>
      <c r="M9">
        <v>96</v>
      </c>
      <c r="N9">
        <v>1782745205</v>
      </c>
    </row>
    <row r="10" spans="1:14" x14ac:dyDescent="0.25">
      <c r="A10" t="s">
        <v>242</v>
      </c>
      <c r="B10">
        <v>24060123140194</v>
      </c>
      <c r="C10" t="s">
        <v>243</v>
      </c>
      <c r="F10" t="s">
        <v>244</v>
      </c>
      <c r="G10">
        <v>83.33</v>
      </c>
      <c r="H10">
        <v>95.45</v>
      </c>
      <c r="I10">
        <v>76.67</v>
      </c>
      <c r="J10">
        <v>80</v>
      </c>
      <c r="K10">
        <v>100</v>
      </c>
      <c r="L10" t="s">
        <v>43</v>
      </c>
      <c r="M10" t="s">
        <v>43</v>
      </c>
      <c r="N10">
        <v>1782745205</v>
      </c>
    </row>
    <row r="11" spans="1:14" x14ac:dyDescent="0.25">
      <c r="A11" t="s">
        <v>245</v>
      </c>
      <c r="B11">
        <v>24060123140198</v>
      </c>
      <c r="C11" t="s">
        <v>246</v>
      </c>
      <c r="F11" t="s">
        <v>247</v>
      </c>
      <c r="G11" t="s">
        <v>43</v>
      </c>
      <c r="H11">
        <v>95.45</v>
      </c>
      <c r="I11" t="s">
        <v>43</v>
      </c>
      <c r="J11">
        <v>96.67</v>
      </c>
      <c r="K11">
        <v>100</v>
      </c>
      <c r="L11" t="s">
        <v>43</v>
      </c>
      <c r="M11" t="s">
        <v>43</v>
      </c>
      <c r="N11">
        <v>1782745205</v>
      </c>
    </row>
    <row r="12" spans="1:14" x14ac:dyDescent="0.25">
      <c r="A12" t="s">
        <v>71</v>
      </c>
      <c r="B12">
        <v>24060124120001</v>
      </c>
      <c r="C12" t="s">
        <v>72</v>
      </c>
      <c r="F12" t="s">
        <v>73</v>
      </c>
      <c r="G12">
        <v>50</v>
      </c>
      <c r="H12">
        <v>72.73</v>
      </c>
      <c r="I12">
        <v>26.67</v>
      </c>
      <c r="J12">
        <v>93.33</v>
      </c>
      <c r="K12">
        <v>95</v>
      </c>
      <c r="L12">
        <v>9.7899999999999991</v>
      </c>
      <c r="M12">
        <v>98</v>
      </c>
      <c r="N12">
        <v>1782745205</v>
      </c>
    </row>
    <row r="13" spans="1:14" x14ac:dyDescent="0.25">
      <c r="A13" t="s">
        <v>208</v>
      </c>
      <c r="B13">
        <v>24060124120002</v>
      </c>
      <c r="C13" t="s">
        <v>209</v>
      </c>
      <c r="F13" t="s">
        <v>210</v>
      </c>
      <c r="G13">
        <v>75</v>
      </c>
      <c r="H13">
        <v>95.45</v>
      </c>
      <c r="I13">
        <v>90</v>
      </c>
      <c r="J13">
        <v>96.67</v>
      </c>
      <c r="K13">
        <v>100</v>
      </c>
      <c r="L13">
        <v>9.59</v>
      </c>
      <c r="M13">
        <v>95.33</v>
      </c>
      <c r="N13">
        <v>1782745205</v>
      </c>
    </row>
    <row r="14" spans="1:14" x14ac:dyDescent="0.25">
      <c r="A14" t="s">
        <v>118</v>
      </c>
      <c r="B14">
        <v>24060124120017</v>
      </c>
      <c r="C14" t="s">
        <v>119</v>
      </c>
      <c r="F14" t="s">
        <v>120</v>
      </c>
      <c r="G14">
        <v>66.67</v>
      </c>
      <c r="H14">
        <v>95.45</v>
      </c>
      <c r="I14">
        <v>93.33</v>
      </c>
      <c r="J14">
        <v>91.67</v>
      </c>
      <c r="K14">
        <v>85</v>
      </c>
      <c r="L14">
        <v>8.66</v>
      </c>
      <c r="M14">
        <v>97</v>
      </c>
      <c r="N14">
        <v>1782745205</v>
      </c>
    </row>
    <row r="15" spans="1:14" x14ac:dyDescent="0.25">
      <c r="A15" t="s">
        <v>46</v>
      </c>
      <c r="B15">
        <v>24060124120025</v>
      </c>
      <c r="C15" t="s">
        <v>47</v>
      </c>
      <c r="F15" t="s">
        <v>48</v>
      </c>
      <c r="G15">
        <v>41.67</v>
      </c>
      <c r="H15">
        <v>68.180000000000007</v>
      </c>
      <c r="I15">
        <v>56.67</v>
      </c>
      <c r="J15">
        <v>90</v>
      </c>
      <c r="K15">
        <v>100</v>
      </c>
      <c r="L15" t="s">
        <v>43</v>
      </c>
      <c r="M15">
        <v>92</v>
      </c>
      <c r="N15">
        <v>1782745205</v>
      </c>
    </row>
    <row r="16" spans="1:14" x14ac:dyDescent="0.25">
      <c r="A16" t="s">
        <v>163</v>
      </c>
      <c r="B16">
        <v>24060124120027</v>
      </c>
      <c r="C16" t="s">
        <v>164</v>
      </c>
      <c r="F16" t="s">
        <v>165</v>
      </c>
      <c r="G16">
        <v>58.33</v>
      </c>
      <c r="H16">
        <v>77.27</v>
      </c>
      <c r="I16">
        <v>90</v>
      </c>
      <c r="J16">
        <v>100</v>
      </c>
      <c r="K16">
        <v>100</v>
      </c>
      <c r="L16" t="s">
        <v>43</v>
      </c>
      <c r="M16">
        <v>96</v>
      </c>
      <c r="N16">
        <v>1782745205</v>
      </c>
    </row>
    <row r="17" spans="1:14" x14ac:dyDescent="0.25">
      <c r="A17" t="s">
        <v>213</v>
      </c>
      <c r="B17">
        <v>24060124120034</v>
      </c>
      <c r="C17" t="s">
        <v>214</v>
      </c>
      <c r="F17" t="s">
        <v>215</v>
      </c>
      <c r="G17">
        <v>50</v>
      </c>
      <c r="H17">
        <v>86.36</v>
      </c>
      <c r="I17">
        <v>63.33</v>
      </c>
      <c r="J17">
        <v>74.44</v>
      </c>
      <c r="K17">
        <v>60</v>
      </c>
      <c r="L17" t="s">
        <v>43</v>
      </c>
      <c r="M17">
        <v>89</v>
      </c>
      <c r="N17">
        <v>1782745205</v>
      </c>
    </row>
    <row r="18" spans="1:14" x14ac:dyDescent="0.25">
      <c r="A18" t="s">
        <v>178</v>
      </c>
      <c r="B18">
        <v>24060124120038</v>
      </c>
      <c r="C18" t="s">
        <v>179</v>
      </c>
      <c r="F18" t="s">
        <v>180</v>
      </c>
      <c r="G18">
        <v>83.33</v>
      </c>
      <c r="H18">
        <v>86.36</v>
      </c>
      <c r="I18">
        <v>96.67</v>
      </c>
      <c r="J18">
        <v>100</v>
      </c>
      <c r="K18">
        <v>95</v>
      </c>
      <c r="L18" t="s">
        <v>43</v>
      </c>
      <c r="M18">
        <v>99</v>
      </c>
      <c r="N18">
        <v>1782745205</v>
      </c>
    </row>
    <row r="19" spans="1:14" x14ac:dyDescent="0.25">
      <c r="A19" t="s">
        <v>193</v>
      </c>
      <c r="B19">
        <v>24060124120041</v>
      </c>
      <c r="C19" t="s">
        <v>194</v>
      </c>
      <c r="F19" t="s">
        <v>195</v>
      </c>
      <c r="G19">
        <v>83.33</v>
      </c>
      <c r="H19">
        <v>83.33</v>
      </c>
      <c r="I19">
        <v>56.67</v>
      </c>
      <c r="J19">
        <v>93.33</v>
      </c>
      <c r="K19">
        <v>95</v>
      </c>
      <c r="L19" t="s">
        <v>43</v>
      </c>
      <c r="M19">
        <v>94.33</v>
      </c>
      <c r="N19">
        <v>1782745205</v>
      </c>
    </row>
    <row r="20" spans="1:14" x14ac:dyDescent="0.25">
      <c r="A20" t="s">
        <v>76</v>
      </c>
      <c r="B20">
        <v>24060124120043</v>
      </c>
      <c r="C20" t="s">
        <v>77</v>
      </c>
      <c r="F20" t="s">
        <v>78</v>
      </c>
      <c r="G20">
        <v>75</v>
      </c>
      <c r="H20">
        <v>90.91</v>
      </c>
      <c r="I20">
        <v>73.33</v>
      </c>
      <c r="J20">
        <v>90</v>
      </c>
      <c r="K20">
        <v>90</v>
      </c>
      <c r="L20">
        <v>8.9700000000000006</v>
      </c>
      <c r="M20">
        <v>95</v>
      </c>
      <c r="N20">
        <v>1782745205</v>
      </c>
    </row>
    <row r="21" spans="1:14" x14ac:dyDescent="0.25">
      <c r="A21" t="s">
        <v>143</v>
      </c>
      <c r="B21">
        <v>24060124120044</v>
      </c>
      <c r="C21" t="s">
        <v>144</v>
      </c>
      <c r="F21" t="s">
        <v>145</v>
      </c>
      <c r="G21">
        <v>66.67</v>
      </c>
      <c r="H21">
        <v>92.42</v>
      </c>
      <c r="I21">
        <v>63.33</v>
      </c>
      <c r="J21">
        <v>93.33</v>
      </c>
      <c r="K21">
        <v>80</v>
      </c>
      <c r="L21">
        <v>9.48</v>
      </c>
      <c r="M21">
        <v>100</v>
      </c>
      <c r="N21">
        <v>1782745205</v>
      </c>
    </row>
    <row r="22" spans="1:14" x14ac:dyDescent="0.25">
      <c r="A22" t="s">
        <v>198</v>
      </c>
      <c r="B22">
        <v>24060124120050</v>
      </c>
      <c r="C22" t="s">
        <v>199</v>
      </c>
      <c r="F22" t="s">
        <v>200</v>
      </c>
      <c r="G22">
        <v>83.33</v>
      </c>
      <c r="H22">
        <v>72.73</v>
      </c>
      <c r="I22">
        <v>90</v>
      </c>
      <c r="J22">
        <v>100</v>
      </c>
      <c r="K22">
        <v>90</v>
      </c>
      <c r="L22">
        <v>9.59</v>
      </c>
      <c r="M22">
        <v>99</v>
      </c>
      <c r="N22">
        <v>1782745205</v>
      </c>
    </row>
    <row r="23" spans="1:14" x14ac:dyDescent="0.25">
      <c r="A23" t="s">
        <v>81</v>
      </c>
      <c r="B23">
        <v>24060124130071</v>
      </c>
      <c r="C23" t="s">
        <v>82</v>
      </c>
      <c r="F23" t="s">
        <v>83</v>
      </c>
      <c r="G23">
        <v>75</v>
      </c>
      <c r="H23">
        <v>92.42</v>
      </c>
      <c r="I23">
        <v>80</v>
      </c>
      <c r="J23">
        <v>96.67</v>
      </c>
      <c r="K23">
        <v>85</v>
      </c>
      <c r="L23">
        <v>8.7799999999999994</v>
      </c>
      <c r="M23">
        <v>98</v>
      </c>
      <c r="N23">
        <v>1782745205</v>
      </c>
    </row>
    <row r="24" spans="1:14" x14ac:dyDescent="0.25">
      <c r="A24" t="s">
        <v>123</v>
      </c>
      <c r="B24">
        <v>24060124130077</v>
      </c>
      <c r="C24" t="s">
        <v>124</v>
      </c>
      <c r="F24" t="s">
        <v>125</v>
      </c>
      <c r="G24">
        <v>75</v>
      </c>
      <c r="H24">
        <v>78.790000000000006</v>
      </c>
      <c r="I24">
        <v>66.67</v>
      </c>
      <c r="J24">
        <v>96.67</v>
      </c>
      <c r="K24">
        <v>85</v>
      </c>
      <c r="L24">
        <v>8.3800000000000008</v>
      </c>
      <c r="M24">
        <v>84</v>
      </c>
      <c r="N24">
        <v>1782745205</v>
      </c>
    </row>
    <row r="25" spans="1:14" x14ac:dyDescent="0.25">
      <c r="A25" t="s">
        <v>248</v>
      </c>
      <c r="B25">
        <v>24060124130078</v>
      </c>
      <c r="C25" t="s">
        <v>249</v>
      </c>
      <c r="F25" t="s">
        <v>250</v>
      </c>
      <c r="G25">
        <v>66.67</v>
      </c>
      <c r="H25">
        <v>95.45</v>
      </c>
      <c r="I25">
        <v>56.67</v>
      </c>
      <c r="J25">
        <v>93.33</v>
      </c>
      <c r="K25">
        <v>95</v>
      </c>
      <c r="L25">
        <v>6.29</v>
      </c>
      <c r="M25">
        <v>93</v>
      </c>
      <c r="N25">
        <v>1782745205</v>
      </c>
    </row>
    <row r="26" spans="1:14" x14ac:dyDescent="0.25">
      <c r="A26" t="s">
        <v>148</v>
      </c>
      <c r="B26">
        <v>24060124130081</v>
      </c>
      <c r="C26" t="s">
        <v>149</v>
      </c>
      <c r="F26" t="s">
        <v>150</v>
      </c>
      <c r="G26">
        <v>66.67</v>
      </c>
      <c r="H26">
        <v>87.88</v>
      </c>
      <c r="I26">
        <v>80</v>
      </c>
      <c r="J26">
        <v>93.33</v>
      </c>
      <c r="K26">
        <v>100</v>
      </c>
      <c r="L26">
        <v>9.3800000000000008</v>
      </c>
      <c r="M26">
        <v>96</v>
      </c>
      <c r="N26">
        <v>1782745205</v>
      </c>
    </row>
    <row r="27" spans="1:14" x14ac:dyDescent="0.25">
      <c r="A27" t="s">
        <v>88</v>
      </c>
      <c r="B27">
        <v>24060124130085</v>
      </c>
      <c r="C27" t="s">
        <v>89</v>
      </c>
      <c r="F27" t="s">
        <v>90</v>
      </c>
      <c r="G27" t="s">
        <v>43</v>
      </c>
      <c r="H27">
        <v>86.36</v>
      </c>
      <c r="I27">
        <v>56.67</v>
      </c>
      <c r="J27">
        <v>94.44</v>
      </c>
      <c r="K27">
        <v>85</v>
      </c>
      <c r="L27" t="s">
        <v>43</v>
      </c>
      <c r="M27">
        <v>93</v>
      </c>
      <c r="N27">
        <v>1782745205</v>
      </c>
    </row>
    <row r="28" spans="1:14" x14ac:dyDescent="0.25">
      <c r="A28" t="s">
        <v>128</v>
      </c>
      <c r="B28">
        <v>24060124130094</v>
      </c>
      <c r="C28" t="s">
        <v>129</v>
      </c>
      <c r="F28" t="s">
        <v>130</v>
      </c>
      <c r="G28">
        <v>66.67</v>
      </c>
      <c r="H28">
        <v>95.45</v>
      </c>
      <c r="I28">
        <v>60</v>
      </c>
      <c r="J28">
        <v>96.67</v>
      </c>
      <c r="K28">
        <v>95</v>
      </c>
      <c r="L28" t="s">
        <v>43</v>
      </c>
      <c r="M28">
        <v>94</v>
      </c>
      <c r="N28">
        <v>1782745205</v>
      </c>
    </row>
    <row r="29" spans="1:14" x14ac:dyDescent="0.25">
      <c r="A29" t="s">
        <v>51</v>
      </c>
      <c r="B29">
        <v>24060124130101</v>
      </c>
      <c r="C29" t="s">
        <v>52</v>
      </c>
      <c r="F29" t="s">
        <v>53</v>
      </c>
      <c r="G29">
        <v>83.33</v>
      </c>
      <c r="H29">
        <v>95.45</v>
      </c>
      <c r="I29">
        <v>66.67</v>
      </c>
      <c r="J29">
        <v>90</v>
      </c>
      <c r="K29">
        <v>100</v>
      </c>
      <c r="L29">
        <v>9.7899999999999991</v>
      </c>
      <c r="M29">
        <v>100</v>
      </c>
      <c r="N29">
        <v>1782745205</v>
      </c>
    </row>
    <row r="30" spans="1:14" x14ac:dyDescent="0.25">
      <c r="A30" t="s">
        <v>251</v>
      </c>
      <c r="B30">
        <v>24060124130105</v>
      </c>
      <c r="C30" t="s">
        <v>252</v>
      </c>
      <c r="F30" t="s">
        <v>253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>
        <v>1782745205</v>
      </c>
    </row>
    <row r="31" spans="1:14" x14ac:dyDescent="0.25">
      <c r="A31" t="s">
        <v>93</v>
      </c>
      <c r="B31">
        <v>24060124130106</v>
      </c>
      <c r="C31" t="s">
        <v>94</v>
      </c>
      <c r="F31" t="s">
        <v>95</v>
      </c>
      <c r="G31">
        <v>75</v>
      </c>
      <c r="H31">
        <v>86.36</v>
      </c>
      <c r="I31">
        <v>76.67</v>
      </c>
      <c r="J31">
        <v>89.44</v>
      </c>
      <c r="K31">
        <v>100</v>
      </c>
      <c r="L31" t="s">
        <v>43</v>
      </c>
      <c r="M31">
        <v>89.33</v>
      </c>
      <c r="N31">
        <v>1782745205</v>
      </c>
    </row>
    <row r="32" spans="1:14" x14ac:dyDescent="0.25">
      <c r="A32" t="s">
        <v>56</v>
      </c>
      <c r="B32">
        <v>24060124130121</v>
      </c>
      <c r="C32" t="s">
        <v>57</v>
      </c>
      <c r="F32" t="s">
        <v>58</v>
      </c>
      <c r="G32">
        <v>75</v>
      </c>
      <c r="H32">
        <v>72.73</v>
      </c>
      <c r="I32">
        <v>70</v>
      </c>
      <c r="J32">
        <v>90</v>
      </c>
      <c r="K32">
        <v>100</v>
      </c>
      <c r="L32" t="s">
        <v>43</v>
      </c>
      <c r="M32">
        <v>88</v>
      </c>
      <c r="N32">
        <v>1782745205</v>
      </c>
    </row>
    <row r="33" spans="1:14" x14ac:dyDescent="0.25">
      <c r="A33" t="s">
        <v>153</v>
      </c>
      <c r="B33">
        <v>24060124140128</v>
      </c>
      <c r="C33" t="s">
        <v>154</v>
      </c>
      <c r="F33" t="s">
        <v>155</v>
      </c>
      <c r="G33">
        <v>66.67</v>
      </c>
      <c r="H33">
        <v>83.33</v>
      </c>
      <c r="I33">
        <v>90</v>
      </c>
      <c r="J33">
        <v>86.67</v>
      </c>
      <c r="K33">
        <v>100</v>
      </c>
      <c r="L33" t="s">
        <v>43</v>
      </c>
      <c r="M33">
        <v>89</v>
      </c>
      <c r="N33">
        <v>1782745205</v>
      </c>
    </row>
    <row r="34" spans="1:14" x14ac:dyDescent="0.25">
      <c r="A34" t="s">
        <v>203</v>
      </c>
      <c r="B34">
        <v>24060124140132</v>
      </c>
      <c r="C34" t="s">
        <v>204</v>
      </c>
      <c r="F34" t="s">
        <v>205</v>
      </c>
      <c r="G34">
        <v>83.33</v>
      </c>
      <c r="H34">
        <v>87.88</v>
      </c>
      <c r="I34">
        <v>70</v>
      </c>
      <c r="J34">
        <v>93.33</v>
      </c>
      <c r="K34">
        <v>95</v>
      </c>
      <c r="L34">
        <v>9.2799999999999994</v>
      </c>
      <c r="M34">
        <v>90</v>
      </c>
      <c r="N34">
        <v>1782745205</v>
      </c>
    </row>
    <row r="35" spans="1:14" x14ac:dyDescent="0.25">
      <c r="A35" t="s">
        <v>168</v>
      </c>
      <c r="B35">
        <v>24060124140140</v>
      </c>
      <c r="C35" t="s">
        <v>169</v>
      </c>
      <c r="F35" t="s">
        <v>170</v>
      </c>
      <c r="G35">
        <v>75</v>
      </c>
      <c r="H35">
        <v>90.91</v>
      </c>
      <c r="I35">
        <v>70</v>
      </c>
      <c r="J35">
        <v>83.33</v>
      </c>
      <c r="K35">
        <v>90</v>
      </c>
      <c r="L35">
        <v>8.69</v>
      </c>
      <c r="M35">
        <v>86</v>
      </c>
      <c r="N35">
        <v>1782745205</v>
      </c>
    </row>
    <row r="36" spans="1:14" x14ac:dyDescent="0.25">
      <c r="A36" t="s">
        <v>173</v>
      </c>
      <c r="B36">
        <v>24060124140141</v>
      </c>
      <c r="C36" t="s">
        <v>174</v>
      </c>
      <c r="F36" t="s">
        <v>175</v>
      </c>
      <c r="G36">
        <v>58.33</v>
      </c>
      <c r="H36">
        <v>84.09</v>
      </c>
      <c r="I36">
        <v>63.33</v>
      </c>
      <c r="J36">
        <v>80</v>
      </c>
      <c r="K36">
        <v>90</v>
      </c>
      <c r="L36" t="s">
        <v>43</v>
      </c>
      <c r="M36">
        <v>69</v>
      </c>
      <c r="N36">
        <v>1782745205</v>
      </c>
    </row>
    <row r="37" spans="1:14" x14ac:dyDescent="0.25">
      <c r="A37" t="s">
        <v>98</v>
      </c>
      <c r="B37">
        <v>24060124140146</v>
      </c>
      <c r="C37" t="s">
        <v>99</v>
      </c>
      <c r="F37" t="s">
        <v>100</v>
      </c>
      <c r="G37">
        <v>50</v>
      </c>
      <c r="H37">
        <v>54.55</v>
      </c>
      <c r="I37">
        <v>63.33</v>
      </c>
      <c r="J37">
        <v>93.33</v>
      </c>
      <c r="K37">
        <v>90</v>
      </c>
      <c r="L37" t="s">
        <v>43</v>
      </c>
      <c r="M37">
        <v>92</v>
      </c>
      <c r="N37">
        <v>1782745205</v>
      </c>
    </row>
    <row r="38" spans="1:14" x14ac:dyDescent="0.25">
      <c r="A38" t="s">
        <v>183</v>
      </c>
      <c r="B38">
        <v>24060124140152</v>
      </c>
      <c r="C38" t="s">
        <v>184</v>
      </c>
      <c r="F38" t="s">
        <v>185</v>
      </c>
      <c r="G38">
        <v>58.33</v>
      </c>
      <c r="H38">
        <v>78.790000000000006</v>
      </c>
      <c r="I38">
        <v>96.67</v>
      </c>
      <c r="J38">
        <v>81.67</v>
      </c>
      <c r="K38">
        <v>90</v>
      </c>
      <c r="L38">
        <v>9.24</v>
      </c>
      <c r="M38">
        <v>87.33</v>
      </c>
      <c r="N38">
        <v>1782745205</v>
      </c>
    </row>
    <row r="39" spans="1:14" x14ac:dyDescent="0.25">
      <c r="A39" t="s">
        <v>158</v>
      </c>
      <c r="B39">
        <v>24060124140153</v>
      </c>
      <c r="C39" t="s">
        <v>159</v>
      </c>
      <c r="F39" t="s">
        <v>160</v>
      </c>
      <c r="G39">
        <v>66.67</v>
      </c>
      <c r="H39">
        <v>95.45</v>
      </c>
      <c r="I39">
        <v>86.67</v>
      </c>
      <c r="J39">
        <v>96.67</v>
      </c>
      <c r="K39">
        <v>95</v>
      </c>
      <c r="L39" t="s">
        <v>43</v>
      </c>
      <c r="M39">
        <v>92</v>
      </c>
      <c r="N39">
        <v>1782745205</v>
      </c>
    </row>
    <row r="40" spans="1:14" x14ac:dyDescent="0.25">
      <c r="A40" t="s">
        <v>103</v>
      </c>
      <c r="B40">
        <v>24060124140155</v>
      </c>
      <c r="C40" t="s">
        <v>104</v>
      </c>
      <c r="F40" t="s">
        <v>105</v>
      </c>
      <c r="G40" t="s">
        <v>43</v>
      </c>
      <c r="H40">
        <v>77.27</v>
      </c>
      <c r="I40">
        <v>86.67</v>
      </c>
      <c r="J40">
        <v>86.67</v>
      </c>
      <c r="K40">
        <v>90</v>
      </c>
      <c r="L40" t="s">
        <v>43</v>
      </c>
      <c r="M40">
        <v>92</v>
      </c>
      <c r="N40">
        <v>1782745205</v>
      </c>
    </row>
    <row r="41" spans="1:14" x14ac:dyDescent="0.25">
      <c r="A41" t="s">
        <v>108</v>
      </c>
      <c r="B41">
        <v>24060124140157</v>
      </c>
      <c r="C41" t="s">
        <v>109</v>
      </c>
      <c r="F41" t="s">
        <v>110</v>
      </c>
      <c r="G41">
        <v>75</v>
      </c>
      <c r="H41">
        <v>90.91</v>
      </c>
      <c r="I41">
        <v>63.33</v>
      </c>
      <c r="J41">
        <v>93.33</v>
      </c>
      <c r="K41">
        <v>95</v>
      </c>
      <c r="L41">
        <v>9.48</v>
      </c>
      <c r="M41">
        <v>96</v>
      </c>
      <c r="N41">
        <v>1782745205</v>
      </c>
    </row>
    <row r="42" spans="1:14" x14ac:dyDescent="0.25">
      <c r="A42" t="s">
        <v>61</v>
      </c>
      <c r="B42">
        <v>24060124140162</v>
      </c>
      <c r="C42" t="s">
        <v>62</v>
      </c>
      <c r="F42" t="s">
        <v>63</v>
      </c>
      <c r="G42">
        <v>50</v>
      </c>
      <c r="H42">
        <v>95.45</v>
      </c>
      <c r="I42">
        <v>83.33</v>
      </c>
      <c r="J42" t="s">
        <v>43</v>
      </c>
      <c r="K42">
        <v>100</v>
      </c>
      <c r="L42">
        <v>7.84</v>
      </c>
      <c r="M42">
        <v>87</v>
      </c>
      <c r="N42">
        <v>1782745205</v>
      </c>
    </row>
    <row r="43" spans="1:14" x14ac:dyDescent="0.25">
      <c r="A43" t="s">
        <v>113</v>
      </c>
      <c r="B43">
        <v>24060124140178</v>
      </c>
      <c r="C43" t="s">
        <v>114</v>
      </c>
      <c r="F43" t="s">
        <v>115</v>
      </c>
      <c r="G43">
        <v>58.33</v>
      </c>
      <c r="H43">
        <v>86.36</v>
      </c>
      <c r="I43">
        <v>86.67</v>
      </c>
      <c r="J43">
        <v>100</v>
      </c>
      <c r="K43">
        <v>85</v>
      </c>
      <c r="L43" t="s">
        <v>43</v>
      </c>
      <c r="M43">
        <v>96</v>
      </c>
      <c r="N43">
        <v>1782745205</v>
      </c>
    </row>
    <row r="44" spans="1:14" x14ac:dyDescent="0.25">
      <c r="A44" t="s">
        <v>188</v>
      </c>
      <c r="B44">
        <v>24060124140179</v>
      </c>
      <c r="C44" t="s">
        <v>189</v>
      </c>
      <c r="F44" t="s">
        <v>190</v>
      </c>
      <c r="G44">
        <v>83.33</v>
      </c>
      <c r="H44">
        <v>93.94</v>
      </c>
      <c r="I44">
        <v>96.67</v>
      </c>
      <c r="J44">
        <v>96.67</v>
      </c>
      <c r="K44">
        <v>100</v>
      </c>
      <c r="L44">
        <v>0.21</v>
      </c>
      <c r="M44">
        <v>95</v>
      </c>
      <c r="N44">
        <v>1782745205</v>
      </c>
    </row>
    <row r="45" spans="1:14" x14ac:dyDescent="0.25">
      <c r="A45" t="s">
        <v>66</v>
      </c>
      <c r="B45">
        <v>24060124140185</v>
      </c>
      <c r="C45" t="s">
        <v>67</v>
      </c>
      <c r="F45" t="s">
        <v>68</v>
      </c>
      <c r="G45">
        <v>66.67</v>
      </c>
      <c r="H45">
        <v>51.52</v>
      </c>
      <c r="I45">
        <v>63.33</v>
      </c>
      <c r="J45">
        <v>88.61</v>
      </c>
      <c r="K45">
        <v>95</v>
      </c>
      <c r="L45" t="s">
        <v>43</v>
      </c>
      <c r="M45">
        <v>94</v>
      </c>
      <c r="N45">
        <v>1782745205</v>
      </c>
    </row>
    <row r="46" spans="1:14" x14ac:dyDescent="0.25">
      <c r="A46" t="s">
        <v>133</v>
      </c>
      <c r="B46">
        <v>24060124140187</v>
      </c>
      <c r="C46" t="s">
        <v>134</v>
      </c>
      <c r="F46" t="s">
        <v>135</v>
      </c>
      <c r="G46">
        <v>66.67</v>
      </c>
      <c r="H46">
        <v>95.45</v>
      </c>
      <c r="I46">
        <v>33.33</v>
      </c>
      <c r="J46" t="s">
        <v>43</v>
      </c>
      <c r="K46">
        <v>70</v>
      </c>
      <c r="L46" t="s">
        <v>43</v>
      </c>
      <c r="M46">
        <v>87.67</v>
      </c>
      <c r="N46">
        <v>1782745205</v>
      </c>
    </row>
    <row r="47" spans="1:14" x14ac:dyDescent="0.25">
      <c r="A47" t="s">
        <v>40</v>
      </c>
      <c r="B47">
        <v>24060124140191</v>
      </c>
      <c r="C47" t="s">
        <v>41</v>
      </c>
      <c r="F47" t="s">
        <v>42</v>
      </c>
      <c r="G47">
        <v>41.67</v>
      </c>
      <c r="H47">
        <v>50</v>
      </c>
      <c r="I47">
        <v>70</v>
      </c>
      <c r="J47">
        <v>80</v>
      </c>
      <c r="K47">
        <v>75</v>
      </c>
      <c r="L47" t="s">
        <v>43</v>
      </c>
      <c r="M47">
        <v>81</v>
      </c>
      <c r="N47">
        <v>1782745205</v>
      </c>
    </row>
    <row r="48" spans="1:14" x14ac:dyDescent="0.25">
      <c r="A48" t="s">
        <v>138</v>
      </c>
      <c r="B48">
        <v>24060124140193</v>
      </c>
      <c r="C48" t="s">
        <v>139</v>
      </c>
      <c r="F48" t="s">
        <v>140</v>
      </c>
      <c r="G48">
        <v>75</v>
      </c>
      <c r="H48">
        <v>78.790000000000006</v>
      </c>
      <c r="I48">
        <v>50</v>
      </c>
      <c r="J48">
        <v>90</v>
      </c>
      <c r="K48">
        <v>95</v>
      </c>
      <c r="L48">
        <v>5.82</v>
      </c>
      <c r="M48">
        <v>93</v>
      </c>
      <c r="N48">
        <v>1782745205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sheetData>
    <row r="1" spans="1:2" x14ac:dyDescent="0.25">
      <c r="A1" t="s">
        <v>254</v>
      </c>
      <c r="B1" t="s">
        <v>255</v>
      </c>
    </row>
    <row r="2" spans="1:2" x14ac:dyDescent="0.25">
      <c r="A2" t="s">
        <v>256</v>
      </c>
      <c r="B2">
        <v>37</v>
      </c>
    </row>
    <row r="3" spans="1:2" x14ac:dyDescent="0.25">
      <c r="A3" t="s">
        <v>257</v>
      </c>
      <c r="B3">
        <v>35</v>
      </c>
    </row>
    <row r="4" spans="1:2" x14ac:dyDescent="0.25">
      <c r="A4" t="s">
        <v>258</v>
      </c>
      <c r="B4">
        <v>2</v>
      </c>
    </row>
    <row r="5" spans="1:2" x14ac:dyDescent="0.25">
      <c r="A5" t="s">
        <v>259</v>
      </c>
      <c r="B5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0566-D074-464A-8820-EC5E8AF02E3B}">
  <dimension ref="A1:AB44"/>
  <sheetViews>
    <sheetView topLeftCell="L1" workbookViewId="0">
      <selection activeCell="N1" sqref="N1:Y1048576"/>
    </sheetView>
  </sheetViews>
  <sheetFormatPr defaultRowHeight="15" x14ac:dyDescent="0.25"/>
  <cols>
    <col min="1" max="1" width="17.5703125" bestFit="1" customWidth="1"/>
    <col min="2" max="2" width="55.28515625" bestFit="1" customWidth="1"/>
    <col min="3" max="3" width="10.5703125" bestFit="1" customWidth="1"/>
    <col min="4" max="4" width="8.140625" bestFit="1" customWidth="1"/>
    <col min="5" max="5" width="57.7109375" bestFit="1" customWidth="1"/>
    <col min="6" max="6" width="45.85546875" bestFit="1" customWidth="1"/>
    <col min="7" max="7" width="36.42578125" bestFit="1" customWidth="1"/>
    <col min="8" max="9" width="35.28515625" bestFit="1" customWidth="1"/>
    <col min="10" max="10" width="31.7109375" bestFit="1" customWidth="1"/>
    <col min="11" max="11" width="37.7109375" bestFit="1" customWidth="1"/>
    <col min="12" max="12" width="35.28515625" bestFit="1" customWidth="1"/>
    <col min="13" max="13" width="21.140625" bestFit="1" customWidth="1"/>
    <col min="20" max="21" width="17.42578125" bestFit="1" customWidth="1"/>
    <col min="22" max="22" width="17" bestFit="1" customWidth="1"/>
    <col min="23" max="23" width="17.42578125" bestFit="1" customWidth="1"/>
    <col min="24" max="24" width="17" bestFit="1" customWidth="1"/>
    <col min="25" max="25" width="17" customWidth="1"/>
    <col min="26" max="26" width="22" bestFit="1" customWidth="1"/>
  </cols>
  <sheetData>
    <row r="1" spans="1:28" x14ac:dyDescent="0.25">
      <c r="A1" t="s">
        <v>0</v>
      </c>
      <c r="B1" t="s">
        <v>1</v>
      </c>
    </row>
    <row r="2" spans="1:28" x14ac:dyDescent="0.25">
      <c r="A2" t="s">
        <v>2</v>
      </c>
      <c r="B2" t="s">
        <v>3</v>
      </c>
      <c r="I2" s="1" t="s">
        <v>4</v>
      </c>
    </row>
    <row r="3" spans="1:28" x14ac:dyDescent="0.25">
      <c r="A3" t="s">
        <v>5</v>
      </c>
      <c r="B3" t="s">
        <v>6</v>
      </c>
    </row>
    <row r="4" spans="1:28" x14ac:dyDescent="0.25">
      <c r="A4" t="s">
        <v>7</v>
      </c>
      <c r="B4" t="s">
        <v>8</v>
      </c>
    </row>
    <row r="5" spans="1:28" x14ac:dyDescent="0.25">
      <c r="A5" t="s">
        <v>9</v>
      </c>
      <c r="B5" t="s">
        <v>10</v>
      </c>
    </row>
    <row r="7" spans="1:28" x14ac:dyDescent="0.25">
      <c r="A7" t="s">
        <v>11</v>
      </c>
      <c r="B7" t="s">
        <v>12</v>
      </c>
      <c r="C7" t="s">
        <v>5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24</v>
      </c>
      <c r="P7" t="s">
        <v>25</v>
      </c>
      <c r="Q7" t="s">
        <v>26</v>
      </c>
      <c r="R7" t="s">
        <v>27</v>
      </c>
      <c r="S7" t="s">
        <v>28</v>
      </c>
      <c r="T7" t="s">
        <v>29</v>
      </c>
      <c r="U7" t="s">
        <v>30</v>
      </c>
      <c r="V7" t="s">
        <v>31</v>
      </c>
      <c r="W7" t="s">
        <v>32</v>
      </c>
      <c r="X7" t="s">
        <v>33</v>
      </c>
      <c r="Z7" t="s">
        <v>34</v>
      </c>
      <c r="AA7" t="s">
        <v>35</v>
      </c>
      <c r="AB7" t="s">
        <v>36</v>
      </c>
    </row>
    <row r="8" spans="1:28" x14ac:dyDescent="0.25">
      <c r="A8" t="s">
        <v>37</v>
      </c>
      <c r="B8" t="s">
        <v>38</v>
      </c>
      <c r="C8">
        <v>4</v>
      </c>
      <c r="D8" t="s">
        <v>39</v>
      </c>
      <c r="E8" s="4">
        <v>81</v>
      </c>
      <c r="F8" s="3"/>
      <c r="G8" s="3"/>
      <c r="H8" s="3"/>
      <c r="I8" s="3"/>
      <c r="J8" s="3"/>
      <c r="K8" s="2">
        <f t="shared" ref="K8:K44" si="0">ROUND( ((E8*10+F8*40+G8*5+H8*5+I8*20+J8*20) / 100), 2)</f>
        <v>8.1</v>
      </c>
      <c r="L8" s="2" t="str">
        <f t="shared" ref="L8:L44" si="1"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>E</v>
      </c>
      <c r="M8" t="str">
        <f t="shared" ref="M8:M44" si="2"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>0</v>
      </c>
      <c r="N8" t="s">
        <v>40</v>
      </c>
      <c r="O8">
        <v>24060124140191</v>
      </c>
      <c r="P8" t="s">
        <v>41</v>
      </c>
      <c r="S8" t="s">
        <v>42</v>
      </c>
      <c r="T8">
        <v>41.67</v>
      </c>
      <c r="U8">
        <v>50</v>
      </c>
      <c r="V8">
        <v>70</v>
      </c>
      <c r="W8">
        <v>80</v>
      </c>
      <c r="X8">
        <v>75</v>
      </c>
      <c r="Z8" t="s">
        <v>43</v>
      </c>
      <c r="AA8">
        <v>81</v>
      </c>
      <c r="AB8">
        <v>1782745205</v>
      </c>
    </row>
    <row r="9" spans="1:28" x14ac:dyDescent="0.25">
      <c r="A9" t="s">
        <v>44</v>
      </c>
      <c r="B9" t="s">
        <v>45</v>
      </c>
      <c r="C9">
        <v>4</v>
      </c>
      <c r="D9" t="s">
        <v>39</v>
      </c>
      <c r="E9" s="4">
        <v>92</v>
      </c>
      <c r="F9" s="3"/>
      <c r="G9" s="3"/>
      <c r="H9" s="3"/>
      <c r="I9" s="3"/>
      <c r="J9" s="3"/>
      <c r="K9" s="2">
        <f t="shared" si="0"/>
        <v>9.1999999999999993</v>
      </c>
      <c r="L9" s="2" t="str">
        <f t="shared" si="1"/>
        <v>E</v>
      </c>
      <c r="M9" t="str">
        <f t="shared" si="2"/>
        <v>0</v>
      </c>
      <c r="N9" t="s">
        <v>46</v>
      </c>
      <c r="O9">
        <v>24060124120025</v>
      </c>
      <c r="P9" t="s">
        <v>47</v>
      </c>
      <c r="S9" t="s">
        <v>48</v>
      </c>
      <c r="T9">
        <v>41.67</v>
      </c>
      <c r="U9">
        <v>68.180000000000007</v>
      </c>
      <c r="V9">
        <v>56.67</v>
      </c>
      <c r="W9">
        <v>90</v>
      </c>
      <c r="X9">
        <v>100</v>
      </c>
      <c r="Z9" t="s">
        <v>43</v>
      </c>
      <c r="AA9">
        <v>92</v>
      </c>
      <c r="AB9">
        <v>1782745205</v>
      </c>
    </row>
    <row r="10" spans="1:28" x14ac:dyDescent="0.25">
      <c r="A10" t="s">
        <v>49</v>
      </c>
      <c r="B10" t="s">
        <v>50</v>
      </c>
      <c r="C10">
        <v>4</v>
      </c>
      <c r="D10" t="s">
        <v>39</v>
      </c>
      <c r="E10" s="4">
        <v>100</v>
      </c>
      <c r="F10" s="3"/>
      <c r="G10" s="3"/>
      <c r="H10" s="3"/>
      <c r="I10" s="3"/>
      <c r="J10" s="3"/>
      <c r="K10" s="2">
        <f t="shared" si="0"/>
        <v>10</v>
      </c>
      <c r="L10" s="2" t="str">
        <f t="shared" si="1"/>
        <v>E</v>
      </c>
      <c r="M10" t="str">
        <f t="shared" si="2"/>
        <v>0</v>
      </c>
      <c r="N10" t="s">
        <v>51</v>
      </c>
      <c r="O10">
        <v>24060124130101</v>
      </c>
      <c r="P10" t="s">
        <v>52</v>
      </c>
      <c r="S10" t="s">
        <v>53</v>
      </c>
      <c r="T10">
        <v>83.33</v>
      </c>
      <c r="U10">
        <v>95.45</v>
      </c>
      <c r="V10">
        <v>66.67</v>
      </c>
      <c r="W10">
        <v>90</v>
      </c>
      <c r="X10">
        <v>100</v>
      </c>
      <c r="Z10">
        <v>9.7899999999999991</v>
      </c>
      <c r="AA10">
        <v>100</v>
      </c>
      <c r="AB10">
        <v>1782745205</v>
      </c>
    </row>
    <row r="11" spans="1:28" x14ac:dyDescent="0.25">
      <c r="A11" t="s">
        <v>54</v>
      </c>
      <c r="B11" t="s">
        <v>55</v>
      </c>
      <c r="C11">
        <v>4</v>
      </c>
      <c r="D11" t="s">
        <v>39</v>
      </c>
      <c r="E11" s="4">
        <v>88</v>
      </c>
      <c r="F11" s="3"/>
      <c r="G11" s="3"/>
      <c r="H11" s="3"/>
      <c r="I11" s="3"/>
      <c r="J11" s="3"/>
      <c r="K11" s="2">
        <f t="shared" si="0"/>
        <v>8.8000000000000007</v>
      </c>
      <c r="L11" s="2" t="str">
        <f t="shared" si="1"/>
        <v>E</v>
      </c>
      <c r="M11" t="str">
        <f t="shared" si="2"/>
        <v>0</v>
      </c>
      <c r="N11" t="s">
        <v>56</v>
      </c>
      <c r="O11">
        <v>24060124130121</v>
      </c>
      <c r="P11" t="s">
        <v>57</v>
      </c>
      <c r="S11" t="s">
        <v>58</v>
      </c>
      <c r="T11">
        <v>75</v>
      </c>
      <c r="U11">
        <v>72.73</v>
      </c>
      <c r="V11">
        <v>70</v>
      </c>
      <c r="W11">
        <v>90</v>
      </c>
      <c r="X11">
        <v>100</v>
      </c>
      <c r="Z11" t="s">
        <v>43</v>
      </c>
      <c r="AA11">
        <v>88</v>
      </c>
      <c r="AB11">
        <v>1782745205</v>
      </c>
    </row>
    <row r="12" spans="1:28" x14ac:dyDescent="0.25">
      <c r="A12" t="s">
        <v>59</v>
      </c>
      <c r="B12" t="s">
        <v>60</v>
      </c>
      <c r="C12">
        <v>4</v>
      </c>
      <c r="D12" t="s">
        <v>39</v>
      </c>
      <c r="E12" s="4">
        <v>87</v>
      </c>
      <c r="F12" s="3"/>
      <c r="G12" s="3"/>
      <c r="H12" s="3"/>
      <c r="I12" s="3"/>
      <c r="J12" s="3"/>
      <c r="K12" s="2">
        <f t="shared" si="0"/>
        <v>8.6999999999999993</v>
      </c>
      <c r="L12" s="2" t="str">
        <f t="shared" si="1"/>
        <v>E</v>
      </c>
      <c r="M12" t="str">
        <f t="shared" si="2"/>
        <v>0</v>
      </c>
      <c r="N12" t="s">
        <v>61</v>
      </c>
      <c r="O12">
        <v>24060124140162</v>
      </c>
      <c r="P12" t="s">
        <v>62</v>
      </c>
      <c r="S12" t="s">
        <v>63</v>
      </c>
      <c r="T12">
        <v>50</v>
      </c>
      <c r="U12">
        <v>95.45</v>
      </c>
      <c r="V12">
        <v>83.33</v>
      </c>
      <c r="W12" t="s">
        <v>43</v>
      </c>
      <c r="X12">
        <v>100</v>
      </c>
      <c r="Z12">
        <v>7.84</v>
      </c>
      <c r="AA12">
        <v>87</v>
      </c>
      <c r="AB12">
        <v>1782745205</v>
      </c>
    </row>
    <row r="13" spans="1:28" x14ac:dyDescent="0.25">
      <c r="A13" t="s">
        <v>64</v>
      </c>
      <c r="B13" t="s">
        <v>65</v>
      </c>
      <c r="C13">
        <v>4</v>
      </c>
      <c r="D13" t="s">
        <v>39</v>
      </c>
      <c r="E13" s="4">
        <v>94</v>
      </c>
      <c r="F13" s="3"/>
      <c r="G13" s="3"/>
      <c r="H13" s="3"/>
      <c r="I13" s="3"/>
      <c r="J13" s="3"/>
      <c r="K13" s="2">
        <f t="shared" si="0"/>
        <v>9.4</v>
      </c>
      <c r="L13" s="2" t="str">
        <f t="shared" si="1"/>
        <v>E</v>
      </c>
      <c r="M13" t="str">
        <f t="shared" si="2"/>
        <v>0</v>
      </c>
      <c r="N13" t="s">
        <v>66</v>
      </c>
      <c r="O13">
        <v>24060124140185</v>
      </c>
      <c r="P13" t="s">
        <v>67</v>
      </c>
      <c r="S13" t="s">
        <v>68</v>
      </c>
      <c r="T13">
        <v>66.67</v>
      </c>
      <c r="U13">
        <v>51.52</v>
      </c>
      <c r="V13">
        <v>63.33</v>
      </c>
      <c r="W13">
        <v>88.61</v>
      </c>
      <c r="X13">
        <v>95</v>
      </c>
      <c r="Z13" t="s">
        <v>43</v>
      </c>
      <c r="AA13">
        <v>94</v>
      </c>
      <c r="AB13">
        <v>1782745205</v>
      </c>
    </row>
    <row r="14" spans="1:28" x14ac:dyDescent="0.25">
      <c r="A14" t="s">
        <v>69</v>
      </c>
      <c r="B14" t="s">
        <v>70</v>
      </c>
      <c r="C14">
        <v>4</v>
      </c>
      <c r="D14" t="s">
        <v>39</v>
      </c>
      <c r="E14" s="4">
        <v>98</v>
      </c>
      <c r="F14" s="3"/>
      <c r="G14" s="3"/>
      <c r="H14" s="3"/>
      <c r="I14" s="3"/>
      <c r="J14" s="3"/>
      <c r="K14" s="2">
        <f t="shared" si="0"/>
        <v>9.8000000000000007</v>
      </c>
      <c r="L14" s="2" t="str">
        <f t="shared" si="1"/>
        <v>E</v>
      </c>
      <c r="M14" t="str">
        <f t="shared" si="2"/>
        <v>0</v>
      </c>
      <c r="N14" t="s">
        <v>71</v>
      </c>
      <c r="O14">
        <v>24060124120001</v>
      </c>
      <c r="P14" t="s">
        <v>72</v>
      </c>
      <c r="S14" t="s">
        <v>73</v>
      </c>
      <c r="T14">
        <v>50</v>
      </c>
      <c r="U14">
        <v>72.73</v>
      </c>
      <c r="V14">
        <v>26.67</v>
      </c>
      <c r="W14">
        <v>93.33</v>
      </c>
      <c r="X14">
        <v>95</v>
      </c>
      <c r="Z14">
        <v>9.7899999999999991</v>
      </c>
      <c r="AA14">
        <v>98</v>
      </c>
      <c r="AB14">
        <v>1782745205</v>
      </c>
    </row>
    <row r="15" spans="1:28" x14ac:dyDescent="0.25">
      <c r="A15" t="s">
        <v>74</v>
      </c>
      <c r="B15" t="s">
        <v>75</v>
      </c>
      <c r="C15">
        <v>4</v>
      </c>
      <c r="D15" t="s">
        <v>39</v>
      </c>
      <c r="E15" s="4">
        <v>95</v>
      </c>
      <c r="F15" s="3"/>
      <c r="G15" s="3"/>
      <c r="H15" s="3"/>
      <c r="I15" s="3"/>
      <c r="J15" s="3"/>
      <c r="K15" s="2">
        <f t="shared" si="0"/>
        <v>9.5</v>
      </c>
      <c r="L15" s="2" t="str">
        <f t="shared" si="1"/>
        <v>E</v>
      </c>
      <c r="M15" t="str">
        <f t="shared" si="2"/>
        <v>0</v>
      </c>
      <c r="N15" t="s">
        <v>76</v>
      </c>
      <c r="O15">
        <v>24060124120043</v>
      </c>
      <c r="P15" t="s">
        <v>77</v>
      </c>
      <c r="S15" t="s">
        <v>78</v>
      </c>
      <c r="T15">
        <v>75</v>
      </c>
      <c r="U15">
        <v>90.91</v>
      </c>
      <c r="V15">
        <v>73.33</v>
      </c>
      <c r="W15">
        <v>90</v>
      </c>
      <c r="X15">
        <v>90</v>
      </c>
      <c r="Z15">
        <v>8.9700000000000006</v>
      </c>
      <c r="AA15">
        <v>95</v>
      </c>
      <c r="AB15">
        <v>1782745205</v>
      </c>
    </row>
    <row r="16" spans="1:28" x14ac:dyDescent="0.25">
      <c r="A16" t="s">
        <v>79</v>
      </c>
      <c r="B16" t="s">
        <v>80</v>
      </c>
      <c r="C16">
        <v>4</v>
      </c>
      <c r="D16" t="s">
        <v>39</v>
      </c>
      <c r="E16" s="4">
        <v>98</v>
      </c>
      <c r="F16" s="3"/>
      <c r="G16" s="3"/>
      <c r="H16" s="3"/>
      <c r="I16" s="3"/>
      <c r="J16" s="3"/>
      <c r="K16" s="2">
        <f t="shared" si="0"/>
        <v>9.8000000000000007</v>
      </c>
      <c r="L16" s="2" t="str">
        <f t="shared" si="1"/>
        <v>E</v>
      </c>
      <c r="M16" t="str">
        <f t="shared" si="2"/>
        <v>0</v>
      </c>
      <c r="N16" t="s">
        <v>81</v>
      </c>
      <c r="O16">
        <v>24060124130071</v>
      </c>
      <c r="P16" t="s">
        <v>82</v>
      </c>
      <c r="S16" t="s">
        <v>83</v>
      </c>
      <c r="T16">
        <v>75</v>
      </c>
      <c r="U16">
        <v>92.42</v>
      </c>
      <c r="V16">
        <v>80</v>
      </c>
      <c r="W16">
        <v>96.67</v>
      </c>
      <c r="X16">
        <v>85</v>
      </c>
      <c r="Z16">
        <v>8.7799999999999994</v>
      </c>
      <c r="AA16">
        <v>98</v>
      </c>
      <c r="AB16">
        <v>1782745205</v>
      </c>
    </row>
    <row r="17" spans="1:28" x14ac:dyDescent="0.25">
      <c r="A17" t="s">
        <v>84</v>
      </c>
      <c r="B17" t="s">
        <v>85</v>
      </c>
      <c r="C17">
        <v>4</v>
      </c>
      <c r="D17" t="s">
        <v>39</v>
      </c>
      <c r="E17" s="4"/>
      <c r="F17" s="3"/>
      <c r="G17" s="3"/>
      <c r="H17" s="3"/>
      <c r="I17" s="3"/>
      <c r="J17" s="2"/>
      <c r="K17" s="2">
        <f t="shared" si="0"/>
        <v>0</v>
      </c>
      <c r="L17" s="2" t="str">
        <f t="shared" si="1"/>
        <v>E</v>
      </c>
      <c r="M17" t="str">
        <f t="shared" si="2"/>
        <v>0</v>
      </c>
    </row>
    <row r="18" spans="1:28" x14ac:dyDescent="0.25">
      <c r="A18" t="s">
        <v>86</v>
      </c>
      <c r="B18" t="s">
        <v>87</v>
      </c>
      <c r="C18">
        <v>4</v>
      </c>
      <c r="D18" t="s">
        <v>39</v>
      </c>
      <c r="E18" s="4">
        <v>93</v>
      </c>
      <c r="F18" s="3"/>
      <c r="G18" s="3"/>
      <c r="H18" s="3"/>
      <c r="I18" s="3"/>
      <c r="J18" s="3"/>
      <c r="K18" s="2">
        <f t="shared" si="0"/>
        <v>9.3000000000000007</v>
      </c>
      <c r="L18" s="2" t="str">
        <f t="shared" si="1"/>
        <v>E</v>
      </c>
      <c r="M18" t="str">
        <f t="shared" si="2"/>
        <v>0</v>
      </c>
      <c r="N18" t="s">
        <v>88</v>
      </c>
      <c r="O18">
        <v>24060124130085</v>
      </c>
      <c r="P18" t="s">
        <v>89</v>
      </c>
      <c r="S18" t="s">
        <v>90</v>
      </c>
      <c r="T18" t="s">
        <v>43</v>
      </c>
      <c r="U18">
        <v>86.36</v>
      </c>
      <c r="V18">
        <v>56.67</v>
      </c>
      <c r="W18">
        <v>94.44</v>
      </c>
      <c r="X18">
        <v>85</v>
      </c>
      <c r="Z18" t="s">
        <v>43</v>
      </c>
      <c r="AA18">
        <v>93</v>
      </c>
      <c r="AB18">
        <v>1782745205</v>
      </c>
    </row>
    <row r="19" spans="1:28" x14ac:dyDescent="0.25">
      <c r="A19" t="s">
        <v>91</v>
      </c>
      <c r="B19" t="s">
        <v>92</v>
      </c>
      <c r="C19">
        <v>4</v>
      </c>
      <c r="D19" t="s">
        <v>39</v>
      </c>
      <c r="E19" s="4">
        <v>89.33</v>
      </c>
      <c r="F19" s="3"/>
      <c r="G19" s="3"/>
      <c r="H19" s="3"/>
      <c r="I19" s="3"/>
      <c r="J19" s="3"/>
      <c r="K19" s="2">
        <f t="shared" si="0"/>
        <v>8.93</v>
      </c>
      <c r="L19" s="2" t="str">
        <f t="shared" si="1"/>
        <v>E</v>
      </c>
      <c r="M19" t="str">
        <f t="shared" si="2"/>
        <v>0</v>
      </c>
      <c r="N19" t="s">
        <v>93</v>
      </c>
      <c r="O19">
        <v>24060124130106</v>
      </c>
      <c r="P19" t="s">
        <v>94</v>
      </c>
      <c r="S19" t="s">
        <v>95</v>
      </c>
      <c r="T19">
        <v>75</v>
      </c>
      <c r="U19">
        <v>86.36</v>
      </c>
      <c r="V19">
        <v>76.67</v>
      </c>
      <c r="W19">
        <v>89.44</v>
      </c>
      <c r="X19">
        <v>100</v>
      </c>
      <c r="Z19" t="s">
        <v>43</v>
      </c>
      <c r="AA19">
        <v>89.33</v>
      </c>
      <c r="AB19">
        <v>1782745205</v>
      </c>
    </row>
    <row r="20" spans="1:28" x14ac:dyDescent="0.25">
      <c r="A20" t="s">
        <v>96</v>
      </c>
      <c r="B20" t="s">
        <v>97</v>
      </c>
      <c r="C20">
        <v>4</v>
      </c>
      <c r="D20" t="s">
        <v>39</v>
      </c>
      <c r="E20" s="4">
        <v>92</v>
      </c>
      <c r="F20" s="3"/>
      <c r="G20" s="3"/>
      <c r="H20" s="3"/>
      <c r="I20" s="3"/>
      <c r="J20" s="3"/>
      <c r="K20" s="2">
        <f t="shared" si="0"/>
        <v>9.1999999999999993</v>
      </c>
      <c r="L20" s="2" t="str">
        <f t="shared" si="1"/>
        <v>E</v>
      </c>
      <c r="M20" t="str">
        <f t="shared" si="2"/>
        <v>0</v>
      </c>
      <c r="N20" t="s">
        <v>98</v>
      </c>
      <c r="O20">
        <v>24060124140146</v>
      </c>
      <c r="P20" t="s">
        <v>99</v>
      </c>
      <c r="S20" t="s">
        <v>100</v>
      </c>
      <c r="T20">
        <v>50</v>
      </c>
      <c r="U20">
        <v>54.55</v>
      </c>
      <c r="V20">
        <v>63.33</v>
      </c>
      <c r="W20">
        <v>93.33</v>
      </c>
      <c r="X20">
        <v>90</v>
      </c>
      <c r="Z20" t="s">
        <v>43</v>
      </c>
      <c r="AA20">
        <v>92</v>
      </c>
      <c r="AB20">
        <v>1782745205</v>
      </c>
    </row>
    <row r="21" spans="1:28" x14ac:dyDescent="0.25">
      <c r="A21" t="s">
        <v>101</v>
      </c>
      <c r="B21" t="s">
        <v>102</v>
      </c>
      <c r="C21">
        <v>4</v>
      </c>
      <c r="D21" t="s">
        <v>39</v>
      </c>
      <c r="E21" s="4">
        <v>92</v>
      </c>
      <c r="F21" s="3"/>
      <c r="G21" s="3"/>
      <c r="H21" s="3"/>
      <c r="I21" s="3"/>
      <c r="J21" s="3"/>
      <c r="K21" s="2">
        <f t="shared" si="0"/>
        <v>9.1999999999999993</v>
      </c>
      <c r="L21" s="2" t="str">
        <f t="shared" si="1"/>
        <v>E</v>
      </c>
      <c r="M21" t="str">
        <f t="shared" si="2"/>
        <v>0</v>
      </c>
      <c r="N21" t="s">
        <v>103</v>
      </c>
      <c r="O21">
        <v>24060124140155</v>
      </c>
      <c r="P21" t="s">
        <v>104</v>
      </c>
      <c r="S21" t="s">
        <v>105</v>
      </c>
      <c r="T21" t="s">
        <v>43</v>
      </c>
      <c r="U21">
        <v>77.27</v>
      </c>
      <c r="V21">
        <v>86.67</v>
      </c>
      <c r="W21">
        <v>86.67</v>
      </c>
      <c r="X21">
        <v>90</v>
      </c>
      <c r="Z21" t="s">
        <v>43</v>
      </c>
      <c r="AA21">
        <v>92</v>
      </c>
      <c r="AB21">
        <v>1782745205</v>
      </c>
    </row>
    <row r="22" spans="1:28" x14ac:dyDescent="0.25">
      <c r="A22" t="s">
        <v>106</v>
      </c>
      <c r="B22" t="s">
        <v>107</v>
      </c>
      <c r="C22">
        <v>4</v>
      </c>
      <c r="D22" t="s">
        <v>39</v>
      </c>
      <c r="E22" s="4">
        <v>96</v>
      </c>
      <c r="F22" s="3"/>
      <c r="G22" s="3"/>
      <c r="H22" s="3"/>
      <c r="I22" s="3"/>
      <c r="J22" s="3"/>
      <c r="K22" s="2">
        <f t="shared" si="0"/>
        <v>9.6</v>
      </c>
      <c r="L22" s="2" t="str">
        <f t="shared" si="1"/>
        <v>E</v>
      </c>
      <c r="M22" t="str">
        <f t="shared" si="2"/>
        <v>0</v>
      </c>
      <c r="N22" t="s">
        <v>108</v>
      </c>
      <c r="O22">
        <v>24060124140157</v>
      </c>
      <c r="P22" t="s">
        <v>109</v>
      </c>
      <c r="S22" t="s">
        <v>110</v>
      </c>
      <c r="T22">
        <v>75</v>
      </c>
      <c r="U22">
        <v>90.91</v>
      </c>
      <c r="V22">
        <v>63.33</v>
      </c>
      <c r="W22">
        <v>93.33</v>
      </c>
      <c r="X22">
        <v>95</v>
      </c>
      <c r="Z22">
        <v>9.48</v>
      </c>
      <c r="AA22">
        <v>96</v>
      </c>
      <c r="AB22">
        <v>1782745205</v>
      </c>
    </row>
    <row r="23" spans="1:28" x14ac:dyDescent="0.25">
      <c r="A23" t="s">
        <v>111</v>
      </c>
      <c r="B23" t="s">
        <v>112</v>
      </c>
      <c r="C23">
        <v>4</v>
      </c>
      <c r="D23" t="s">
        <v>39</v>
      </c>
      <c r="E23" s="4">
        <v>96</v>
      </c>
      <c r="F23" s="3"/>
      <c r="G23" s="3"/>
      <c r="H23" s="3"/>
      <c r="I23" s="3"/>
      <c r="J23" s="3"/>
      <c r="K23" s="2">
        <f t="shared" si="0"/>
        <v>9.6</v>
      </c>
      <c r="L23" s="2" t="str">
        <f t="shared" si="1"/>
        <v>E</v>
      </c>
      <c r="M23" t="str">
        <f t="shared" si="2"/>
        <v>0</v>
      </c>
      <c r="N23" t="s">
        <v>113</v>
      </c>
      <c r="O23">
        <v>24060124140178</v>
      </c>
      <c r="P23" t="s">
        <v>114</v>
      </c>
      <c r="S23" t="s">
        <v>115</v>
      </c>
      <c r="T23">
        <v>58.33</v>
      </c>
      <c r="U23">
        <v>86.36</v>
      </c>
      <c r="V23">
        <v>86.67</v>
      </c>
      <c r="W23">
        <v>100</v>
      </c>
      <c r="X23">
        <v>85</v>
      </c>
      <c r="Z23" t="s">
        <v>43</v>
      </c>
      <c r="AA23">
        <v>96</v>
      </c>
      <c r="AB23">
        <v>1782745205</v>
      </c>
    </row>
    <row r="24" spans="1:28" x14ac:dyDescent="0.25">
      <c r="A24" t="s">
        <v>116</v>
      </c>
      <c r="B24" t="s">
        <v>117</v>
      </c>
      <c r="C24">
        <v>4</v>
      </c>
      <c r="D24" t="s">
        <v>39</v>
      </c>
      <c r="E24" s="4">
        <v>97</v>
      </c>
      <c r="F24" s="3"/>
      <c r="G24" s="3"/>
      <c r="H24" s="3"/>
      <c r="I24" s="3"/>
      <c r="J24" s="3"/>
      <c r="K24" s="2">
        <f t="shared" si="0"/>
        <v>9.6999999999999993</v>
      </c>
      <c r="L24" s="2" t="str">
        <f t="shared" si="1"/>
        <v>E</v>
      </c>
      <c r="M24" t="str">
        <f t="shared" si="2"/>
        <v>0</v>
      </c>
      <c r="N24" t="s">
        <v>118</v>
      </c>
      <c r="O24">
        <v>24060124120017</v>
      </c>
      <c r="P24" t="s">
        <v>119</v>
      </c>
      <c r="S24" t="s">
        <v>120</v>
      </c>
      <c r="T24">
        <v>66.67</v>
      </c>
      <c r="U24">
        <v>95.45</v>
      </c>
      <c r="V24">
        <v>93.33</v>
      </c>
      <c r="W24">
        <v>91.67</v>
      </c>
      <c r="X24">
        <v>85</v>
      </c>
      <c r="Z24">
        <v>8.66</v>
      </c>
      <c r="AA24">
        <v>97</v>
      </c>
      <c r="AB24">
        <v>1782745205</v>
      </c>
    </row>
    <row r="25" spans="1:28" x14ac:dyDescent="0.25">
      <c r="A25" t="s">
        <v>121</v>
      </c>
      <c r="B25" t="s">
        <v>122</v>
      </c>
      <c r="C25">
        <v>4</v>
      </c>
      <c r="D25" t="s">
        <v>39</v>
      </c>
      <c r="E25" s="4">
        <v>84</v>
      </c>
      <c r="F25" s="3"/>
      <c r="G25" s="3"/>
      <c r="H25" s="3"/>
      <c r="I25" s="3"/>
      <c r="J25" s="3"/>
      <c r="K25" s="2">
        <f t="shared" si="0"/>
        <v>8.4</v>
      </c>
      <c r="L25" s="2" t="str">
        <f t="shared" si="1"/>
        <v>E</v>
      </c>
      <c r="M25" t="str">
        <f t="shared" si="2"/>
        <v>0</v>
      </c>
      <c r="N25" t="s">
        <v>123</v>
      </c>
      <c r="O25">
        <v>24060124130077</v>
      </c>
      <c r="P25" t="s">
        <v>124</v>
      </c>
      <c r="S25" t="s">
        <v>125</v>
      </c>
      <c r="T25">
        <v>75</v>
      </c>
      <c r="U25">
        <v>78.790000000000006</v>
      </c>
      <c r="V25">
        <v>66.67</v>
      </c>
      <c r="W25">
        <v>96.67</v>
      </c>
      <c r="X25">
        <v>85</v>
      </c>
      <c r="Z25">
        <v>8.3800000000000008</v>
      </c>
      <c r="AA25">
        <v>84</v>
      </c>
      <c r="AB25">
        <v>1782745205</v>
      </c>
    </row>
    <row r="26" spans="1:28" x14ac:dyDescent="0.25">
      <c r="A26" t="s">
        <v>126</v>
      </c>
      <c r="B26" t="s">
        <v>127</v>
      </c>
      <c r="C26">
        <v>4</v>
      </c>
      <c r="D26" t="s">
        <v>39</v>
      </c>
      <c r="E26" s="4">
        <v>94</v>
      </c>
      <c r="F26" s="3"/>
      <c r="G26" s="3"/>
      <c r="H26" s="3"/>
      <c r="I26" s="3"/>
      <c r="J26" s="3"/>
      <c r="K26" s="2">
        <f t="shared" si="0"/>
        <v>9.4</v>
      </c>
      <c r="L26" s="2" t="str">
        <f t="shared" si="1"/>
        <v>E</v>
      </c>
      <c r="M26" t="str">
        <f t="shared" si="2"/>
        <v>0</v>
      </c>
      <c r="N26" t="s">
        <v>128</v>
      </c>
      <c r="O26">
        <v>24060124130094</v>
      </c>
      <c r="P26" t="s">
        <v>129</v>
      </c>
      <c r="S26" t="s">
        <v>130</v>
      </c>
      <c r="T26">
        <v>66.67</v>
      </c>
      <c r="U26">
        <v>95.45</v>
      </c>
      <c r="V26">
        <v>60</v>
      </c>
      <c r="W26">
        <v>96.67</v>
      </c>
      <c r="X26">
        <v>95</v>
      </c>
      <c r="Z26" t="s">
        <v>43</v>
      </c>
      <c r="AA26">
        <v>94</v>
      </c>
      <c r="AB26">
        <v>1782745205</v>
      </c>
    </row>
    <row r="27" spans="1:28" x14ac:dyDescent="0.25">
      <c r="A27" t="s">
        <v>131</v>
      </c>
      <c r="B27" t="s">
        <v>132</v>
      </c>
      <c r="C27">
        <v>4</v>
      </c>
      <c r="D27" t="s">
        <v>39</v>
      </c>
      <c r="E27" s="4">
        <v>87.67</v>
      </c>
      <c r="F27" s="3"/>
      <c r="G27" s="3"/>
      <c r="H27" s="3"/>
      <c r="I27" s="3"/>
      <c r="J27" s="3"/>
      <c r="K27" s="2">
        <f t="shared" si="0"/>
        <v>8.77</v>
      </c>
      <c r="L27" s="2" t="str">
        <f t="shared" si="1"/>
        <v>E</v>
      </c>
      <c r="M27" t="str">
        <f t="shared" si="2"/>
        <v>0</v>
      </c>
      <c r="N27" t="s">
        <v>133</v>
      </c>
      <c r="O27">
        <v>24060124140187</v>
      </c>
      <c r="P27" t="s">
        <v>134</v>
      </c>
      <c r="S27" t="s">
        <v>135</v>
      </c>
      <c r="T27">
        <v>66.67</v>
      </c>
      <c r="U27">
        <v>95.45</v>
      </c>
      <c r="V27">
        <v>33.33</v>
      </c>
      <c r="W27" t="s">
        <v>43</v>
      </c>
      <c r="X27">
        <v>70</v>
      </c>
      <c r="Z27" t="s">
        <v>43</v>
      </c>
      <c r="AA27">
        <v>87.67</v>
      </c>
      <c r="AB27">
        <v>1782745205</v>
      </c>
    </row>
    <row r="28" spans="1:28" x14ac:dyDescent="0.25">
      <c r="A28" t="s">
        <v>136</v>
      </c>
      <c r="B28" t="s">
        <v>137</v>
      </c>
      <c r="C28">
        <v>4</v>
      </c>
      <c r="D28" t="s">
        <v>39</v>
      </c>
      <c r="E28" s="4">
        <v>93</v>
      </c>
      <c r="F28" s="3"/>
      <c r="G28" s="3"/>
      <c r="H28" s="3"/>
      <c r="I28" s="3"/>
      <c r="J28" s="3"/>
      <c r="K28" s="2">
        <f t="shared" si="0"/>
        <v>9.3000000000000007</v>
      </c>
      <c r="L28" s="2" t="str">
        <f t="shared" si="1"/>
        <v>E</v>
      </c>
      <c r="M28" t="str">
        <f t="shared" si="2"/>
        <v>0</v>
      </c>
      <c r="N28" t="s">
        <v>138</v>
      </c>
      <c r="O28">
        <v>24060124140193</v>
      </c>
      <c r="P28" t="s">
        <v>139</v>
      </c>
      <c r="S28" t="s">
        <v>140</v>
      </c>
      <c r="T28">
        <v>75</v>
      </c>
      <c r="U28">
        <v>78.790000000000006</v>
      </c>
      <c r="V28">
        <v>50</v>
      </c>
      <c r="W28">
        <v>90</v>
      </c>
      <c r="X28">
        <v>95</v>
      </c>
      <c r="Z28">
        <v>5.82</v>
      </c>
      <c r="AA28">
        <v>93</v>
      </c>
      <c r="AB28">
        <v>1782745205</v>
      </c>
    </row>
    <row r="29" spans="1:28" x14ac:dyDescent="0.25">
      <c r="A29" t="s">
        <v>141</v>
      </c>
      <c r="B29" t="s">
        <v>142</v>
      </c>
      <c r="C29">
        <v>4</v>
      </c>
      <c r="D29" t="s">
        <v>39</v>
      </c>
      <c r="E29" s="4">
        <v>100</v>
      </c>
      <c r="F29" s="3"/>
      <c r="G29" s="3"/>
      <c r="H29" s="3"/>
      <c r="I29" s="3"/>
      <c r="J29" s="3"/>
      <c r="K29" s="2">
        <f t="shared" si="0"/>
        <v>10</v>
      </c>
      <c r="L29" s="2" t="str">
        <f t="shared" si="1"/>
        <v>E</v>
      </c>
      <c r="M29" t="str">
        <f t="shared" si="2"/>
        <v>0</v>
      </c>
      <c r="N29" t="s">
        <v>143</v>
      </c>
      <c r="O29">
        <v>24060124120044</v>
      </c>
      <c r="P29" t="s">
        <v>144</v>
      </c>
      <c r="S29" t="s">
        <v>145</v>
      </c>
      <c r="T29">
        <v>66.67</v>
      </c>
      <c r="U29">
        <v>92.42</v>
      </c>
      <c r="V29">
        <v>63.33</v>
      </c>
      <c r="W29">
        <v>93.33</v>
      </c>
      <c r="X29">
        <v>80</v>
      </c>
      <c r="Z29">
        <v>9.48</v>
      </c>
      <c r="AA29">
        <v>100</v>
      </c>
      <c r="AB29">
        <v>1782745205</v>
      </c>
    </row>
    <row r="30" spans="1:28" x14ac:dyDescent="0.25">
      <c r="A30" t="s">
        <v>146</v>
      </c>
      <c r="B30" t="s">
        <v>147</v>
      </c>
      <c r="C30">
        <v>4</v>
      </c>
      <c r="D30" t="s">
        <v>39</v>
      </c>
      <c r="E30" s="4">
        <v>96</v>
      </c>
      <c r="F30" s="3"/>
      <c r="G30" s="3"/>
      <c r="H30" s="3"/>
      <c r="I30" s="3"/>
      <c r="J30" s="3"/>
      <c r="K30" s="2">
        <f t="shared" si="0"/>
        <v>9.6</v>
      </c>
      <c r="L30" s="2" t="str">
        <f t="shared" si="1"/>
        <v>E</v>
      </c>
      <c r="M30" t="str">
        <f t="shared" si="2"/>
        <v>0</v>
      </c>
      <c r="N30" t="s">
        <v>148</v>
      </c>
      <c r="O30">
        <v>24060124130081</v>
      </c>
      <c r="P30" t="s">
        <v>149</v>
      </c>
      <c r="S30" t="s">
        <v>150</v>
      </c>
      <c r="T30">
        <v>66.67</v>
      </c>
      <c r="U30">
        <v>87.88</v>
      </c>
      <c r="V30">
        <v>80</v>
      </c>
      <c r="W30">
        <v>93.33</v>
      </c>
      <c r="X30">
        <v>100</v>
      </c>
      <c r="Z30">
        <v>9.3800000000000008</v>
      </c>
      <c r="AA30">
        <v>96</v>
      </c>
      <c r="AB30">
        <v>1782745205</v>
      </c>
    </row>
    <row r="31" spans="1:28" x14ac:dyDescent="0.25">
      <c r="A31" t="s">
        <v>151</v>
      </c>
      <c r="B31" t="s">
        <v>152</v>
      </c>
      <c r="C31">
        <v>4</v>
      </c>
      <c r="D31" t="s">
        <v>39</v>
      </c>
      <c r="E31" s="4">
        <v>89</v>
      </c>
      <c r="F31" s="3"/>
      <c r="G31" s="3"/>
      <c r="H31" s="3"/>
      <c r="I31" s="3"/>
      <c r="J31" s="3"/>
      <c r="K31" s="2">
        <f t="shared" si="0"/>
        <v>8.9</v>
      </c>
      <c r="L31" s="2" t="str">
        <f t="shared" si="1"/>
        <v>E</v>
      </c>
      <c r="M31" t="str">
        <f t="shared" si="2"/>
        <v>0</v>
      </c>
      <c r="N31" t="s">
        <v>153</v>
      </c>
      <c r="O31">
        <v>24060124140128</v>
      </c>
      <c r="P31" t="s">
        <v>154</v>
      </c>
      <c r="S31" t="s">
        <v>155</v>
      </c>
      <c r="T31">
        <v>66.67</v>
      </c>
      <c r="U31">
        <v>83.33</v>
      </c>
      <c r="V31">
        <v>90</v>
      </c>
      <c r="W31">
        <v>86.67</v>
      </c>
      <c r="X31">
        <v>100</v>
      </c>
      <c r="Z31" t="s">
        <v>43</v>
      </c>
      <c r="AA31">
        <v>89</v>
      </c>
      <c r="AB31">
        <v>1782745205</v>
      </c>
    </row>
    <row r="32" spans="1:28" x14ac:dyDescent="0.25">
      <c r="A32" t="s">
        <v>156</v>
      </c>
      <c r="B32" t="s">
        <v>157</v>
      </c>
      <c r="C32">
        <v>4</v>
      </c>
      <c r="D32" t="s">
        <v>39</v>
      </c>
      <c r="E32" s="4">
        <v>92</v>
      </c>
      <c r="F32" s="3"/>
      <c r="G32" s="3"/>
      <c r="H32" s="3"/>
      <c r="I32" s="3"/>
      <c r="J32" s="3"/>
      <c r="K32" s="2">
        <f t="shared" si="0"/>
        <v>9.1999999999999993</v>
      </c>
      <c r="L32" s="2" t="str">
        <f t="shared" si="1"/>
        <v>E</v>
      </c>
      <c r="M32" t="str">
        <f t="shared" si="2"/>
        <v>0</v>
      </c>
      <c r="N32" t="s">
        <v>158</v>
      </c>
      <c r="O32">
        <v>24060124140153</v>
      </c>
      <c r="P32" t="s">
        <v>159</v>
      </c>
      <c r="S32" t="s">
        <v>160</v>
      </c>
      <c r="T32">
        <v>66.67</v>
      </c>
      <c r="U32">
        <v>95.45</v>
      </c>
      <c r="V32">
        <v>86.67</v>
      </c>
      <c r="W32">
        <v>96.67</v>
      </c>
      <c r="X32">
        <v>95</v>
      </c>
      <c r="Z32" t="s">
        <v>43</v>
      </c>
      <c r="AA32">
        <v>92</v>
      </c>
      <c r="AB32">
        <v>1782745205</v>
      </c>
    </row>
    <row r="33" spans="1:28" x14ac:dyDescent="0.25">
      <c r="A33" t="s">
        <v>161</v>
      </c>
      <c r="B33" t="s">
        <v>162</v>
      </c>
      <c r="C33">
        <v>4</v>
      </c>
      <c r="D33" t="s">
        <v>39</v>
      </c>
      <c r="E33" s="4">
        <v>96</v>
      </c>
      <c r="F33" s="3"/>
      <c r="G33" s="3"/>
      <c r="H33" s="3"/>
      <c r="I33" s="3"/>
      <c r="J33" s="3"/>
      <c r="K33" s="2">
        <f t="shared" si="0"/>
        <v>9.6</v>
      </c>
      <c r="L33" s="2" t="str">
        <f t="shared" si="1"/>
        <v>E</v>
      </c>
      <c r="M33" t="str">
        <f t="shared" si="2"/>
        <v>0</v>
      </c>
      <c r="N33" t="s">
        <v>163</v>
      </c>
      <c r="O33">
        <v>24060124120027</v>
      </c>
      <c r="P33" t="s">
        <v>164</v>
      </c>
      <c r="S33" t="s">
        <v>165</v>
      </c>
      <c r="T33">
        <v>58.33</v>
      </c>
      <c r="U33">
        <v>77.27</v>
      </c>
      <c r="V33">
        <v>90</v>
      </c>
      <c r="W33">
        <v>100</v>
      </c>
      <c r="X33">
        <v>100</v>
      </c>
      <c r="Z33" t="s">
        <v>43</v>
      </c>
      <c r="AA33">
        <v>96</v>
      </c>
      <c r="AB33">
        <v>1782745205</v>
      </c>
    </row>
    <row r="34" spans="1:28" x14ac:dyDescent="0.25">
      <c r="A34" t="s">
        <v>166</v>
      </c>
      <c r="B34" t="s">
        <v>167</v>
      </c>
      <c r="C34">
        <v>4</v>
      </c>
      <c r="D34" t="s">
        <v>39</v>
      </c>
      <c r="E34" s="4">
        <v>86</v>
      </c>
      <c r="F34" s="3"/>
      <c r="G34" s="3"/>
      <c r="H34" s="3"/>
      <c r="I34" s="3"/>
      <c r="J34" s="3"/>
      <c r="K34" s="2">
        <f t="shared" si="0"/>
        <v>8.6</v>
      </c>
      <c r="L34" s="2" t="str">
        <f t="shared" si="1"/>
        <v>E</v>
      </c>
      <c r="M34" t="str">
        <f t="shared" si="2"/>
        <v>0</v>
      </c>
      <c r="N34" t="s">
        <v>168</v>
      </c>
      <c r="O34">
        <v>24060124140140</v>
      </c>
      <c r="P34" t="s">
        <v>169</v>
      </c>
      <c r="S34" t="s">
        <v>170</v>
      </c>
      <c r="T34">
        <v>75</v>
      </c>
      <c r="U34">
        <v>90.91</v>
      </c>
      <c r="V34">
        <v>70</v>
      </c>
      <c r="W34">
        <v>83.33</v>
      </c>
      <c r="X34">
        <v>90</v>
      </c>
      <c r="Z34">
        <v>8.69</v>
      </c>
      <c r="AA34">
        <v>86</v>
      </c>
      <c r="AB34">
        <v>1782745205</v>
      </c>
    </row>
    <row r="35" spans="1:28" x14ac:dyDescent="0.25">
      <c r="A35" t="s">
        <v>171</v>
      </c>
      <c r="B35" t="s">
        <v>172</v>
      </c>
      <c r="C35">
        <v>4</v>
      </c>
      <c r="D35" t="s">
        <v>39</v>
      </c>
      <c r="E35" s="4">
        <v>69</v>
      </c>
      <c r="F35" s="3"/>
      <c r="G35" s="3"/>
      <c r="H35" s="3"/>
      <c r="I35" s="3"/>
      <c r="J35" s="3"/>
      <c r="K35" s="2">
        <f t="shared" si="0"/>
        <v>6.9</v>
      </c>
      <c r="L35" s="2" t="str">
        <f t="shared" si="1"/>
        <v>E</v>
      </c>
      <c r="M35" t="str">
        <f t="shared" si="2"/>
        <v>0</v>
      </c>
      <c r="N35" t="s">
        <v>173</v>
      </c>
      <c r="O35">
        <v>24060124140141</v>
      </c>
      <c r="P35" t="s">
        <v>174</v>
      </c>
      <c r="S35" t="s">
        <v>175</v>
      </c>
      <c r="T35">
        <v>58.33</v>
      </c>
      <c r="U35">
        <v>84.09</v>
      </c>
      <c r="V35">
        <v>63.33</v>
      </c>
      <c r="W35">
        <v>80</v>
      </c>
      <c r="X35">
        <v>90</v>
      </c>
      <c r="Z35" t="s">
        <v>43</v>
      </c>
      <c r="AA35">
        <v>69</v>
      </c>
      <c r="AB35">
        <v>1782745205</v>
      </c>
    </row>
    <row r="36" spans="1:28" x14ac:dyDescent="0.25">
      <c r="A36" t="s">
        <v>176</v>
      </c>
      <c r="B36" t="s">
        <v>177</v>
      </c>
      <c r="C36">
        <v>4</v>
      </c>
      <c r="D36" t="s">
        <v>39</v>
      </c>
      <c r="E36" s="4">
        <v>99</v>
      </c>
      <c r="F36" s="3"/>
      <c r="G36" s="3"/>
      <c r="H36" s="3"/>
      <c r="I36" s="3"/>
      <c r="J36" s="3"/>
      <c r="K36" s="2">
        <f t="shared" si="0"/>
        <v>9.9</v>
      </c>
      <c r="L36" s="2" t="str">
        <f t="shared" si="1"/>
        <v>E</v>
      </c>
      <c r="M36" t="str">
        <f t="shared" si="2"/>
        <v>0</v>
      </c>
      <c r="N36" t="s">
        <v>178</v>
      </c>
      <c r="O36">
        <v>24060124120038</v>
      </c>
      <c r="P36" t="s">
        <v>179</v>
      </c>
      <c r="S36" t="s">
        <v>180</v>
      </c>
      <c r="T36">
        <v>83.33</v>
      </c>
      <c r="U36">
        <v>86.36</v>
      </c>
      <c r="V36">
        <v>96.67</v>
      </c>
      <c r="W36">
        <v>100</v>
      </c>
      <c r="X36">
        <v>95</v>
      </c>
      <c r="Z36" t="s">
        <v>43</v>
      </c>
      <c r="AA36">
        <v>99</v>
      </c>
      <c r="AB36">
        <v>1782745205</v>
      </c>
    </row>
    <row r="37" spans="1:28" x14ac:dyDescent="0.25">
      <c r="A37" t="s">
        <v>181</v>
      </c>
      <c r="B37" t="s">
        <v>182</v>
      </c>
      <c r="C37">
        <v>4</v>
      </c>
      <c r="D37" t="s">
        <v>39</v>
      </c>
      <c r="E37" s="4">
        <v>87.33</v>
      </c>
      <c r="F37" s="3"/>
      <c r="G37" s="3"/>
      <c r="H37" s="3"/>
      <c r="I37" s="3"/>
      <c r="J37" s="3"/>
      <c r="K37" s="2">
        <f t="shared" si="0"/>
        <v>8.73</v>
      </c>
      <c r="L37" s="2" t="str">
        <f t="shared" si="1"/>
        <v>E</v>
      </c>
      <c r="M37" t="str">
        <f t="shared" si="2"/>
        <v>0</v>
      </c>
      <c r="N37" t="s">
        <v>183</v>
      </c>
      <c r="O37">
        <v>24060124140152</v>
      </c>
      <c r="P37" t="s">
        <v>184</v>
      </c>
      <c r="S37" t="s">
        <v>185</v>
      </c>
      <c r="T37">
        <v>58.33</v>
      </c>
      <c r="U37">
        <v>78.790000000000006</v>
      </c>
      <c r="V37">
        <v>96.67</v>
      </c>
      <c r="W37">
        <v>81.67</v>
      </c>
      <c r="X37">
        <v>90</v>
      </c>
      <c r="Z37">
        <v>9.24</v>
      </c>
      <c r="AA37">
        <v>87.33</v>
      </c>
      <c r="AB37">
        <v>1782745205</v>
      </c>
    </row>
    <row r="38" spans="1:28" x14ac:dyDescent="0.25">
      <c r="A38" t="s">
        <v>186</v>
      </c>
      <c r="B38" t="s">
        <v>187</v>
      </c>
      <c r="C38">
        <v>4</v>
      </c>
      <c r="D38" t="s">
        <v>39</v>
      </c>
      <c r="E38" s="4">
        <v>95</v>
      </c>
      <c r="F38" s="3"/>
      <c r="G38" s="3"/>
      <c r="H38" s="3"/>
      <c r="I38" s="3"/>
      <c r="J38" s="3"/>
      <c r="K38" s="2">
        <f t="shared" si="0"/>
        <v>9.5</v>
      </c>
      <c r="L38" s="2" t="str">
        <f t="shared" si="1"/>
        <v>E</v>
      </c>
      <c r="M38" t="str">
        <f t="shared" si="2"/>
        <v>0</v>
      </c>
      <c r="N38" t="s">
        <v>188</v>
      </c>
      <c r="O38">
        <v>24060124140179</v>
      </c>
      <c r="P38" t="s">
        <v>189</v>
      </c>
      <c r="S38" t="s">
        <v>190</v>
      </c>
      <c r="T38">
        <v>83.33</v>
      </c>
      <c r="U38">
        <v>93.94</v>
      </c>
      <c r="V38">
        <v>96.67</v>
      </c>
      <c r="W38">
        <v>96.67</v>
      </c>
      <c r="X38">
        <v>100</v>
      </c>
      <c r="Z38">
        <v>0.21</v>
      </c>
      <c r="AA38">
        <v>95</v>
      </c>
      <c r="AB38">
        <v>1782745205</v>
      </c>
    </row>
    <row r="39" spans="1:28" x14ac:dyDescent="0.25">
      <c r="A39" t="s">
        <v>191</v>
      </c>
      <c r="B39" t="s">
        <v>192</v>
      </c>
      <c r="C39">
        <v>4</v>
      </c>
      <c r="D39" t="s">
        <v>39</v>
      </c>
      <c r="E39" s="4">
        <v>94.33</v>
      </c>
      <c r="F39" s="3"/>
      <c r="G39" s="3"/>
      <c r="H39" s="3"/>
      <c r="I39" s="3"/>
      <c r="J39" s="3"/>
      <c r="K39" s="2">
        <f t="shared" si="0"/>
        <v>9.43</v>
      </c>
      <c r="L39" s="2" t="str">
        <f t="shared" si="1"/>
        <v>E</v>
      </c>
      <c r="M39" t="str">
        <f t="shared" si="2"/>
        <v>0</v>
      </c>
      <c r="N39" t="s">
        <v>193</v>
      </c>
      <c r="O39">
        <v>24060124120041</v>
      </c>
      <c r="P39" t="s">
        <v>194</v>
      </c>
      <c r="S39" t="s">
        <v>195</v>
      </c>
      <c r="T39">
        <v>83.33</v>
      </c>
      <c r="U39">
        <v>83.33</v>
      </c>
      <c r="V39">
        <v>56.67</v>
      </c>
      <c r="W39">
        <v>93.33</v>
      </c>
      <c r="X39">
        <v>95</v>
      </c>
      <c r="Z39" t="s">
        <v>43</v>
      </c>
      <c r="AA39">
        <v>94.33</v>
      </c>
      <c r="AB39">
        <v>1782745205</v>
      </c>
    </row>
    <row r="40" spans="1:28" x14ac:dyDescent="0.25">
      <c r="A40" t="s">
        <v>196</v>
      </c>
      <c r="B40" t="s">
        <v>197</v>
      </c>
      <c r="C40">
        <v>4</v>
      </c>
      <c r="D40" t="s">
        <v>39</v>
      </c>
      <c r="E40" s="4">
        <v>99</v>
      </c>
      <c r="F40" s="3"/>
      <c r="G40" s="3"/>
      <c r="H40" s="3"/>
      <c r="I40" s="3"/>
      <c r="J40" s="3"/>
      <c r="K40" s="2">
        <f t="shared" si="0"/>
        <v>9.9</v>
      </c>
      <c r="L40" s="2" t="str">
        <f t="shared" si="1"/>
        <v>E</v>
      </c>
      <c r="M40" t="str">
        <f t="shared" si="2"/>
        <v>0</v>
      </c>
      <c r="N40" t="s">
        <v>198</v>
      </c>
      <c r="O40">
        <v>24060124120050</v>
      </c>
      <c r="P40" t="s">
        <v>199</v>
      </c>
      <c r="S40" t="s">
        <v>200</v>
      </c>
      <c r="T40">
        <v>83.33</v>
      </c>
      <c r="U40">
        <v>72.73</v>
      </c>
      <c r="V40">
        <v>90</v>
      </c>
      <c r="W40">
        <v>100</v>
      </c>
      <c r="X40">
        <v>90</v>
      </c>
      <c r="Z40">
        <v>9.59</v>
      </c>
      <c r="AA40">
        <v>99</v>
      </c>
      <c r="AB40">
        <v>1782745205</v>
      </c>
    </row>
    <row r="41" spans="1:28" x14ac:dyDescent="0.25">
      <c r="A41" t="s">
        <v>201</v>
      </c>
      <c r="B41" t="s">
        <v>202</v>
      </c>
      <c r="C41">
        <v>4</v>
      </c>
      <c r="D41" t="s">
        <v>39</v>
      </c>
      <c r="E41" s="4">
        <v>90</v>
      </c>
      <c r="F41" s="3"/>
      <c r="G41" s="3"/>
      <c r="H41" s="3"/>
      <c r="I41" s="3"/>
      <c r="J41" s="3"/>
      <c r="K41" s="2">
        <f t="shared" si="0"/>
        <v>9</v>
      </c>
      <c r="L41" s="2" t="str">
        <f t="shared" si="1"/>
        <v>E</v>
      </c>
      <c r="M41" t="str">
        <f t="shared" si="2"/>
        <v>0</v>
      </c>
      <c r="N41" t="s">
        <v>203</v>
      </c>
      <c r="O41">
        <v>24060124140132</v>
      </c>
      <c r="P41" t="s">
        <v>204</v>
      </c>
      <c r="S41" t="s">
        <v>205</v>
      </c>
      <c r="T41">
        <v>83.33</v>
      </c>
      <c r="U41">
        <v>87.88</v>
      </c>
      <c r="V41">
        <v>70</v>
      </c>
      <c r="W41">
        <v>93.33</v>
      </c>
      <c r="X41">
        <v>95</v>
      </c>
      <c r="Z41">
        <v>9.2799999999999994</v>
      </c>
      <c r="AA41">
        <v>90</v>
      </c>
      <c r="AB41">
        <v>1782745205</v>
      </c>
    </row>
    <row r="42" spans="1:28" x14ac:dyDescent="0.25">
      <c r="A42" t="s">
        <v>206</v>
      </c>
      <c r="B42" t="s">
        <v>207</v>
      </c>
      <c r="C42">
        <v>4</v>
      </c>
      <c r="D42" t="s">
        <v>39</v>
      </c>
      <c r="E42" s="4">
        <v>95.33</v>
      </c>
      <c r="F42" s="3"/>
      <c r="G42" s="3"/>
      <c r="H42" s="3"/>
      <c r="I42" s="3"/>
      <c r="J42" s="3"/>
      <c r="K42" s="2">
        <f t="shared" si="0"/>
        <v>9.5299999999999994</v>
      </c>
      <c r="L42" s="2" t="str">
        <f t="shared" si="1"/>
        <v>E</v>
      </c>
      <c r="M42" t="str">
        <f t="shared" si="2"/>
        <v>0</v>
      </c>
      <c r="N42" t="s">
        <v>208</v>
      </c>
      <c r="O42">
        <v>24060124120002</v>
      </c>
      <c r="P42" t="s">
        <v>209</v>
      </c>
      <c r="S42" t="s">
        <v>210</v>
      </c>
      <c r="T42">
        <v>75</v>
      </c>
      <c r="U42">
        <v>95.45</v>
      </c>
      <c r="V42">
        <v>90</v>
      </c>
      <c r="W42">
        <v>96.67</v>
      </c>
      <c r="X42">
        <v>100</v>
      </c>
      <c r="Z42">
        <v>9.59</v>
      </c>
      <c r="AA42">
        <v>95.33</v>
      </c>
      <c r="AB42">
        <v>1782745205</v>
      </c>
    </row>
    <row r="43" spans="1:28" x14ac:dyDescent="0.25">
      <c r="A43" t="s">
        <v>211</v>
      </c>
      <c r="B43" t="s">
        <v>212</v>
      </c>
      <c r="C43">
        <v>4</v>
      </c>
      <c r="D43" t="s">
        <v>39</v>
      </c>
      <c r="E43" s="4">
        <v>89</v>
      </c>
      <c r="F43" s="3"/>
      <c r="G43" s="3"/>
      <c r="H43" s="3"/>
      <c r="I43" s="3"/>
      <c r="J43" s="3"/>
      <c r="K43" s="2">
        <f t="shared" si="0"/>
        <v>8.9</v>
      </c>
      <c r="L43" s="2" t="str">
        <f t="shared" si="1"/>
        <v>E</v>
      </c>
      <c r="M43" t="str">
        <f t="shared" si="2"/>
        <v>0</v>
      </c>
      <c r="N43" t="s">
        <v>213</v>
      </c>
      <c r="O43">
        <v>24060124120034</v>
      </c>
      <c r="P43" t="s">
        <v>214</v>
      </c>
      <c r="S43" t="s">
        <v>215</v>
      </c>
      <c r="T43">
        <v>50</v>
      </c>
      <c r="U43">
        <v>86.36</v>
      </c>
      <c r="V43">
        <v>63.33</v>
      </c>
      <c r="W43">
        <v>74.44</v>
      </c>
      <c r="X43">
        <v>60</v>
      </c>
      <c r="Z43" t="s">
        <v>43</v>
      </c>
      <c r="AA43">
        <v>89</v>
      </c>
      <c r="AB43">
        <v>1782745205</v>
      </c>
    </row>
    <row r="44" spans="1:28" x14ac:dyDescent="0.25">
      <c r="A44" t="s">
        <v>216</v>
      </c>
      <c r="B44" t="s">
        <v>217</v>
      </c>
      <c r="C44">
        <v>4</v>
      </c>
      <c r="D44" t="s">
        <v>39</v>
      </c>
      <c r="E44" s="3"/>
      <c r="F44" s="3"/>
      <c r="G44" s="3"/>
      <c r="H44" s="3"/>
      <c r="I44" s="3"/>
      <c r="J44" s="2"/>
      <c r="K44" s="2">
        <f t="shared" si="0"/>
        <v>0</v>
      </c>
      <c r="L44" s="2" t="str">
        <f t="shared" si="1"/>
        <v>E</v>
      </c>
      <c r="M44" t="str">
        <f t="shared" si="2"/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6370-0AC6-415B-905B-439A2A157F57}">
  <dimension ref="A7:L44"/>
  <sheetViews>
    <sheetView topLeftCell="A16" workbookViewId="0">
      <selection activeCell="L8" sqref="L8:L43"/>
    </sheetView>
  </sheetViews>
  <sheetFormatPr defaultRowHeight="15" x14ac:dyDescent="0.25"/>
  <cols>
    <col min="7" max="8" width="17.42578125" bestFit="1" customWidth="1"/>
    <col min="9" max="9" width="17" bestFit="1" customWidth="1"/>
    <col min="10" max="10" width="17.42578125" bestFit="1" customWidth="1"/>
    <col min="11" max="11" width="17" bestFit="1" customWidth="1"/>
    <col min="12" max="12" width="17" customWidth="1"/>
  </cols>
  <sheetData>
    <row r="7" spans="1:12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</row>
    <row r="8" spans="1:12" x14ac:dyDescent="0.25">
      <c r="A8" t="s">
        <v>40</v>
      </c>
      <c r="B8">
        <v>24060124140191</v>
      </c>
      <c r="C8" t="s">
        <v>41</v>
      </c>
      <c r="F8" t="s">
        <v>42</v>
      </c>
      <c r="G8">
        <v>41.67</v>
      </c>
      <c r="H8">
        <v>50</v>
      </c>
      <c r="I8">
        <v>70</v>
      </c>
      <c r="J8">
        <v>80</v>
      </c>
      <c r="K8">
        <v>75</v>
      </c>
      <c r="L8">
        <f>(SUM(G8:K8))/5</f>
        <v>63.334000000000003</v>
      </c>
    </row>
    <row r="9" spans="1:12" x14ac:dyDescent="0.25">
      <c r="A9" t="s">
        <v>46</v>
      </c>
      <c r="B9">
        <v>24060124120025</v>
      </c>
      <c r="C9" t="s">
        <v>47</v>
      </c>
      <c r="F9" t="s">
        <v>48</v>
      </c>
      <c r="G9">
        <v>41.67</v>
      </c>
      <c r="H9">
        <v>68.180000000000007</v>
      </c>
      <c r="I9">
        <v>56.67</v>
      </c>
      <c r="J9">
        <v>90</v>
      </c>
      <c r="K9">
        <v>100</v>
      </c>
      <c r="L9">
        <f t="shared" ref="L9:L44" si="0">(SUM(G9:K9))/5</f>
        <v>71.304000000000002</v>
      </c>
    </row>
    <row r="10" spans="1:12" x14ac:dyDescent="0.25">
      <c r="A10" t="s">
        <v>51</v>
      </c>
      <c r="B10">
        <v>24060124130101</v>
      </c>
      <c r="C10" t="s">
        <v>52</v>
      </c>
      <c r="F10" t="s">
        <v>53</v>
      </c>
      <c r="G10">
        <v>83.33</v>
      </c>
      <c r="H10">
        <v>95.45</v>
      </c>
      <c r="I10">
        <v>66.67</v>
      </c>
      <c r="J10">
        <v>90</v>
      </c>
      <c r="K10">
        <v>100</v>
      </c>
      <c r="L10">
        <f t="shared" si="0"/>
        <v>87.09</v>
      </c>
    </row>
    <row r="11" spans="1:12" x14ac:dyDescent="0.25">
      <c r="A11" t="s">
        <v>56</v>
      </c>
      <c r="B11">
        <v>24060124130121</v>
      </c>
      <c r="C11" t="s">
        <v>57</v>
      </c>
      <c r="F11" t="s">
        <v>58</v>
      </c>
      <c r="G11">
        <v>75</v>
      </c>
      <c r="H11">
        <v>72.73</v>
      </c>
      <c r="I11">
        <v>70</v>
      </c>
      <c r="J11">
        <v>90</v>
      </c>
      <c r="K11">
        <v>100</v>
      </c>
      <c r="L11">
        <f t="shared" si="0"/>
        <v>81.546000000000006</v>
      </c>
    </row>
    <row r="12" spans="1:12" x14ac:dyDescent="0.25">
      <c r="A12" t="s">
        <v>61</v>
      </c>
      <c r="B12">
        <v>24060124140162</v>
      </c>
      <c r="C12" t="s">
        <v>62</v>
      </c>
      <c r="F12" t="s">
        <v>63</v>
      </c>
      <c r="G12">
        <v>50</v>
      </c>
      <c r="H12">
        <v>95.45</v>
      </c>
      <c r="I12">
        <v>83.33</v>
      </c>
      <c r="J12" t="s">
        <v>43</v>
      </c>
      <c r="K12">
        <v>100</v>
      </c>
      <c r="L12">
        <f t="shared" si="0"/>
        <v>65.756</v>
      </c>
    </row>
    <row r="13" spans="1:12" x14ac:dyDescent="0.25">
      <c r="A13" t="s">
        <v>66</v>
      </c>
      <c r="B13">
        <v>24060124140185</v>
      </c>
      <c r="C13" t="s">
        <v>67</v>
      </c>
      <c r="F13" t="s">
        <v>68</v>
      </c>
      <c r="G13">
        <v>66.67</v>
      </c>
      <c r="H13">
        <v>51.52</v>
      </c>
      <c r="I13">
        <v>63.33</v>
      </c>
      <c r="J13">
        <v>88.61</v>
      </c>
      <c r="K13">
        <v>95</v>
      </c>
      <c r="L13">
        <f t="shared" si="0"/>
        <v>73.025999999999996</v>
      </c>
    </row>
    <row r="14" spans="1:12" x14ac:dyDescent="0.25">
      <c r="A14" t="s">
        <v>71</v>
      </c>
      <c r="B14">
        <v>24060124120001</v>
      </c>
      <c r="C14" t="s">
        <v>72</v>
      </c>
      <c r="F14" t="s">
        <v>73</v>
      </c>
      <c r="G14">
        <v>50</v>
      </c>
      <c r="H14">
        <v>72.73</v>
      </c>
      <c r="I14">
        <v>26.67</v>
      </c>
      <c r="J14">
        <v>93.33</v>
      </c>
      <c r="K14">
        <v>95</v>
      </c>
      <c r="L14">
        <f t="shared" si="0"/>
        <v>67.546000000000006</v>
      </c>
    </row>
    <row r="15" spans="1:12" x14ac:dyDescent="0.25">
      <c r="A15" t="s">
        <v>76</v>
      </c>
      <c r="B15">
        <v>24060124120043</v>
      </c>
      <c r="C15" t="s">
        <v>77</v>
      </c>
      <c r="F15" t="s">
        <v>78</v>
      </c>
      <c r="G15">
        <v>75</v>
      </c>
      <c r="H15">
        <v>90.91</v>
      </c>
      <c r="I15">
        <v>73.33</v>
      </c>
      <c r="J15">
        <v>90</v>
      </c>
      <c r="K15">
        <v>90</v>
      </c>
      <c r="L15">
        <f t="shared" si="0"/>
        <v>83.847999999999999</v>
      </c>
    </row>
    <row r="16" spans="1:12" x14ac:dyDescent="0.25">
      <c r="A16" t="s">
        <v>81</v>
      </c>
      <c r="B16">
        <v>24060124130071</v>
      </c>
      <c r="C16" t="s">
        <v>82</v>
      </c>
      <c r="F16" t="s">
        <v>83</v>
      </c>
      <c r="G16">
        <v>75</v>
      </c>
      <c r="H16">
        <v>92.42</v>
      </c>
      <c r="I16">
        <v>80</v>
      </c>
      <c r="J16">
        <v>96.67</v>
      </c>
      <c r="K16">
        <v>85</v>
      </c>
      <c r="L16">
        <f t="shared" si="0"/>
        <v>85.818000000000012</v>
      </c>
    </row>
    <row r="17" spans="1:12" x14ac:dyDescent="0.25">
      <c r="L17">
        <f t="shared" si="0"/>
        <v>0</v>
      </c>
    </row>
    <row r="18" spans="1:12" x14ac:dyDescent="0.25">
      <c r="A18" t="s">
        <v>88</v>
      </c>
      <c r="B18">
        <v>24060124130085</v>
      </c>
      <c r="C18" t="s">
        <v>89</v>
      </c>
      <c r="F18" t="s">
        <v>90</v>
      </c>
      <c r="G18" t="s">
        <v>43</v>
      </c>
      <c r="H18">
        <v>86.36</v>
      </c>
      <c r="I18">
        <v>56.67</v>
      </c>
      <c r="J18">
        <v>94.44</v>
      </c>
      <c r="K18">
        <v>85</v>
      </c>
      <c r="L18">
        <f t="shared" si="0"/>
        <v>64.494</v>
      </c>
    </row>
    <row r="19" spans="1:12" x14ac:dyDescent="0.25">
      <c r="A19" t="s">
        <v>93</v>
      </c>
      <c r="B19">
        <v>24060124130106</v>
      </c>
      <c r="C19" t="s">
        <v>94</v>
      </c>
      <c r="F19" t="s">
        <v>95</v>
      </c>
      <c r="G19">
        <v>75</v>
      </c>
      <c r="H19">
        <v>86.36</v>
      </c>
      <c r="I19">
        <v>76.67</v>
      </c>
      <c r="J19">
        <v>89.44</v>
      </c>
      <c r="K19">
        <v>100</v>
      </c>
      <c r="L19">
        <f t="shared" si="0"/>
        <v>85.494</v>
      </c>
    </row>
    <row r="20" spans="1:12" x14ac:dyDescent="0.25">
      <c r="A20" t="s">
        <v>98</v>
      </c>
      <c r="B20">
        <v>24060124140146</v>
      </c>
      <c r="C20" t="s">
        <v>99</v>
      </c>
      <c r="F20" t="s">
        <v>100</v>
      </c>
      <c r="G20">
        <v>50</v>
      </c>
      <c r="H20">
        <v>54.55</v>
      </c>
      <c r="I20">
        <v>63.33</v>
      </c>
      <c r="J20">
        <v>93.33</v>
      </c>
      <c r="K20">
        <v>90</v>
      </c>
      <c r="L20">
        <f t="shared" si="0"/>
        <v>70.24199999999999</v>
      </c>
    </row>
    <row r="21" spans="1:12" x14ac:dyDescent="0.25">
      <c r="A21" t="s">
        <v>103</v>
      </c>
      <c r="B21">
        <v>24060124140155</v>
      </c>
      <c r="C21" t="s">
        <v>104</v>
      </c>
      <c r="F21" t="s">
        <v>105</v>
      </c>
      <c r="G21" t="s">
        <v>43</v>
      </c>
      <c r="H21">
        <v>77.27</v>
      </c>
      <c r="I21">
        <v>86.67</v>
      </c>
      <c r="J21">
        <v>86.67</v>
      </c>
      <c r="K21">
        <v>90</v>
      </c>
      <c r="L21">
        <f t="shared" si="0"/>
        <v>68.122</v>
      </c>
    </row>
    <row r="22" spans="1:12" x14ac:dyDescent="0.25">
      <c r="A22" t="s">
        <v>108</v>
      </c>
      <c r="B22">
        <v>24060124140157</v>
      </c>
      <c r="C22" t="s">
        <v>109</v>
      </c>
      <c r="F22" t="s">
        <v>110</v>
      </c>
      <c r="G22">
        <v>75</v>
      </c>
      <c r="H22">
        <v>90.91</v>
      </c>
      <c r="I22">
        <v>63.33</v>
      </c>
      <c r="J22">
        <v>93.33</v>
      </c>
      <c r="K22">
        <v>95</v>
      </c>
      <c r="L22">
        <f t="shared" si="0"/>
        <v>83.513999999999996</v>
      </c>
    </row>
    <row r="23" spans="1:12" x14ac:dyDescent="0.25">
      <c r="A23" t="s">
        <v>113</v>
      </c>
      <c r="B23">
        <v>24060124140178</v>
      </c>
      <c r="C23" t="s">
        <v>114</v>
      </c>
      <c r="F23" t="s">
        <v>115</v>
      </c>
      <c r="G23">
        <v>58.33</v>
      </c>
      <c r="H23">
        <v>86.36</v>
      </c>
      <c r="I23">
        <v>86.67</v>
      </c>
      <c r="J23">
        <v>100</v>
      </c>
      <c r="K23">
        <v>85</v>
      </c>
      <c r="L23">
        <f t="shared" si="0"/>
        <v>83.272000000000006</v>
      </c>
    </row>
    <row r="24" spans="1:12" x14ac:dyDescent="0.25">
      <c r="A24" t="s">
        <v>118</v>
      </c>
      <c r="B24">
        <v>24060124120017</v>
      </c>
      <c r="C24" t="s">
        <v>119</v>
      </c>
      <c r="F24" t="s">
        <v>120</v>
      </c>
      <c r="G24">
        <v>66.67</v>
      </c>
      <c r="H24">
        <v>95.45</v>
      </c>
      <c r="I24">
        <v>93.33</v>
      </c>
      <c r="J24">
        <v>91.67</v>
      </c>
      <c r="K24">
        <v>85</v>
      </c>
      <c r="L24">
        <f t="shared" si="0"/>
        <v>86.424000000000007</v>
      </c>
    </row>
    <row r="25" spans="1:12" x14ac:dyDescent="0.25">
      <c r="A25" t="s">
        <v>123</v>
      </c>
      <c r="B25">
        <v>24060124130077</v>
      </c>
      <c r="C25" t="s">
        <v>124</v>
      </c>
      <c r="F25" t="s">
        <v>125</v>
      </c>
      <c r="G25">
        <v>75</v>
      </c>
      <c r="H25">
        <v>78.790000000000006</v>
      </c>
      <c r="I25">
        <v>66.67</v>
      </c>
      <c r="J25">
        <v>96.67</v>
      </c>
      <c r="K25">
        <v>85</v>
      </c>
      <c r="L25">
        <f t="shared" si="0"/>
        <v>80.426000000000016</v>
      </c>
    </row>
    <row r="26" spans="1:12" x14ac:dyDescent="0.25">
      <c r="A26" t="s">
        <v>128</v>
      </c>
      <c r="B26">
        <v>24060124130094</v>
      </c>
      <c r="C26" t="s">
        <v>129</v>
      </c>
      <c r="F26" t="s">
        <v>130</v>
      </c>
      <c r="G26">
        <v>66.67</v>
      </c>
      <c r="H26">
        <v>95.45</v>
      </c>
      <c r="I26">
        <v>60</v>
      </c>
      <c r="J26">
        <v>96.67</v>
      </c>
      <c r="K26">
        <v>95</v>
      </c>
      <c r="L26">
        <f t="shared" si="0"/>
        <v>82.75800000000001</v>
      </c>
    </row>
    <row r="27" spans="1:12" x14ac:dyDescent="0.25">
      <c r="A27" t="s">
        <v>133</v>
      </c>
      <c r="B27">
        <v>24060124140187</v>
      </c>
      <c r="C27" t="s">
        <v>134</v>
      </c>
      <c r="F27" t="s">
        <v>135</v>
      </c>
      <c r="G27">
        <v>66.67</v>
      </c>
      <c r="H27">
        <v>95.45</v>
      </c>
      <c r="I27">
        <v>33.33</v>
      </c>
      <c r="J27" t="s">
        <v>43</v>
      </c>
      <c r="K27">
        <v>70</v>
      </c>
      <c r="L27">
        <f t="shared" si="0"/>
        <v>53.089999999999996</v>
      </c>
    </row>
    <row r="28" spans="1:12" x14ac:dyDescent="0.25">
      <c r="A28" t="s">
        <v>138</v>
      </c>
      <c r="B28">
        <v>24060124140193</v>
      </c>
      <c r="C28" t="s">
        <v>139</v>
      </c>
      <c r="F28" t="s">
        <v>140</v>
      </c>
      <c r="G28">
        <v>75</v>
      </c>
      <c r="H28">
        <v>78.790000000000006</v>
      </c>
      <c r="I28">
        <v>50</v>
      </c>
      <c r="J28">
        <v>90</v>
      </c>
      <c r="K28">
        <v>95</v>
      </c>
      <c r="L28">
        <f t="shared" si="0"/>
        <v>77.75800000000001</v>
      </c>
    </row>
    <row r="29" spans="1:12" x14ac:dyDescent="0.25">
      <c r="A29" t="s">
        <v>143</v>
      </c>
      <c r="B29">
        <v>24060124120044</v>
      </c>
      <c r="C29" t="s">
        <v>144</v>
      </c>
      <c r="F29" t="s">
        <v>145</v>
      </c>
      <c r="G29">
        <v>66.67</v>
      </c>
      <c r="H29">
        <v>92.42</v>
      </c>
      <c r="I29">
        <v>63.33</v>
      </c>
      <c r="J29">
        <v>93.33</v>
      </c>
      <c r="K29">
        <v>80</v>
      </c>
      <c r="L29">
        <f t="shared" si="0"/>
        <v>79.150000000000006</v>
      </c>
    </row>
    <row r="30" spans="1:12" x14ac:dyDescent="0.25">
      <c r="A30" t="s">
        <v>148</v>
      </c>
      <c r="B30">
        <v>24060124130081</v>
      </c>
      <c r="C30" t="s">
        <v>149</v>
      </c>
      <c r="F30" t="s">
        <v>150</v>
      </c>
      <c r="G30">
        <v>66.67</v>
      </c>
      <c r="H30">
        <v>87.88</v>
      </c>
      <c r="I30">
        <v>80</v>
      </c>
      <c r="J30">
        <v>93.33</v>
      </c>
      <c r="K30">
        <v>100</v>
      </c>
      <c r="L30">
        <f t="shared" si="0"/>
        <v>85.575999999999993</v>
      </c>
    </row>
    <row r="31" spans="1:12" x14ac:dyDescent="0.25">
      <c r="A31" t="s">
        <v>153</v>
      </c>
      <c r="B31">
        <v>24060124140128</v>
      </c>
      <c r="C31" t="s">
        <v>154</v>
      </c>
      <c r="F31" t="s">
        <v>155</v>
      </c>
      <c r="G31">
        <v>66.67</v>
      </c>
      <c r="H31">
        <v>83.33</v>
      </c>
      <c r="I31">
        <v>90</v>
      </c>
      <c r="J31">
        <v>86.67</v>
      </c>
      <c r="K31">
        <v>100</v>
      </c>
      <c r="L31">
        <f t="shared" si="0"/>
        <v>85.334000000000003</v>
      </c>
    </row>
    <row r="32" spans="1:12" x14ac:dyDescent="0.25">
      <c r="A32" t="s">
        <v>158</v>
      </c>
      <c r="B32">
        <v>24060124140153</v>
      </c>
      <c r="C32" t="s">
        <v>159</v>
      </c>
      <c r="F32" t="s">
        <v>160</v>
      </c>
      <c r="G32">
        <v>66.67</v>
      </c>
      <c r="H32">
        <v>95.45</v>
      </c>
      <c r="I32">
        <v>86.67</v>
      </c>
      <c r="J32">
        <v>96.67</v>
      </c>
      <c r="K32">
        <v>95</v>
      </c>
      <c r="L32">
        <f t="shared" si="0"/>
        <v>88.092000000000013</v>
      </c>
    </row>
    <row r="33" spans="1:12" x14ac:dyDescent="0.25">
      <c r="A33" t="s">
        <v>163</v>
      </c>
      <c r="B33">
        <v>24060124120027</v>
      </c>
      <c r="C33" t="s">
        <v>164</v>
      </c>
      <c r="F33" t="s">
        <v>165</v>
      </c>
      <c r="G33">
        <v>58.33</v>
      </c>
      <c r="H33">
        <v>77.27</v>
      </c>
      <c r="I33">
        <v>90</v>
      </c>
      <c r="J33">
        <v>100</v>
      </c>
      <c r="K33">
        <v>100</v>
      </c>
      <c r="L33">
        <f t="shared" si="0"/>
        <v>85.12</v>
      </c>
    </row>
    <row r="34" spans="1:12" x14ac:dyDescent="0.25">
      <c r="A34" t="s">
        <v>168</v>
      </c>
      <c r="B34">
        <v>24060124140140</v>
      </c>
      <c r="C34" t="s">
        <v>169</v>
      </c>
      <c r="F34" t="s">
        <v>170</v>
      </c>
      <c r="G34">
        <v>75</v>
      </c>
      <c r="H34">
        <v>90.91</v>
      </c>
      <c r="I34">
        <v>70</v>
      </c>
      <c r="J34">
        <v>83.33</v>
      </c>
      <c r="K34">
        <v>90</v>
      </c>
      <c r="L34">
        <f t="shared" si="0"/>
        <v>81.847999999999999</v>
      </c>
    </row>
    <row r="35" spans="1:12" x14ac:dyDescent="0.25">
      <c r="A35" t="s">
        <v>173</v>
      </c>
      <c r="B35">
        <v>24060124140141</v>
      </c>
      <c r="C35" t="s">
        <v>174</v>
      </c>
      <c r="F35" t="s">
        <v>175</v>
      </c>
      <c r="G35">
        <v>58.33</v>
      </c>
      <c r="H35">
        <v>84.09</v>
      </c>
      <c r="I35">
        <v>63.33</v>
      </c>
      <c r="J35">
        <v>80</v>
      </c>
      <c r="K35">
        <v>90</v>
      </c>
      <c r="L35">
        <f t="shared" si="0"/>
        <v>75.150000000000006</v>
      </c>
    </row>
    <row r="36" spans="1:12" x14ac:dyDescent="0.25">
      <c r="A36" t="s">
        <v>178</v>
      </c>
      <c r="B36">
        <v>24060124120038</v>
      </c>
      <c r="C36" t="s">
        <v>179</v>
      </c>
      <c r="F36" t="s">
        <v>180</v>
      </c>
      <c r="G36">
        <v>83.33</v>
      </c>
      <c r="H36">
        <v>86.36</v>
      </c>
      <c r="I36">
        <v>96.67</v>
      </c>
      <c r="J36">
        <v>100</v>
      </c>
      <c r="K36">
        <v>95</v>
      </c>
      <c r="L36">
        <f t="shared" si="0"/>
        <v>92.272000000000006</v>
      </c>
    </row>
    <row r="37" spans="1:12" x14ac:dyDescent="0.25">
      <c r="A37" t="s">
        <v>183</v>
      </c>
      <c r="B37">
        <v>24060124140152</v>
      </c>
      <c r="C37" t="s">
        <v>184</v>
      </c>
      <c r="F37" t="s">
        <v>185</v>
      </c>
      <c r="G37">
        <v>58.33</v>
      </c>
      <c r="H37">
        <v>78.790000000000006</v>
      </c>
      <c r="I37">
        <v>96.67</v>
      </c>
      <c r="J37">
        <v>81.67</v>
      </c>
      <c r="K37">
        <v>90</v>
      </c>
      <c r="L37">
        <f t="shared" si="0"/>
        <v>81.092000000000013</v>
      </c>
    </row>
    <row r="38" spans="1:12" x14ac:dyDescent="0.25">
      <c r="A38" t="s">
        <v>188</v>
      </c>
      <c r="B38">
        <v>24060124140179</v>
      </c>
      <c r="C38" t="s">
        <v>189</v>
      </c>
      <c r="F38" t="s">
        <v>190</v>
      </c>
      <c r="G38">
        <v>83.33</v>
      </c>
      <c r="H38">
        <v>93.94</v>
      </c>
      <c r="I38">
        <v>96.67</v>
      </c>
      <c r="J38">
        <v>96.67</v>
      </c>
      <c r="K38">
        <v>100</v>
      </c>
      <c r="L38">
        <f t="shared" si="0"/>
        <v>94.122</v>
      </c>
    </row>
    <row r="39" spans="1:12" x14ac:dyDescent="0.25">
      <c r="A39" t="s">
        <v>193</v>
      </c>
      <c r="B39">
        <v>24060124120041</v>
      </c>
      <c r="C39" t="s">
        <v>194</v>
      </c>
      <c r="F39" t="s">
        <v>195</v>
      </c>
      <c r="G39">
        <v>83.33</v>
      </c>
      <c r="H39">
        <v>83.33</v>
      </c>
      <c r="I39">
        <v>56.67</v>
      </c>
      <c r="J39">
        <v>93.33</v>
      </c>
      <c r="K39">
        <v>95</v>
      </c>
      <c r="L39">
        <f t="shared" si="0"/>
        <v>82.331999999999994</v>
      </c>
    </row>
    <row r="40" spans="1:12" x14ac:dyDescent="0.25">
      <c r="A40" t="s">
        <v>198</v>
      </c>
      <c r="B40">
        <v>24060124120050</v>
      </c>
      <c r="C40" t="s">
        <v>199</v>
      </c>
      <c r="F40" t="s">
        <v>200</v>
      </c>
      <c r="G40">
        <v>83.33</v>
      </c>
      <c r="H40">
        <v>72.73</v>
      </c>
      <c r="I40">
        <v>90</v>
      </c>
      <c r="J40">
        <v>100</v>
      </c>
      <c r="K40">
        <v>90</v>
      </c>
      <c r="L40">
        <f t="shared" si="0"/>
        <v>87.212000000000003</v>
      </c>
    </row>
    <row r="41" spans="1:12" x14ac:dyDescent="0.25">
      <c r="A41" t="s">
        <v>203</v>
      </c>
      <c r="B41">
        <v>24060124140132</v>
      </c>
      <c r="C41" t="s">
        <v>204</v>
      </c>
      <c r="F41" t="s">
        <v>205</v>
      </c>
      <c r="G41">
        <v>83.33</v>
      </c>
      <c r="H41">
        <v>87.88</v>
      </c>
      <c r="I41">
        <v>70</v>
      </c>
      <c r="J41">
        <v>93.33</v>
      </c>
      <c r="K41">
        <v>95</v>
      </c>
      <c r="L41">
        <f t="shared" si="0"/>
        <v>85.907999999999987</v>
      </c>
    </row>
    <row r="42" spans="1:12" x14ac:dyDescent="0.25">
      <c r="A42" t="s">
        <v>208</v>
      </c>
      <c r="B42">
        <v>24060124120002</v>
      </c>
      <c r="C42" t="s">
        <v>209</v>
      </c>
      <c r="F42" t="s">
        <v>210</v>
      </c>
      <c r="G42">
        <v>75</v>
      </c>
      <c r="H42">
        <v>95.45</v>
      </c>
      <c r="I42">
        <v>90</v>
      </c>
      <c r="J42">
        <v>96.67</v>
      </c>
      <c r="K42">
        <v>100</v>
      </c>
      <c r="L42">
        <f t="shared" si="0"/>
        <v>91.424000000000007</v>
      </c>
    </row>
    <row r="43" spans="1:12" x14ac:dyDescent="0.25">
      <c r="A43" t="s">
        <v>213</v>
      </c>
      <c r="B43">
        <v>24060124120034</v>
      </c>
      <c r="C43" t="s">
        <v>214</v>
      </c>
      <c r="F43" t="s">
        <v>215</v>
      </c>
      <c r="G43">
        <v>50</v>
      </c>
      <c r="H43">
        <v>86.36</v>
      </c>
      <c r="I43">
        <v>63.33</v>
      </c>
      <c r="J43">
        <v>74.44</v>
      </c>
      <c r="K43">
        <v>60</v>
      </c>
      <c r="L43">
        <f t="shared" si="0"/>
        <v>66.825999999999993</v>
      </c>
    </row>
    <row r="44" spans="1:12" x14ac:dyDescent="0.25">
      <c r="L44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Worksheet</vt:lpstr>
      <vt:lpstr>Data_Gabungan</vt:lpstr>
      <vt:lpstr>Ringkasan_Match</vt:lpstr>
      <vt:lpstr>Worksheet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HP OHS2021</cp:lastModifiedBy>
  <dcterms:created xsi:type="dcterms:W3CDTF">2026-06-29T22:00:21Z</dcterms:created>
  <dcterms:modified xsi:type="dcterms:W3CDTF">2026-06-29T15:22:58Z</dcterms:modified>
  <cp:category>Test result file</cp:category>
</cp:coreProperties>
</file>