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Worksheet" sheetId="1" state="visible" r:id="rId1"/>
    <sheet name="Data_Gabungan" sheetId="2" state="visible" r:id="rId2"/>
    <sheet name="Ringkasan_Match" sheetId="3" state="visible" r:id="rId3"/>
    <sheet name="Worksheet (2)" sheetId="4" state="visible" r:id="rId4"/>
    <sheet name="Sheet2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color rgb="FF000000"/>
      <sz val="11"/>
    </font>
    <font>
      <name val="Calibri"/>
      <color rgb="FFFFFFFF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2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4"/>
  <sheetViews>
    <sheetView tabSelected="1" topLeftCell="E1" workbookViewId="0">
      <selection activeCell="G45" sqref="G45"/>
    </sheetView>
  </sheetViews>
  <sheetFormatPr baseColWidth="8" defaultRowHeight="15"/>
  <cols>
    <col width="17.5703125" bestFit="1" customWidth="1" min="1" max="1"/>
    <col width="55.28515625" bestFit="1" customWidth="1" min="2" max="2"/>
    <col width="10.5703125" bestFit="1" customWidth="1" min="3" max="3"/>
    <col width="8.140625" bestFit="1" customWidth="1" min="4" max="4"/>
    <col width="57.7109375" bestFit="1" customWidth="1" min="5" max="5"/>
    <col width="45.85546875" bestFit="1" customWidth="1" min="6" max="6"/>
    <col width="36.42578125" bestFit="1" customWidth="1" min="7" max="7"/>
    <col width="35.28515625" bestFit="1" customWidth="1" min="8" max="9"/>
    <col width="31.7109375" bestFit="1" customWidth="1" min="10" max="10"/>
    <col width="37.7109375" bestFit="1" customWidth="1" min="11" max="11"/>
    <col width="35.28515625" bestFit="1" customWidth="1" min="12" max="12"/>
    <col width="21.140625" bestFit="1" customWidth="1" min="13" max="13"/>
    <col width="17.42578125" bestFit="1" customWidth="1" min="20" max="21"/>
    <col width="17" bestFit="1" customWidth="1" min="22" max="22"/>
    <col width="17.42578125" bestFit="1" customWidth="1" min="23" max="23"/>
    <col width="17" bestFit="1" customWidth="1" min="24" max="24"/>
    <col width="17" customWidth="1" min="25" max="25"/>
    <col width="22" bestFit="1" customWidth="1" min="26" max="26"/>
  </cols>
  <sheetData>
    <row r="1">
      <c r="A1" t="inlineStr">
        <is>
          <t>Mata Kuliah</t>
        </is>
      </c>
      <c r="B1" t="inlineStr">
        <is>
          <t>: MIK1624404 - Analisis dan Strategi Algoritma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NDk5NDgy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B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t="inlineStr">
        <is>
          <t>First name</t>
        </is>
      </c>
      <c r="O7" t="inlineStr">
        <is>
          <t>Last name</t>
        </is>
      </c>
      <c r="P7" t="inlineStr">
        <is>
          <t>ID number</t>
        </is>
      </c>
      <c r="Q7" t="inlineStr">
        <is>
          <t>Institution</t>
        </is>
      </c>
      <c r="R7" t="inlineStr">
        <is>
          <t>Department</t>
        </is>
      </c>
      <c r="S7" t="inlineStr">
        <is>
          <t>Email address</t>
        </is>
      </c>
      <c r="T7" t="inlineStr">
        <is>
          <t>Quiz: Quis 1 (Real)</t>
        </is>
      </c>
      <c r="U7" t="inlineStr">
        <is>
          <t>Quiz: Quis 2 (Real)</t>
        </is>
      </c>
      <c r="V7" t="inlineStr">
        <is>
          <t>Quiz: quis 3 (Real)</t>
        </is>
      </c>
      <c r="W7" t="inlineStr">
        <is>
          <t>Quiz: Quis 4 (Real)</t>
        </is>
      </c>
      <c r="X7" t="inlineStr">
        <is>
          <t>Quiz: quis 5 (Real)</t>
        </is>
      </c>
      <c r="Z7" t="inlineStr">
        <is>
          <t>Quiz: latihan UTS (Real)</t>
        </is>
      </c>
      <c r="AA7" t="inlineStr">
        <is>
          <t>Quiz: UTS (Real)</t>
        </is>
      </c>
      <c r="AB7" t="inlineStr">
        <is>
          <t>Last downloaded from this course</t>
        </is>
      </c>
    </row>
    <row r="8">
      <c r="A8" t="inlineStr">
        <is>
          <t>24060124140191</t>
        </is>
      </c>
      <c r="B8" t="inlineStr">
        <is>
          <t>ARGA YURA DANENDRA</t>
        </is>
      </c>
      <c r="C8" t="n">
        <v>4</v>
      </c>
      <c r="D8" t="inlineStr">
        <is>
          <t>BARU</t>
        </is>
      </c>
      <c r="E8" s="4" t="n">
        <v>81</v>
      </c>
      <c r="F8" s="3" t="n"/>
      <c r="G8" s="3">
        <f>(E8*0.8)+(H8*0.2)</f>
        <v/>
      </c>
      <c r="H8" s="3" t="n">
        <v>63.334</v>
      </c>
      <c r="I8" s="3" t="n">
        <v>77</v>
      </c>
      <c r="J8" s="3" t="n"/>
      <c r="K8" s="2">
        <f>ROUND( ((E8*10+F8*40+G8*5+H8*5+I8*20+J8*20)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  <c r="N8" t="inlineStr">
        <is>
          <t>Arga Yura Danendra</t>
        </is>
      </c>
      <c r="O8" t="n">
        <v>24060124140191</v>
      </c>
      <c r="P8" t="inlineStr">
        <is>
          <t>5774e22c-186e-4a1c-b1a9-38b79aaee659</t>
        </is>
      </c>
      <c r="S8" t="inlineStr">
        <is>
          <t>argayura@students.undip.ac.id</t>
        </is>
      </c>
      <c r="T8" t="n">
        <v>41.67</v>
      </c>
      <c r="U8" t="n">
        <v>50</v>
      </c>
      <c r="V8" t="n">
        <v>70</v>
      </c>
      <c r="W8" t="n">
        <v>80</v>
      </c>
      <c r="X8" t="n">
        <v>75</v>
      </c>
      <c r="Z8" t="inlineStr">
        <is>
          <t>-</t>
        </is>
      </c>
      <c r="AA8" t="n">
        <v>81</v>
      </c>
      <c r="AB8" t="n">
        <v>1782745205</v>
      </c>
    </row>
    <row r="9">
      <c r="A9" t="inlineStr">
        <is>
          <t>24060124120025</t>
        </is>
      </c>
      <c r="B9" t="inlineStr">
        <is>
          <t>GANENDRA SATYA SINDHUNATA</t>
        </is>
      </c>
      <c r="C9" t="n">
        <v>4</v>
      </c>
      <c r="D9" t="inlineStr">
        <is>
          <t>BARU</t>
        </is>
      </c>
      <c r="E9" s="4" t="n">
        <v>92</v>
      </c>
      <c r="F9" s="3" t="n"/>
      <c r="G9" s="3">
        <f>(E9*0.8)+(H9*0.2)</f>
        <v/>
      </c>
      <c r="H9" s="3" t="n">
        <v>71.304</v>
      </c>
      <c r="I9" s="3" t="n">
        <v>77</v>
      </c>
      <c r="J9" s="3" t="n"/>
      <c r="K9" s="2">
        <f>ROUND( ((E9*10+F9*40+G9*5+H9*5+I9*20+J9*20)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  <c r="N9" t="inlineStr">
        <is>
          <t>Ganendra Satya Sindhunata</t>
        </is>
      </c>
      <c r="O9" t="n">
        <v>24060124120025</v>
      </c>
      <c r="P9" t="inlineStr">
        <is>
          <t>8a5caf17-6e23-4f22-acc4-94f0abe349d6</t>
        </is>
      </c>
      <c r="S9" t="inlineStr">
        <is>
          <t>ganendrasatya@students.undip.ac.id</t>
        </is>
      </c>
      <c r="T9" t="n">
        <v>41.67</v>
      </c>
      <c r="U9" t="n">
        <v>68.18000000000001</v>
      </c>
      <c r="V9" t="n">
        <v>56.67</v>
      </c>
      <c r="W9" t="n">
        <v>90</v>
      </c>
      <c r="X9" t="n">
        <v>100</v>
      </c>
      <c r="Z9" t="inlineStr">
        <is>
          <t>-</t>
        </is>
      </c>
      <c r="AA9" t="n">
        <v>92</v>
      </c>
      <c r="AB9" t="n">
        <v>1782745205</v>
      </c>
    </row>
    <row r="10">
      <c r="A10" t="inlineStr">
        <is>
          <t>24060124130101</t>
        </is>
      </c>
      <c r="B10" t="inlineStr">
        <is>
          <t>GALANG BINTANG RAMADHAN</t>
        </is>
      </c>
      <c r="C10" t="n">
        <v>4</v>
      </c>
      <c r="D10" t="inlineStr">
        <is>
          <t>BARU</t>
        </is>
      </c>
      <c r="E10" s="4" t="n">
        <v>100</v>
      </c>
      <c r="F10" s="3" t="n"/>
      <c r="G10" s="3">
        <f>(E10*0.8)+(H10*0.2)</f>
        <v/>
      </c>
      <c r="H10" s="3" t="n">
        <v>87.09</v>
      </c>
      <c r="I10" s="3" t="n">
        <v>86</v>
      </c>
      <c r="J10" s="3" t="n"/>
      <c r="K10" s="2">
        <f>ROUND( ((E10*10+F10*40+G10*5+H10*5+I10*20+J10*20)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  <c r="N10" t="inlineStr">
        <is>
          <t>Galang Bintang Ramadhan</t>
        </is>
      </c>
      <c r="O10" t="n">
        <v>24060124130101</v>
      </c>
      <c r="P10" t="inlineStr">
        <is>
          <t>2829bd85-1e6f-4882-a55d-613e56e88cc5</t>
        </is>
      </c>
      <c r="S10" t="inlineStr">
        <is>
          <t>galangbintang@students.undip.ac.id</t>
        </is>
      </c>
      <c r="T10" t="n">
        <v>83.33</v>
      </c>
      <c r="U10" t="n">
        <v>95.45</v>
      </c>
      <c r="V10" t="n">
        <v>66.67</v>
      </c>
      <c r="W10" t="n">
        <v>90</v>
      </c>
      <c r="X10" t="n">
        <v>100</v>
      </c>
      <c r="Z10" t="n">
        <v>9.789999999999999</v>
      </c>
      <c r="AA10" t="n">
        <v>100</v>
      </c>
      <c r="AB10" t="n">
        <v>1782745205</v>
      </c>
    </row>
    <row r="11">
      <c r="A11" t="inlineStr">
        <is>
          <t>24060124130121</t>
        </is>
      </c>
      <c r="B11" t="inlineStr">
        <is>
          <t>FAZL NIZAM PRIYAMBODHO</t>
        </is>
      </c>
      <c r="C11" t="n">
        <v>4</v>
      </c>
      <c r="D11" t="inlineStr">
        <is>
          <t>BARU</t>
        </is>
      </c>
      <c r="E11" s="4" t="n">
        <v>88</v>
      </c>
      <c r="F11" s="3" t="n"/>
      <c r="G11" s="3">
        <f>(E11*0.8)+(H11*0.2)</f>
        <v/>
      </c>
      <c r="H11" s="3" t="n">
        <v>81.54600000000001</v>
      </c>
      <c r="I11" s="3" t="n">
        <v>85</v>
      </c>
      <c r="J11" s="3" t="n"/>
      <c r="K11" s="2">
        <f>ROUND( ((E11*10+F11*40+G11*5+H11*5+I11*20+J11*20)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  <c r="N11" t="inlineStr">
        <is>
          <t>Fazl Nizam Priyambodho</t>
        </is>
      </c>
      <c r="O11" t="n">
        <v>24060124130121</v>
      </c>
      <c r="P11" t="inlineStr">
        <is>
          <t>04fc40a2-f2a6-4d89-96fc-ee81ae6a6bec</t>
        </is>
      </c>
      <c r="S11" t="inlineStr">
        <is>
          <t>fazlnizampriyambodho@students.undip.ac.id</t>
        </is>
      </c>
      <c r="T11" t="n">
        <v>75</v>
      </c>
      <c r="U11" t="n">
        <v>72.73</v>
      </c>
      <c r="V11" t="n">
        <v>70</v>
      </c>
      <c r="W11" t="n">
        <v>90</v>
      </c>
      <c r="X11" t="n">
        <v>100</v>
      </c>
      <c r="Z11" t="inlineStr">
        <is>
          <t>-</t>
        </is>
      </c>
      <c r="AA11" t="n">
        <v>88</v>
      </c>
      <c r="AB11" t="n">
        <v>1782745205</v>
      </c>
    </row>
    <row r="12">
      <c r="A12" t="inlineStr">
        <is>
          <t>24060124140162</t>
        </is>
      </c>
      <c r="B12" t="inlineStr">
        <is>
          <t>GALVIN SHALAHUDIN MUMTAZ</t>
        </is>
      </c>
      <c r="C12" t="n">
        <v>4</v>
      </c>
      <c r="D12" t="inlineStr">
        <is>
          <t>BARU</t>
        </is>
      </c>
      <c r="E12" s="4" t="n">
        <v>87</v>
      </c>
      <c r="F12" s="3" t="n"/>
      <c r="G12" s="3">
        <f>(E12*0.8)+(H12*0.2)</f>
        <v/>
      </c>
      <c r="H12" s="3" t="n">
        <v>65.756</v>
      </c>
      <c r="I12" s="3" t="n">
        <v>86</v>
      </c>
      <c r="J12" s="3" t="n"/>
      <c r="K12" s="2">
        <f>ROUND( ((E12*10+F12*40+G12*5+H12*5+I12*20+J12*20)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  <c r="N12" t="inlineStr">
        <is>
          <t>Galvin Shalahudin Mumtaz</t>
        </is>
      </c>
      <c r="O12" t="n">
        <v>24060124140162</v>
      </c>
      <c r="P12" t="inlineStr">
        <is>
          <t>a8a2ebef-a8e1-4ac3-b818-b3131ec7676c</t>
        </is>
      </c>
      <c r="S12" t="inlineStr">
        <is>
          <t>galvin@students.undip.ac.id</t>
        </is>
      </c>
      <c r="T12" t="n">
        <v>50</v>
      </c>
      <c r="U12" t="n">
        <v>95.45</v>
      </c>
      <c r="V12" t="n">
        <v>83.33</v>
      </c>
      <c r="W12" t="inlineStr">
        <is>
          <t>-</t>
        </is>
      </c>
      <c r="X12" t="n">
        <v>100</v>
      </c>
      <c r="Z12" t="n">
        <v>7.84</v>
      </c>
      <c r="AA12" t="n">
        <v>87</v>
      </c>
      <c r="AB12" t="n">
        <v>1782745205</v>
      </c>
    </row>
    <row r="13">
      <c r="A13" t="inlineStr">
        <is>
          <t>24060124140185</t>
        </is>
      </c>
      <c r="B13" t="inlineStr">
        <is>
          <t>FARHAN MUHTARAM</t>
        </is>
      </c>
      <c r="C13" t="n">
        <v>4</v>
      </c>
      <c r="D13" t="inlineStr">
        <is>
          <t>BARU</t>
        </is>
      </c>
      <c r="E13" s="4" t="n">
        <v>94</v>
      </c>
      <c r="F13" s="3" t="n"/>
      <c r="G13" s="3">
        <f>(E13*0.8)+(H13*0.2)</f>
        <v/>
      </c>
      <c r="H13" s="3" t="n">
        <v>73.026</v>
      </c>
      <c r="I13" s="3" t="n">
        <v>86</v>
      </c>
      <c r="J13" s="3" t="n"/>
      <c r="K13" s="2">
        <f>ROUND( ((E13*10+F13*40+G13*5+H13*5+I13*20+J13*20)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  <c r="N13" t="inlineStr">
        <is>
          <t>Farhan Muhtaram</t>
        </is>
      </c>
      <c r="O13" t="n">
        <v>24060124140185</v>
      </c>
      <c r="P13" t="inlineStr">
        <is>
          <t>e6aa7bf8-45aa-4faf-b401-4bc798718a9f</t>
        </is>
      </c>
      <c r="S13" t="inlineStr">
        <is>
          <t>farhanmuhtaram@students.undip.ac.id</t>
        </is>
      </c>
      <c r="T13" t="n">
        <v>66.67</v>
      </c>
      <c r="U13" t="n">
        <v>51.52</v>
      </c>
      <c r="V13" t="n">
        <v>63.33</v>
      </c>
      <c r="W13" t="n">
        <v>88.61</v>
      </c>
      <c r="X13" t="n">
        <v>95</v>
      </c>
      <c r="Z13" t="inlineStr">
        <is>
          <t>-</t>
        </is>
      </c>
      <c r="AA13" t="n">
        <v>94</v>
      </c>
      <c r="AB13" t="n">
        <v>1782745205</v>
      </c>
    </row>
    <row r="14">
      <c r="A14" t="inlineStr">
        <is>
          <t>24060124120001</t>
        </is>
      </c>
      <c r="B14" t="inlineStr">
        <is>
          <t>RIZKY SAEFIRDAUS</t>
        </is>
      </c>
      <c r="C14" t="n">
        <v>4</v>
      </c>
      <c r="D14" t="inlineStr">
        <is>
          <t>BARU</t>
        </is>
      </c>
      <c r="E14" s="4" t="n">
        <v>98</v>
      </c>
      <c r="F14" s="3" t="n"/>
      <c r="G14" s="3">
        <f>(E14*0.8)+(H14*0.2)</f>
        <v/>
      </c>
      <c r="H14" s="3" t="n">
        <v>67.54600000000001</v>
      </c>
      <c r="I14" s="3" t="n">
        <v>84</v>
      </c>
      <c r="J14" s="3" t="n"/>
      <c r="K14" s="2">
        <f>ROUND( ((E14*10+F14*40+G14*5+H14*5+I14*20+J14*20)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  <c r="N14" t="inlineStr">
        <is>
          <t>Rizky Saefirdaus</t>
        </is>
      </c>
      <c r="O14" t="n">
        <v>24060124120001</v>
      </c>
      <c r="P14" t="inlineStr">
        <is>
          <t>025c65de-44f5-4ffb-bbf4-461e11f9468a</t>
        </is>
      </c>
      <c r="S14" t="inlineStr">
        <is>
          <t>saefirdaus@students.undip.ac.id</t>
        </is>
      </c>
      <c r="T14" t="n">
        <v>50</v>
      </c>
      <c r="U14" t="n">
        <v>72.73</v>
      </c>
      <c r="V14" t="n">
        <v>26.67</v>
      </c>
      <c r="W14" t="n">
        <v>93.33</v>
      </c>
      <c r="X14" t="n">
        <v>95</v>
      </c>
      <c r="Z14" t="n">
        <v>9.789999999999999</v>
      </c>
      <c r="AA14" t="n">
        <v>98</v>
      </c>
      <c r="AB14" t="n">
        <v>1782745205</v>
      </c>
    </row>
    <row r="15">
      <c r="A15" t="inlineStr">
        <is>
          <t>24060124120043</t>
        </is>
      </c>
      <c r="B15" t="inlineStr">
        <is>
          <t>SYIFA AENI MUDRIKAH</t>
        </is>
      </c>
      <c r="C15" t="n">
        <v>4</v>
      </c>
      <c r="D15" t="inlineStr">
        <is>
          <t>BARU</t>
        </is>
      </c>
      <c r="E15" s="4" t="n">
        <v>95</v>
      </c>
      <c r="F15" s="3" t="n"/>
      <c r="G15" s="3">
        <f>(E15*0.8)+(H15*0.2)</f>
        <v/>
      </c>
      <c r="H15" s="3" t="n">
        <v>83.848</v>
      </c>
      <c r="I15" s="3" t="n">
        <v>88</v>
      </c>
      <c r="J15" s="3" t="n"/>
      <c r="K15" s="2">
        <f>ROUND( ((E15*10+F15*40+G15*5+H15*5+I15*20+J15*20)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  <c r="N15" t="inlineStr">
        <is>
          <t>Syifa Aeni Mudrikah</t>
        </is>
      </c>
      <c r="O15" t="n">
        <v>24060124120043</v>
      </c>
      <c r="P15" t="inlineStr">
        <is>
          <t>5fc98607-6d44-4154-b85c-a80c2976ed46</t>
        </is>
      </c>
      <c r="S15" t="inlineStr">
        <is>
          <t>syifaaenimudrikah@students.undip.ac.id</t>
        </is>
      </c>
      <c r="T15" t="n">
        <v>75</v>
      </c>
      <c r="U15" t="n">
        <v>90.91</v>
      </c>
      <c r="V15" t="n">
        <v>73.33</v>
      </c>
      <c r="W15" t="n">
        <v>90</v>
      </c>
      <c r="X15" t="n">
        <v>90</v>
      </c>
      <c r="Z15" t="n">
        <v>8.970000000000001</v>
      </c>
      <c r="AA15" t="n">
        <v>95</v>
      </c>
      <c r="AB15" t="n">
        <v>1782745205</v>
      </c>
    </row>
    <row r="16">
      <c r="A16" t="inlineStr">
        <is>
          <t>24060124130071</t>
        </is>
      </c>
      <c r="B16" t="inlineStr">
        <is>
          <t>RAFI ANANDRA DHARMAWAN</t>
        </is>
      </c>
      <c r="C16" t="n">
        <v>4</v>
      </c>
      <c r="D16" t="inlineStr">
        <is>
          <t>BARU</t>
        </is>
      </c>
      <c r="E16" s="4" t="n">
        <v>98</v>
      </c>
      <c r="F16" s="3" t="n"/>
      <c r="G16" s="3">
        <f>(E16*0.8)+(H16*0.2)</f>
        <v/>
      </c>
      <c r="H16" s="3" t="n">
        <v>85.81800000000001</v>
      </c>
      <c r="I16" s="3" t="n">
        <v>88</v>
      </c>
      <c r="J16" s="3" t="n"/>
      <c r="K16" s="2">
        <f>ROUND( ((E16*10+F16*40+G16*5+H16*5+I16*20+J16*20)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  <c r="N16" t="inlineStr">
        <is>
          <t>Rafi Anandra Dharmawan</t>
        </is>
      </c>
      <c r="O16" t="n">
        <v>24060124130071</v>
      </c>
      <c r="P16" t="inlineStr">
        <is>
          <t>291e39af-c4fa-4ae9-8643-6494da5278be</t>
        </is>
      </c>
      <c r="S16" t="inlineStr">
        <is>
          <t>rafianandra@students.undip.ac.id</t>
        </is>
      </c>
      <c r="T16" t="n">
        <v>75</v>
      </c>
      <c r="U16" t="n">
        <v>92.42</v>
      </c>
      <c r="V16" t="n">
        <v>80</v>
      </c>
      <c r="W16" t="n">
        <v>96.67</v>
      </c>
      <c r="X16" t="n">
        <v>85</v>
      </c>
      <c r="Z16" t="n">
        <v>8.779999999999999</v>
      </c>
      <c r="AA16" t="n">
        <v>98</v>
      </c>
      <c r="AB16" t="n">
        <v>1782745205</v>
      </c>
    </row>
    <row r="17">
      <c r="A17" t="inlineStr">
        <is>
          <t>24060124130078</t>
        </is>
      </c>
      <c r="B17" t="inlineStr">
        <is>
          <t>RESTU SURYA (&lt; 75%)</t>
        </is>
      </c>
      <c r="C17" t="n">
        <v>4</v>
      </c>
      <c r="D17" t="inlineStr">
        <is>
          <t>BARU</t>
        </is>
      </c>
      <c r="E17" s="4" t="n"/>
      <c r="F17" s="3" t="n"/>
      <c r="G17" s="3">
        <f>(E17*0.8)+(H17*0.2)</f>
        <v/>
      </c>
      <c r="H17" s="3" t="n">
        <v>0</v>
      </c>
      <c r="I17" s="3" t="n">
        <v>73</v>
      </c>
      <c r="J17" s="2" t="n"/>
      <c r="K17" s="2">
        <f>ROUND( ((E17*10+F17*40+G17*5+H17*5+I17*20+J17*20)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</row>
    <row r="18">
      <c r="A18" t="inlineStr">
        <is>
          <t>24060124130085</t>
        </is>
      </c>
      <c r="B18" t="inlineStr">
        <is>
          <t>RAFFA PUTRA NUGROHO</t>
        </is>
      </c>
      <c r="C18" t="n">
        <v>4</v>
      </c>
      <c r="D18" t="inlineStr">
        <is>
          <t>BARU</t>
        </is>
      </c>
      <c r="E18" s="4" t="n">
        <v>93</v>
      </c>
      <c r="F18" s="3" t="n"/>
      <c r="G18" s="3">
        <f>(E18*0.8)+(H18*0.2)</f>
        <v/>
      </c>
      <c r="H18" s="3" t="n">
        <v>64.494</v>
      </c>
      <c r="I18" s="3" t="n">
        <v>81</v>
      </c>
      <c r="J18" s="3" t="n"/>
      <c r="K18" s="2">
        <f>ROUND( ((E18*10+F18*40+G18*5+H18*5+I18*20+J18*20)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  <c r="N18" t="inlineStr">
        <is>
          <t>Raffa Putra Nugroho</t>
        </is>
      </c>
      <c r="O18" t="n">
        <v>24060124130085</v>
      </c>
      <c r="P18" t="inlineStr">
        <is>
          <t>73297ac4-2e3f-4d82-80ef-2caea3944731</t>
        </is>
      </c>
      <c r="S18" t="inlineStr">
        <is>
          <t>raffaputnugr0@students.undip.ac.id</t>
        </is>
      </c>
      <c r="T18" t="inlineStr">
        <is>
          <t>-</t>
        </is>
      </c>
      <c r="U18" t="n">
        <v>86.36</v>
      </c>
      <c r="V18" t="n">
        <v>56.67</v>
      </c>
      <c r="W18" t="n">
        <v>94.44</v>
      </c>
      <c r="X18" t="n">
        <v>85</v>
      </c>
      <c r="Z18" t="inlineStr">
        <is>
          <t>-</t>
        </is>
      </c>
      <c r="AA18" t="n">
        <v>93</v>
      </c>
      <c r="AB18" t="n">
        <v>1782745205</v>
      </c>
    </row>
    <row r="19">
      <c r="A19" t="inlineStr">
        <is>
          <t>24060124130106</t>
        </is>
      </c>
      <c r="B19" t="inlineStr">
        <is>
          <t>SHOFWAN FIKRUL HUDA</t>
        </is>
      </c>
      <c r="C19" t="n">
        <v>4</v>
      </c>
      <c r="D19" t="inlineStr">
        <is>
          <t>BARU</t>
        </is>
      </c>
      <c r="E19" s="4" t="n">
        <v>89.33</v>
      </c>
      <c r="F19" s="3" t="n"/>
      <c r="G19" s="3">
        <f>(E19*0.8)+(H19*0.2)</f>
        <v/>
      </c>
      <c r="H19" s="3" t="n">
        <v>85.494</v>
      </c>
      <c r="I19" s="3" t="n">
        <v>88</v>
      </c>
      <c r="J19" s="3" t="n"/>
      <c r="K19" s="2">
        <f>ROUND( ((E19*10+F19*40+G19*5+H19*5+I19*20+J19*20)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  <c r="N19" t="inlineStr">
        <is>
          <t>Shofwan Fikrul Huda</t>
        </is>
      </c>
      <c r="O19" t="n">
        <v>24060124130106</v>
      </c>
      <c r="P19" t="inlineStr">
        <is>
          <t>691eb548-58f9-43e1-9e7b-9ac0c4c017cf</t>
        </is>
      </c>
      <c r="S19" t="inlineStr">
        <is>
          <t>shofwanfikrulhuda@students.undip.ac.id</t>
        </is>
      </c>
      <c r="T19" t="n">
        <v>75</v>
      </c>
      <c r="U19" t="n">
        <v>86.36</v>
      </c>
      <c r="V19" t="n">
        <v>76.67</v>
      </c>
      <c r="W19" t="n">
        <v>89.44</v>
      </c>
      <c r="X19" t="n">
        <v>100</v>
      </c>
      <c r="Z19" t="inlineStr">
        <is>
          <t>-</t>
        </is>
      </c>
      <c r="AA19" t="n">
        <v>89.33</v>
      </c>
      <c r="AB19" t="n">
        <v>1782745205</v>
      </c>
    </row>
    <row r="20">
      <c r="A20" t="inlineStr">
        <is>
          <t>24060124140146</t>
        </is>
      </c>
      <c r="B20" t="inlineStr">
        <is>
          <t>SHAFA AQILLA ZAHIRA</t>
        </is>
      </c>
      <c r="C20" t="n">
        <v>4</v>
      </c>
      <c r="D20" t="inlineStr">
        <is>
          <t>BARU</t>
        </is>
      </c>
      <c r="E20" s="4" t="n">
        <v>92</v>
      </c>
      <c r="F20" s="3" t="n"/>
      <c r="G20" s="3">
        <f>(E20*0.8)+(H20*0.2)</f>
        <v/>
      </c>
      <c r="H20" s="3" t="n">
        <v>70.24199999999999</v>
      </c>
      <c r="I20" s="3" t="n">
        <v>88</v>
      </c>
      <c r="J20" s="3" t="n"/>
      <c r="K20" s="2">
        <f>ROUND( ((E20*10+F20*40+G20*5+H20*5+I20*20+J20*20)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  <c r="N20" t="inlineStr">
        <is>
          <t>Shafa Aqilla Zahira</t>
        </is>
      </c>
      <c r="O20" t="n">
        <v>24060124140146</v>
      </c>
      <c r="P20" t="inlineStr">
        <is>
          <t>c78e8a5a-0831-401f-994b-384ce1559204</t>
        </is>
      </c>
      <c r="S20" t="inlineStr">
        <is>
          <t>shafaaqillazahira@students.undip.ac.id</t>
        </is>
      </c>
      <c r="T20" t="n">
        <v>50</v>
      </c>
      <c r="U20" t="n">
        <v>54.55</v>
      </c>
      <c r="V20" t="n">
        <v>63.33</v>
      </c>
      <c r="W20" t="n">
        <v>93.33</v>
      </c>
      <c r="X20" t="n">
        <v>90</v>
      </c>
      <c r="Z20" t="inlineStr">
        <is>
          <t>-</t>
        </is>
      </c>
      <c r="AA20" t="n">
        <v>92</v>
      </c>
      <c r="AB20" t="n">
        <v>1782745205</v>
      </c>
    </row>
    <row r="21">
      <c r="A21" t="inlineStr">
        <is>
          <t>24060124140155</t>
        </is>
      </c>
      <c r="B21" t="inlineStr">
        <is>
          <t>REVALINA SALWA ALIYA WICAKSONO PRABOWO</t>
        </is>
      </c>
      <c r="C21" t="n">
        <v>4</v>
      </c>
      <c r="D21" t="inlineStr">
        <is>
          <t>BARU</t>
        </is>
      </c>
      <c r="E21" s="4" t="n">
        <v>92</v>
      </c>
      <c r="F21" s="3" t="n"/>
      <c r="G21" s="3">
        <f>(E21*0.8)+(H21*0.2)</f>
        <v/>
      </c>
      <c r="H21" s="3" t="n">
        <v>68.122</v>
      </c>
      <c r="I21" s="3" t="n">
        <v>83</v>
      </c>
      <c r="J21" s="3" t="n"/>
      <c r="K21" s="2">
        <f>ROUND( ((E21*10+F21*40+G21*5+H21*5+I21*20+J21*20)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  <c r="N21" t="inlineStr">
        <is>
          <t>Revalina Salwa Aliya Wicaksono Prabowo</t>
        </is>
      </c>
      <c r="O21" t="n">
        <v>24060124140155</v>
      </c>
      <c r="P21" t="inlineStr">
        <is>
          <t>597859a9-c1eb-4ab3-9b2e-f3749dd367f7</t>
        </is>
      </c>
      <c r="S21" t="inlineStr">
        <is>
          <t>revalinasaliya@students.undip.ac.id</t>
        </is>
      </c>
      <c r="T21" t="inlineStr">
        <is>
          <t>-</t>
        </is>
      </c>
      <c r="U21" t="n">
        <v>77.27</v>
      </c>
      <c r="V21" t="n">
        <v>86.67</v>
      </c>
      <c r="W21" t="n">
        <v>86.67</v>
      </c>
      <c r="X21" t="n">
        <v>90</v>
      </c>
      <c r="Z21" t="inlineStr">
        <is>
          <t>-</t>
        </is>
      </c>
      <c r="AA21" t="n">
        <v>92</v>
      </c>
      <c r="AB21" t="n">
        <v>1782745205</v>
      </c>
    </row>
    <row r="22">
      <c r="A22" t="inlineStr">
        <is>
          <t>24060124140157</t>
        </is>
      </c>
      <c r="B22" t="inlineStr">
        <is>
          <t>REYNALDI BERTINUS HUTAGAOL</t>
        </is>
      </c>
      <c r="C22" t="n">
        <v>4</v>
      </c>
      <c r="D22" t="inlineStr">
        <is>
          <t>BARU</t>
        </is>
      </c>
      <c r="E22" s="4" t="n">
        <v>96</v>
      </c>
      <c r="F22" s="3" t="n"/>
      <c r="G22" s="3">
        <f>(E22*0.8)+(H22*0.2)</f>
        <v/>
      </c>
      <c r="H22" s="3" t="n">
        <v>83.514</v>
      </c>
      <c r="I22" s="3" t="n">
        <v>73</v>
      </c>
      <c r="J22" s="3" t="n"/>
      <c r="K22" s="2">
        <f>ROUND( ((E22*10+F22*40+G22*5+H22*5+I22*20+J22*20)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  <c r="N22" t="inlineStr">
        <is>
          <t>Reynaldi Bertinus Hutagaol</t>
        </is>
      </c>
      <c r="O22" t="n">
        <v>24060124140157</v>
      </c>
      <c r="P22" t="inlineStr">
        <is>
          <t>f92fc13b-312b-43f3-a1df-37a03703561d</t>
        </is>
      </c>
      <c r="S22" t="inlineStr">
        <is>
          <t>reynaldihutagaol@students.undip.ac.id</t>
        </is>
      </c>
      <c r="T22" t="n">
        <v>75</v>
      </c>
      <c r="U22" t="n">
        <v>90.91</v>
      </c>
      <c r="V22" t="n">
        <v>63.33</v>
      </c>
      <c r="W22" t="n">
        <v>93.33</v>
      </c>
      <c r="X22" t="n">
        <v>95</v>
      </c>
      <c r="Z22" t="n">
        <v>9.48</v>
      </c>
      <c r="AA22" t="n">
        <v>96</v>
      </c>
      <c r="AB22" t="n">
        <v>1782745205</v>
      </c>
    </row>
    <row r="23">
      <c r="A23" t="inlineStr">
        <is>
          <t>24060124140178</t>
        </is>
      </c>
      <c r="B23" t="inlineStr">
        <is>
          <t>RAIHAN LAZUARDI</t>
        </is>
      </c>
      <c r="C23" t="n">
        <v>4</v>
      </c>
      <c r="D23" t="inlineStr">
        <is>
          <t>BARU</t>
        </is>
      </c>
      <c r="E23" s="4" t="n">
        <v>96</v>
      </c>
      <c r="F23" s="3" t="n"/>
      <c r="G23" s="3">
        <f>(E23*0.8)+(H23*0.2)</f>
        <v/>
      </c>
      <c r="H23" s="3" t="n">
        <v>83.27200000000001</v>
      </c>
      <c r="I23" s="3" t="n">
        <v>77</v>
      </c>
      <c r="J23" s="3" t="n"/>
      <c r="K23" s="2">
        <f>ROUND( ((E23*10+F23*40+G23*5+H23*5+I23*20+J23*20)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  <c r="N23" t="inlineStr">
        <is>
          <t>Raihan Lazuardi</t>
        </is>
      </c>
      <c r="O23" t="n">
        <v>24060124140178</v>
      </c>
      <c r="P23" t="inlineStr">
        <is>
          <t>fe6d6ef2-571f-4010-b827-9a40afea4300</t>
        </is>
      </c>
      <c r="S23" t="inlineStr">
        <is>
          <t>raihanlazuardi@students.undip.ac.id</t>
        </is>
      </c>
      <c r="T23" t="n">
        <v>58.33</v>
      </c>
      <c r="U23" t="n">
        <v>86.36</v>
      </c>
      <c r="V23" t="n">
        <v>86.67</v>
      </c>
      <c r="W23" t="n">
        <v>100</v>
      </c>
      <c r="X23" t="n">
        <v>85</v>
      </c>
      <c r="Z23" t="inlineStr">
        <is>
          <t>-</t>
        </is>
      </c>
      <c r="AA23" t="n">
        <v>96</v>
      </c>
      <c r="AB23" t="n">
        <v>1782745205</v>
      </c>
    </row>
    <row r="24">
      <c r="A24" t="inlineStr">
        <is>
          <t>24060124120017</t>
        </is>
      </c>
      <c r="B24" t="inlineStr">
        <is>
          <t>LINTANG AULIA NURAINI</t>
        </is>
      </c>
      <c r="C24" t="n">
        <v>4</v>
      </c>
      <c r="D24" t="inlineStr">
        <is>
          <t>BARU</t>
        </is>
      </c>
      <c r="E24" s="4" t="n">
        <v>97</v>
      </c>
      <c r="F24" s="3" t="n"/>
      <c r="G24" s="3">
        <f>(E24*0.8)+(H24*0.2)</f>
        <v/>
      </c>
      <c r="H24" s="3" t="n">
        <v>86.42400000000001</v>
      </c>
      <c r="I24" s="3" t="n">
        <v>85</v>
      </c>
      <c r="J24" s="3" t="n"/>
      <c r="K24" s="2">
        <f>ROUND( ((E24*10+F24*40+G24*5+H24*5+I24*20+J24*20)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  <c r="N24" t="inlineStr">
        <is>
          <t>Lintang Aulia Nuraini</t>
        </is>
      </c>
      <c r="O24" t="n">
        <v>24060124120017</v>
      </c>
      <c r="P24" t="inlineStr">
        <is>
          <t>82ca6965-edbf-4d20-9bbc-ca193d79dd75</t>
        </is>
      </c>
      <c r="S24" t="inlineStr">
        <is>
          <t>lintangaulianuraini@students.undip.ac.id</t>
        </is>
      </c>
      <c r="T24" t="n">
        <v>66.67</v>
      </c>
      <c r="U24" t="n">
        <v>95.45</v>
      </c>
      <c r="V24" t="n">
        <v>93.33</v>
      </c>
      <c r="W24" t="n">
        <v>91.67</v>
      </c>
      <c r="X24" t="n">
        <v>85</v>
      </c>
      <c r="Z24" t="n">
        <v>8.66</v>
      </c>
      <c r="AA24" t="n">
        <v>97</v>
      </c>
      <c r="AB24" t="n">
        <v>1782745205</v>
      </c>
    </row>
    <row r="25">
      <c r="A25" t="inlineStr">
        <is>
          <t>24060124130077</t>
        </is>
      </c>
      <c r="B25" t="inlineStr">
        <is>
          <t>LAURENSIUS BRIAN PRAYOGA</t>
        </is>
      </c>
      <c r="C25" t="n">
        <v>4</v>
      </c>
      <c r="D25" t="inlineStr">
        <is>
          <t>BARU</t>
        </is>
      </c>
      <c r="E25" s="4" t="n">
        <v>84</v>
      </c>
      <c r="F25" s="3" t="n"/>
      <c r="G25" s="3">
        <f>(E25*0.8)+(H25*0.2)</f>
        <v/>
      </c>
      <c r="H25" s="3" t="n">
        <v>80.42600000000002</v>
      </c>
      <c r="I25" s="3" t="n">
        <v>84</v>
      </c>
      <c r="J25" s="3" t="n"/>
      <c r="K25" s="2">
        <f>ROUND( ((E25*10+F25*40+G25*5+H25*5+I25*20+J25*20)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  <c r="N25" t="inlineStr">
        <is>
          <t>Laurensius Brian Prayoga</t>
        </is>
      </c>
      <c r="O25" t="n">
        <v>24060124130077</v>
      </c>
      <c r="P25" t="inlineStr">
        <is>
          <t>61e63fbc-e9d2-4c66-9c5b-c85cbefabf1a</t>
        </is>
      </c>
      <c r="S25" t="inlineStr">
        <is>
          <t>lbrianprayoga18@students.undip.ac.id</t>
        </is>
      </c>
      <c r="T25" t="n">
        <v>75</v>
      </c>
      <c r="U25" t="n">
        <v>78.79000000000001</v>
      </c>
      <c r="V25" t="n">
        <v>66.67</v>
      </c>
      <c r="W25" t="n">
        <v>96.67</v>
      </c>
      <c r="X25" t="n">
        <v>85</v>
      </c>
      <c r="Z25" t="n">
        <v>8.380000000000001</v>
      </c>
      <c r="AA25" t="n">
        <v>84</v>
      </c>
      <c r="AB25" t="n">
        <v>1782745205</v>
      </c>
    </row>
    <row r="26">
      <c r="A26" t="inlineStr">
        <is>
          <t>24060124130094</t>
        </is>
      </c>
      <c r="B26" t="inlineStr">
        <is>
          <t>MOSES MORELL YOSEFAN</t>
        </is>
      </c>
      <c r="C26" t="n">
        <v>4</v>
      </c>
      <c r="D26" t="inlineStr">
        <is>
          <t>BARU</t>
        </is>
      </c>
      <c r="E26" s="4" t="n">
        <v>94</v>
      </c>
      <c r="F26" s="3" t="n"/>
      <c r="G26" s="3">
        <f>(E26*0.8)+(H26*0.2)</f>
        <v/>
      </c>
      <c r="H26" s="3" t="n">
        <v>82.75800000000001</v>
      </c>
      <c r="I26" s="3" t="n">
        <v>85</v>
      </c>
      <c r="J26" s="3" t="n"/>
      <c r="K26" s="2">
        <f>ROUND( ((E26*10+F26*40+G26*5+H26*5+I26*20+J26*20)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  <c r="N26" t="inlineStr">
        <is>
          <t>Moses Morell Yosefan</t>
        </is>
      </c>
      <c r="O26" t="n">
        <v>24060124130094</v>
      </c>
      <c r="P26" t="inlineStr">
        <is>
          <t>da3173cf-2b20-4de6-8e38-7d6981dd1b3a</t>
        </is>
      </c>
      <c r="S26" t="inlineStr">
        <is>
          <t>mosesmorell@students.undip.ac.id</t>
        </is>
      </c>
      <c r="T26" t="n">
        <v>66.67</v>
      </c>
      <c r="U26" t="n">
        <v>95.45</v>
      </c>
      <c r="V26" t="n">
        <v>60</v>
      </c>
      <c r="W26" t="n">
        <v>96.67</v>
      </c>
      <c r="X26" t="n">
        <v>95</v>
      </c>
      <c r="Z26" t="inlineStr">
        <is>
          <t>-</t>
        </is>
      </c>
      <c r="AA26" t="n">
        <v>94</v>
      </c>
      <c r="AB26" t="n">
        <v>1782745205</v>
      </c>
    </row>
    <row r="27">
      <c r="A27" t="inlineStr">
        <is>
          <t>24060124140187</t>
        </is>
      </c>
      <c r="B27" t="inlineStr">
        <is>
          <t>MICHAEL STEVANO</t>
        </is>
      </c>
      <c r="C27" t="n">
        <v>4</v>
      </c>
      <c r="D27" t="inlineStr">
        <is>
          <t>BARU</t>
        </is>
      </c>
      <c r="E27" s="4" t="n">
        <v>87.67</v>
      </c>
      <c r="F27" s="3" t="n"/>
      <c r="G27" s="3">
        <f>(E27*0.8)+(H27*0.2)</f>
        <v/>
      </c>
      <c r="H27" s="3" t="n">
        <v>53.09</v>
      </c>
      <c r="I27" s="3" t="n">
        <v>68</v>
      </c>
      <c r="J27" s="3" t="n"/>
      <c r="K27" s="2">
        <f>ROUND( ((E27*10+F27*40+G27*5+H27*5+I27*20+J27*20)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  <c r="N27" t="inlineStr">
        <is>
          <t>Michael Stevano</t>
        </is>
      </c>
      <c r="O27" t="n">
        <v>24060124140187</v>
      </c>
      <c r="P27" t="inlineStr">
        <is>
          <t>3cf9233b-1519-40f7-aa76-466203df786f</t>
        </is>
      </c>
      <c r="S27" t="inlineStr">
        <is>
          <t>michaelstevano@students.undip.ac.id</t>
        </is>
      </c>
      <c r="T27" t="n">
        <v>66.67</v>
      </c>
      <c r="U27" t="n">
        <v>95.45</v>
      </c>
      <c r="V27" t="n">
        <v>33.33</v>
      </c>
      <c r="W27" t="inlineStr">
        <is>
          <t>-</t>
        </is>
      </c>
      <c r="X27" t="n">
        <v>70</v>
      </c>
      <c r="Z27" t="inlineStr">
        <is>
          <t>-</t>
        </is>
      </c>
      <c r="AA27" t="n">
        <v>87.67</v>
      </c>
      <c r="AB27" t="n">
        <v>1782745205</v>
      </c>
    </row>
    <row r="28">
      <c r="A28" t="inlineStr">
        <is>
          <t>24060124140193</t>
        </is>
      </c>
      <c r="B28" t="inlineStr">
        <is>
          <t>MOHAMMAD BANYUPUTRA EKA PRAMUDHITA</t>
        </is>
      </c>
      <c r="C28" t="n">
        <v>4</v>
      </c>
      <c r="D28" t="inlineStr">
        <is>
          <t>BARU</t>
        </is>
      </c>
      <c r="E28" s="4" t="n">
        <v>93</v>
      </c>
      <c r="F28" s="3" t="n"/>
      <c r="G28" s="3">
        <f>(E28*0.8)+(H28*0.2)</f>
        <v/>
      </c>
      <c r="H28" s="3" t="n">
        <v>77.75800000000001</v>
      </c>
      <c r="I28" s="3" t="n">
        <v>73</v>
      </c>
      <c r="J28" s="3" t="n"/>
      <c r="K28" s="2">
        <f>ROUND( ((E28*10+F28*40+G28*5+H28*5+I28*20+J28*20)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  <c r="N28" t="inlineStr">
        <is>
          <t>Mohammad Banyuputra Eka Pramudhita</t>
        </is>
      </c>
      <c r="O28" t="n">
        <v>24060124140193</v>
      </c>
      <c r="P28" t="inlineStr">
        <is>
          <t>5cba7c74-8059-4161-a8e7-3bdf75cb641d</t>
        </is>
      </c>
      <c r="S28" t="inlineStr">
        <is>
          <t>banyuputraekap@students.undip.ac.id</t>
        </is>
      </c>
      <c r="T28" t="n">
        <v>75</v>
      </c>
      <c r="U28" t="n">
        <v>78.79000000000001</v>
      </c>
      <c r="V28" t="n">
        <v>50</v>
      </c>
      <c r="W28" t="n">
        <v>90</v>
      </c>
      <c r="X28" t="n">
        <v>95</v>
      </c>
      <c r="Z28" t="n">
        <v>5.82</v>
      </c>
      <c r="AA28" t="n">
        <v>93</v>
      </c>
      <c r="AB28" t="n">
        <v>1782745205</v>
      </c>
    </row>
    <row r="29">
      <c r="A29" t="inlineStr">
        <is>
          <t>24060124120044</t>
        </is>
      </c>
      <c r="B29" t="inlineStr">
        <is>
          <t>JORDAN TENGGARA</t>
        </is>
      </c>
      <c r="C29" t="n">
        <v>4</v>
      </c>
      <c r="D29" t="inlineStr">
        <is>
          <t>BARU</t>
        </is>
      </c>
      <c r="E29" s="4" t="n">
        <v>100</v>
      </c>
      <c r="F29" s="3" t="n"/>
      <c r="G29" s="3">
        <f>(E29*0.8)+(H29*0.2)</f>
        <v/>
      </c>
      <c r="H29" s="3" t="n">
        <v>79.15000000000001</v>
      </c>
      <c r="I29" s="3" t="n">
        <v>73</v>
      </c>
      <c r="J29" s="3" t="n"/>
      <c r="K29" s="2">
        <f>ROUND( ((E29*10+F29*40+G29*5+H29*5+I29*20+J29*20)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  <c r="N29" t="inlineStr">
        <is>
          <t>Jordan Tenggara</t>
        </is>
      </c>
      <c r="O29" t="n">
        <v>24060124120044</v>
      </c>
      <c r="P29" t="inlineStr">
        <is>
          <t>e6b246f8-b6c4-4e85-bbbb-66b8c5f89c74</t>
        </is>
      </c>
      <c r="S29" t="inlineStr">
        <is>
          <t>jordantenggara@students.undip.ac.id</t>
        </is>
      </c>
      <c r="T29" t="n">
        <v>66.67</v>
      </c>
      <c r="U29" t="n">
        <v>92.42</v>
      </c>
      <c r="V29" t="n">
        <v>63.33</v>
      </c>
      <c r="W29" t="n">
        <v>93.33</v>
      </c>
      <c r="X29" t="n">
        <v>80</v>
      </c>
      <c r="Z29" t="n">
        <v>9.48</v>
      </c>
      <c r="AA29" t="n">
        <v>100</v>
      </c>
      <c r="AB29" t="n">
        <v>1782745205</v>
      </c>
    </row>
    <row r="30">
      <c r="A30" t="inlineStr">
        <is>
          <t>24060124130081</t>
        </is>
      </c>
      <c r="B30" t="inlineStr">
        <is>
          <t>HANA NAFI'ATUL HAQ</t>
        </is>
      </c>
      <c r="C30" t="n">
        <v>4</v>
      </c>
      <c r="D30" t="inlineStr">
        <is>
          <t>BARU</t>
        </is>
      </c>
      <c r="E30" s="4" t="n">
        <v>96</v>
      </c>
      <c r="F30" s="3" t="n"/>
      <c r="G30" s="3">
        <f>(E30*0.8)+(H30*0.2)</f>
        <v/>
      </c>
      <c r="H30" s="3" t="n">
        <v>85.57599999999999</v>
      </c>
      <c r="I30" s="3" t="n">
        <v>78</v>
      </c>
      <c r="J30" s="3" t="n"/>
      <c r="K30" s="2">
        <f>ROUND( ((E30*10+F30*40+G30*5+H30*5+I30*20+J30*20)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  <c r="N30" t="inlineStr">
        <is>
          <t>Hana Nafi'atul Haq</t>
        </is>
      </c>
      <c r="O30" t="n">
        <v>24060124130081</v>
      </c>
      <c r="P30" t="inlineStr">
        <is>
          <t>9f2605e9-8801-43d5-8dd2-3da4b05da32d</t>
        </is>
      </c>
      <c r="S30" t="inlineStr">
        <is>
          <t>hananafi@students.undip.ac.id</t>
        </is>
      </c>
      <c r="T30" t="n">
        <v>66.67</v>
      </c>
      <c r="U30" t="n">
        <v>87.88</v>
      </c>
      <c r="V30" t="n">
        <v>80</v>
      </c>
      <c r="W30" t="n">
        <v>93.33</v>
      </c>
      <c r="X30" t="n">
        <v>100</v>
      </c>
      <c r="Z30" t="n">
        <v>9.380000000000001</v>
      </c>
      <c r="AA30" t="n">
        <v>96</v>
      </c>
      <c r="AB30" t="n">
        <v>1782745205</v>
      </c>
    </row>
    <row r="31">
      <c r="A31" t="inlineStr">
        <is>
          <t>24060124140128</t>
        </is>
      </c>
      <c r="B31" t="inlineStr">
        <is>
          <t>IDA BAGUS NGURAH YUDISTIRA KEMENUH</t>
        </is>
      </c>
      <c r="C31" t="n">
        <v>4</v>
      </c>
      <c r="D31" t="inlineStr">
        <is>
          <t>BARU</t>
        </is>
      </c>
      <c r="E31" s="4" t="n">
        <v>89</v>
      </c>
      <c r="F31" s="3" t="n"/>
      <c r="G31" s="3">
        <f>(E31*0.8)+(H31*0.2)</f>
        <v/>
      </c>
      <c r="H31" s="3" t="n">
        <v>85.334</v>
      </c>
      <c r="I31" s="3" t="n">
        <v>84</v>
      </c>
      <c r="J31" s="3" t="n"/>
      <c r="K31" s="2">
        <f>ROUND( ((E31*10+F31*40+G31*5+H31*5+I31*20+J31*20)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  <c r="N31" t="inlineStr">
        <is>
          <t>Ida Bagus Ngurah Yudistira Kemenuh</t>
        </is>
      </c>
      <c r="O31" t="n">
        <v>24060124140128</v>
      </c>
      <c r="P31" t="inlineStr">
        <is>
          <t>5fba966f-06a0-4636-b644-bcffd705eb35</t>
        </is>
      </c>
      <c r="S31" t="inlineStr">
        <is>
          <t>yudist@students.undip.ac.id</t>
        </is>
      </c>
      <c r="T31" t="n">
        <v>66.67</v>
      </c>
      <c r="U31" t="n">
        <v>83.33</v>
      </c>
      <c r="V31" t="n">
        <v>90</v>
      </c>
      <c r="W31" t="n">
        <v>86.67</v>
      </c>
      <c r="X31" t="n">
        <v>100</v>
      </c>
      <c r="Z31" t="inlineStr">
        <is>
          <t>-</t>
        </is>
      </c>
      <c r="AA31" t="n">
        <v>89</v>
      </c>
      <c r="AB31" t="n">
        <v>1782745205</v>
      </c>
    </row>
    <row r="32">
      <c r="A32" t="inlineStr">
        <is>
          <t>24060124140153</t>
        </is>
      </c>
      <c r="B32" t="inlineStr">
        <is>
          <t>IZA YUNUS ANDHIKA</t>
        </is>
      </c>
      <c r="C32" t="n">
        <v>4</v>
      </c>
      <c r="D32" t="inlineStr">
        <is>
          <t>BARU</t>
        </is>
      </c>
      <c r="E32" s="4" t="n">
        <v>92</v>
      </c>
      <c r="F32" s="3" t="n"/>
      <c r="G32" s="3">
        <f>(E32*0.8)+(H32*0.2)</f>
        <v/>
      </c>
      <c r="H32" s="3" t="n">
        <v>88.09200000000001</v>
      </c>
      <c r="I32" s="3" t="n">
        <v>84</v>
      </c>
      <c r="J32" s="3" t="n"/>
      <c r="K32" s="2">
        <f>ROUND( ((E32*10+F32*40+G32*5+H32*5+I32*20+J32*20)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  <c r="N32" t="inlineStr">
        <is>
          <t>Iza Yunus Andhika</t>
        </is>
      </c>
      <c r="O32" t="n">
        <v>24060124140153</v>
      </c>
      <c r="P32" t="inlineStr">
        <is>
          <t>80f9312f-8258-49cb-9c59-297ebfed2ebc</t>
        </is>
      </c>
      <c r="S32" t="inlineStr">
        <is>
          <t>zandhika13@students.undip.ac.id</t>
        </is>
      </c>
      <c r="T32" t="n">
        <v>66.67</v>
      </c>
      <c r="U32" t="n">
        <v>95.45</v>
      </c>
      <c r="V32" t="n">
        <v>86.67</v>
      </c>
      <c r="W32" t="n">
        <v>96.67</v>
      </c>
      <c r="X32" t="n">
        <v>95</v>
      </c>
      <c r="Z32" t="inlineStr">
        <is>
          <t>-</t>
        </is>
      </c>
      <c r="AA32" t="n">
        <v>92</v>
      </c>
      <c r="AB32" t="n">
        <v>1782745205</v>
      </c>
    </row>
    <row r="33">
      <c r="A33" t="inlineStr">
        <is>
          <t>24060124120027</t>
        </is>
      </c>
      <c r="B33" t="inlineStr">
        <is>
          <t>MUHAMMAD NAUVAL FADLI</t>
        </is>
      </c>
      <c r="C33" t="n">
        <v>4</v>
      </c>
      <c r="D33" t="inlineStr">
        <is>
          <t>BARU</t>
        </is>
      </c>
      <c r="E33" s="4" t="n">
        <v>96</v>
      </c>
      <c r="F33" s="3" t="n"/>
      <c r="G33" s="3">
        <f>(E33*0.8)+(H33*0.2)</f>
        <v/>
      </c>
      <c r="H33" s="3" t="n">
        <v>85.12</v>
      </c>
      <c r="I33" s="3" t="n">
        <v>86</v>
      </c>
      <c r="J33" s="3" t="n"/>
      <c r="K33" s="2">
        <f>ROUND( ((E33*10+F33*40+G33*5+H33*5+I33*20+J33*20)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  <c r="N33" t="inlineStr">
        <is>
          <t>Muhammad Nauval Fadli</t>
        </is>
      </c>
      <c r="O33" t="n">
        <v>24060124120027</v>
      </c>
      <c r="P33" t="inlineStr">
        <is>
          <t>2e0407a8-5f1f-4b94-8112-a5ceb6906f5d</t>
        </is>
      </c>
      <c r="S33" t="inlineStr">
        <is>
          <t>val145@students.undip.ac.id</t>
        </is>
      </c>
      <c r="T33" t="n">
        <v>58.33</v>
      </c>
      <c r="U33" t="n">
        <v>77.27</v>
      </c>
      <c r="V33" t="n">
        <v>90</v>
      </c>
      <c r="W33" t="n">
        <v>100</v>
      </c>
      <c r="X33" t="n">
        <v>100</v>
      </c>
      <c r="Z33" t="inlineStr">
        <is>
          <t>-</t>
        </is>
      </c>
      <c r="AA33" t="n">
        <v>96</v>
      </c>
      <c r="AB33" t="n">
        <v>1782745205</v>
      </c>
    </row>
    <row r="34">
      <c r="A34" t="inlineStr">
        <is>
          <t>24060124140140</t>
        </is>
      </c>
      <c r="B34" t="inlineStr">
        <is>
          <t>MUHAMMAD IBRAHIM ALGHIFARI</t>
        </is>
      </c>
      <c r="C34" t="n">
        <v>4</v>
      </c>
      <c r="D34" t="inlineStr">
        <is>
          <t>BARU</t>
        </is>
      </c>
      <c r="E34" s="4" t="n">
        <v>86</v>
      </c>
      <c r="F34" s="3" t="n"/>
      <c r="G34" s="3">
        <f>(E34*0.8)+(H34*0.2)</f>
        <v/>
      </c>
      <c r="H34" s="3" t="n">
        <v>81.848</v>
      </c>
      <c r="I34" s="3" t="n">
        <v>81</v>
      </c>
      <c r="J34" s="3" t="n"/>
      <c r="K34" s="2">
        <f>ROUND( ((E34*10+F34*40+G34*5+H34*5+I34*20+J34*20)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  <c r="N34" t="inlineStr">
        <is>
          <t>Muhammad Ibrahim Alghifari</t>
        </is>
      </c>
      <c r="O34" t="n">
        <v>24060124140140</v>
      </c>
      <c r="P34" t="inlineStr">
        <is>
          <t>58da7198-1741-437e-be28-dd32b9b77136</t>
        </is>
      </c>
      <c r="S34" t="inlineStr">
        <is>
          <t>ibrahimalghifari@students.undip.ac.id</t>
        </is>
      </c>
      <c r="T34" t="n">
        <v>75</v>
      </c>
      <c r="U34" t="n">
        <v>90.91</v>
      </c>
      <c r="V34" t="n">
        <v>70</v>
      </c>
      <c r="W34" t="n">
        <v>83.33</v>
      </c>
      <c r="X34" t="n">
        <v>90</v>
      </c>
      <c r="Z34" t="n">
        <v>8.69</v>
      </c>
      <c r="AA34" t="n">
        <v>86</v>
      </c>
      <c r="AB34" t="n">
        <v>1782745205</v>
      </c>
    </row>
    <row r="35">
      <c r="A35" t="inlineStr">
        <is>
          <t>24060124140141</t>
        </is>
      </c>
      <c r="B35" t="inlineStr">
        <is>
          <t>MUCHAMMAD RAJIB TAFRICHAN</t>
        </is>
      </c>
      <c r="C35" t="n">
        <v>4</v>
      </c>
      <c r="D35" t="inlineStr">
        <is>
          <t>BARU</t>
        </is>
      </c>
      <c r="E35" s="4" t="n">
        <v>69</v>
      </c>
      <c r="F35" s="3" t="n"/>
      <c r="G35" s="3">
        <f>(E35*0.8)+(H35*0.2)</f>
        <v/>
      </c>
      <c r="H35" s="3" t="n">
        <v>75.15000000000001</v>
      </c>
      <c r="I35" s="3" t="n">
        <v>81</v>
      </c>
      <c r="J35" s="3" t="n"/>
      <c r="K35" s="2">
        <f>ROUND( ((E35*10+F35*40+G35*5+H35*5+I35*20+J35*20)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  <c r="N35" t="inlineStr">
        <is>
          <t>Muchammad Rajib Tafrichan</t>
        </is>
      </c>
      <c r="O35" t="n">
        <v>24060124140141</v>
      </c>
      <c r="P35" t="inlineStr">
        <is>
          <t>9a4f396d-30bf-431c-9081-8ee443bfcd9b</t>
        </is>
      </c>
      <c r="S35" t="inlineStr">
        <is>
          <t>mrajibtafrichan@students.undip.ac.id</t>
        </is>
      </c>
      <c r="T35" t="n">
        <v>58.33</v>
      </c>
      <c r="U35" t="n">
        <v>84.09</v>
      </c>
      <c r="V35" t="n">
        <v>63.33</v>
      </c>
      <c r="W35" t="n">
        <v>80</v>
      </c>
      <c r="X35" t="n">
        <v>90</v>
      </c>
      <c r="Z35" t="inlineStr">
        <is>
          <t>-</t>
        </is>
      </c>
      <c r="AA35" t="n">
        <v>69</v>
      </c>
      <c r="AB35" t="n">
        <v>1782745205</v>
      </c>
    </row>
    <row r="36">
      <c r="A36" t="inlineStr">
        <is>
          <t>24060124120038</t>
        </is>
      </c>
      <c r="B36" t="inlineStr">
        <is>
          <t>ALYSSA SHANE KURNIAWAN</t>
        </is>
      </c>
      <c r="C36" t="n">
        <v>4</v>
      </c>
      <c r="D36" t="inlineStr">
        <is>
          <t>BARU</t>
        </is>
      </c>
      <c r="E36" s="4" t="n">
        <v>99</v>
      </c>
      <c r="F36" s="3" t="n"/>
      <c r="G36" s="3">
        <f>(E36*0.8)+(H36*0.2)</f>
        <v/>
      </c>
      <c r="H36" s="3" t="n">
        <v>92.27200000000001</v>
      </c>
      <c r="I36" s="3" t="n">
        <v>83</v>
      </c>
      <c r="J36" s="3" t="n"/>
      <c r="K36" s="2">
        <f>ROUND( ((E36*10+F36*40+G36*5+H36*5+I36*20+J36*20)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  <c r="N36" t="inlineStr">
        <is>
          <t>Alyssa Shane Kurniawan</t>
        </is>
      </c>
      <c r="O36" t="n">
        <v>24060124120038</v>
      </c>
      <c r="P36" t="inlineStr">
        <is>
          <t>c2c3d44a-c7d2-4dc6-af91-ef49b01c0c0f</t>
        </is>
      </c>
      <c r="S36" t="inlineStr">
        <is>
          <t>alyssashane@students.undip.ac.id</t>
        </is>
      </c>
      <c r="T36" t="n">
        <v>83.33</v>
      </c>
      <c r="U36" t="n">
        <v>86.36</v>
      </c>
      <c r="V36" t="n">
        <v>96.67</v>
      </c>
      <c r="W36" t="n">
        <v>100</v>
      </c>
      <c r="X36" t="n">
        <v>95</v>
      </c>
      <c r="Z36" t="inlineStr">
        <is>
          <t>-</t>
        </is>
      </c>
      <c r="AA36" t="n">
        <v>99</v>
      </c>
      <c r="AB36" t="n">
        <v>1782745205</v>
      </c>
    </row>
    <row r="37">
      <c r="A37" t="inlineStr">
        <is>
          <t>24060124140152</t>
        </is>
      </c>
      <c r="B37" t="inlineStr">
        <is>
          <t>ADHYAKSA MARGANDATUA BANJAR NAHOR</t>
        </is>
      </c>
      <c r="C37" t="n">
        <v>4</v>
      </c>
      <c r="D37" t="inlineStr">
        <is>
          <t>BARU</t>
        </is>
      </c>
      <c r="E37" s="4" t="n">
        <v>87.33</v>
      </c>
      <c r="F37" s="3" t="n"/>
      <c r="G37" s="3">
        <f>(E37*0.8)+(H37*0.2)</f>
        <v/>
      </c>
      <c r="H37" s="3" t="n">
        <v>81.09200000000001</v>
      </c>
      <c r="I37" s="3" t="n">
        <v>77</v>
      </c>
      <c r="J37" s="3" t="n"/>
      <c r="K37" s="2">
        <f>ROUND( ((E37*10+F37*40+G37*5+H37*5+I37*20+J37*20)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  <c r="N37" t="inlineStr">
        <is>
          <t>Adhyaksa Margandatua Banjar Nahor</t>
        </is>
      </c>
      <c r="O37" t="n">
        <v>24060124140152</v>
      </c>
      <c r="P37" t="inlineStr">
        <is>
          <t>f70e11a9-b5fb-4048-b4f1-b4bd22d01332</t>
        </is>
      </c>
      <c r="S37" t="inlineStr">
        <is>
          <t>mbnadhyaksa@students.undip.ac.id</t>
        </is>
      </c>
      <c r="T37" t="n">
        <v>58.33</v>
      </c>
      <c r="U37" t="n">
        <v>78.79000000000001</v>
      </c>
      <c r="V37" t="n">
        <v>96.67</v>
      </c>
      <c r="W37" t="n">
        <v>81.67</v>
      </c>
      <c r="X37" t="n">
        <v>90</v>
      </c>
      <c r="Z37" t="n">
        <v>9.24</v>
      </c>
      <c r="AA37" t="n">
        <v>87.33</v>
      </c>
      <c r="AB37" t="n">
        <v>1782745205</v>
      </c>
    </row>
    <row r="38">
      <c r="A38" t="inlineStr">
        <is>
          <t>24060124140179</t>
        </is>
      </c>
      <c r="B38" t="inlineStr">
        <is>
          <t>ADAM MULYA RASYID</t>
        </is>
      </c>
      <c r="C38" t="n">
        <v>4</v>
      </c>
      <c r="D38" t="inlineStr">
        <is>
          <t>BARU</t>
        </is>
      </c>
      <c r="E38" s="4" t="n">
        <v>95</v>
      </c>
      <c r="F38" s="3" t="n"/>
      <c r="G38" s="3">
        <f>(E38*0.8)+(H38*0.2)</f>
        <v/>
      </c>
      <c r="H38" s="3" t="n">
        <v>94.122</v>
      </c>
      <c r="I38" s="3" t="n">
        <v>81</v>
      </c>
      <c r="J38" s="3" t="n"/>
      <c r="K38" s="2">
        <f>ROUND( ((E38*10+F38*40+G38*5+H38*5+I38*20+J38*20)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  <c r="N38" t="inlineStr">
        <is>
          <t>Adam Mulya Rasyid</t>
        </is>
      </c>
      <c r="O38" t="n">
        <v>24060124140179</v>
      </c>
      <c r="P38" t="inlineStr">
        <is>
          <t>167cf67b-bce1-472d-b0d1-a2d0b41d72b0</t>
        </is>
      </c>
      <c r="S38" t="inlineStr">
        <is>
          <t>adamrasyid@students.undip.ac.id</t>
        </is>
      </c>
      <c r="T38" t="n">
        <v>83.33</v>
      </c>
      <c r="U38" t="n">
        <v>93.94</v>
      </c>
      <c r="V38" t="n">
        <v>96.67</v>
      </c>
      <c r="W38" t="n">
        <v>96.67</v>
      </c>
      <c r="X38" t="n">
        <v>100</v>
      </c>
      <c r="Z38" t="n">
        <v>0.21</v>
      </c>
      <c r="AA38" t="n">
        <v>95</v>
      </c>
      <c r="AB38" t="n">
        <v>1782745205</v>
      </c>
    </row>
    <row r="39">
      <c r="A39" t="inlineStr">
        <is>
          <t>24060124120041</t>
        </is>
      </c>
      <c r="B39" t="inlineStr">
        <is>
          <t>NAWAAL HANIF MUMTAZ ARRIYE</t>
        </is>
      </c>
      <c r="C39" t="n">
        <v>4</v>
      </c>
      <c r="D39" t="inlineStr">
        <is>
          <t>BARU</t>
        </is>
      </c>
      <c r="E39" s="4" t="n">
        <v>94.33</v>
      </c>
      <c r="F39" s="3" t="n"/>
      <c r="G39" s="3">
        <f>(E39*0.8)+(H39*0.2)</f>
        <v/>
      </c>
      <c r="H39" s="3" t="n">
        <v>82.33199999999999</v>
      </c>
      <c r="I39" s="3" t="n">
        <v>85</v>
      </c>
      <c r="J39" s="3" t="n"/>
      <c r="K39" s="2">
        <f>ROUND( ((E39*10+F39*40+G39*5+H39*5+I39*20+J39*20)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  <c r="N39" t="inlineStr">
        <is>
          <t>Nawaal Hanif Mumtaz Arriye</t>
        </is>
      </c>
      <c r="O39" t="n">
        <v>24060124120041</v>
      </c>
      <c r="P39" t="inlineStr">
        <is>
          <t>f47148a3-6267-4f7a-a384-120d434a70ec</t>
        </is>
      </c>
      <c r="S39" t="inlineStr">
        <is>
          <t>nawaal123@students.undip.ac.id</t>
        </is>
      </c>
      <c r="T39" t="n">
        <v>83.33</v>
      </c>
      <c r="U39" t="n">
        <v>83.33</v>
      </c>
      <c r="V39" t="n">
        <v>56.67</v>
      </c>
      <c r="W39" t="n">
        <v>93.33</v>
      </c>
      <c r="X39" t="n">
        <v>95</v>
      </c>
      <c r="Z39" t="inlineStr">
        <is>
          <t>-</t>
        </is>
      </c>
      <c r="AA39" t="n">
        <v>94.33</v>
      </c>
      <c r="AB39" t="n">
        <v>1782745205</v>
      </c>
    </row>
    <row r="40">
      <c r="A40" t="inlineStr">
        <is>
          <t>24060124120050</t>
        </is>
      </c>
      <c r="B40" t="inlineStr">
        <is>
          <t>OLIVIA OKTAVIANI</t>
        </is>
      </c>
      <c r="C40" t="n">
        <v>4</v>
      </c>
      <c r="D40" t="inlineStr">
        <is>
          <t>BARU</t>
        </is>
      </c>
      <c r="E40" s="4" t="n">
        <v>99</v>
      </c>
      <c r="F40" s="3" t="n"/>
      <c r="G40" s="3">
        <f>(E40*0.8)+(H40*0.2)</f>
        <v/>
      </c>
      <c r="H40" s="3" t="n">
        <v>87.212</v>
      </c>
      <c r="I40" s="3" t="n">
        <v>83</v>
      </c>
      <c r="J40" s="3" t="n"/>
      <c r="K40" s="2">
        <f>ROUND( ((E40*10+F40*40+G40*5+H40*5+I40*20+J40*20)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  <c r="N40" t="inlineStr">
        <is>
          <t>Olivia Oktaviani</t>
        </is>
      </c>
      <c r="O40" t="n">
        <v>24060124120050</v>
      </c>
      <c r="P40" t="inlineStr">
        <is>
          <t>fac41eea-b385-44a8-9592-331bcecea80f</t>
        </is>
      </c>
      <c r="S40" t="inlineStr">
        <is>
          <t>oliviaoktaviani@students.undip.ac.id</t>
        </is>
      </c>
      <c r="T40" t="n">
        <v>83.33</v>
      </c>
      <c r="U40" t="n">
        <v>72.73</v>
      </c>
      <c r="V40" t="n">
        <v>90</v>
      </c>
      <c r="W40" t="n">
        <v>100</v>
      </c>
      <c r="X40" t="n">
        <v>90</v>
      </c>
      <c r="Z40" t="n">
        <v>9.59</v>
      </c>
      <c r="AA40" t="n">
        <v>99</v>
      </c>
      <c r="AB40" t="n">
        <v>1782745205</v>
      </c>
    </row>
    <row r="41">
      <c r="A41" t="inlineStr">
        <is>
          <t>24060124140132</t>
        </is>
      </c>
      <c r="B41" t="inlineStr">
        <is>
          <t>PUTI SHASTA KHAFIYANI</t>
        </is>
      </c>
      <c r="C41" t="n">
        <v>4</v>
      </c>
      <c r="D41" t="inlineStr">
        <is>
          <t>BARU</t>
        </is>
      </c>
      <c r="E41" s="4" t="n">
        <v>90</v>
      </c>
      <c r="F41" s="3" t="n"/>
      <c r="G41" s="3">
        <f>(E41*0.8)+(H41*0.2)</f>
        <v/>
      </c>
      <c r="H41" s="3" t="n">
        <v>85.90799999999999</v>
      </c>
      <c r="I41" s="3" t="n">
        <v>83</v>
      </c>
      <c r="J41" s="3" t="n"/>
      <c r="K41" s="2">
        <f>ROUND( ((E41*10+F41*40+G41*5+H41*5+I41*20+J41*20)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  <c r="N41" t="inlineStr">
        <is>
          <t>Puti Shasta Khafiyani</t>
        </is>
      </c>
      <c r="O41" t="n">
        <v>24060124140132</v>
      </c>
      <c r="P41" t="inlineStr">
        <is>
          <t>17fb50d2-437c-443e-b0dd-c648fd526201</t>
        </is>
      </c>
      <c r="S41" t="inlineStr">
        <is>
          <t>putishasta@students.undip.ac.id</t>
        </is>
      </c>
      <c r="T41" t="n">
        <v>83.33</v>
      </c>
      <c r="U41" t="n">
        <v>87.88</v>
      </c>
      <c r="V41" t="n">
        <v>70</v>
      </c>
      <c r="W41" t="n">
        <v>93.33</v>
      </c>
      <c r="X41" t="n">
        <v>95</v>
      </c>
      <c r="Z41" t="n">
        <v>9.279999999999999</v>
      </c>
      <c r="AA41" t="n">
        <v>90</v>
      </c>
      <c r="AB41" t="n">
        <v>1782745205</v>
      </c>
    </row>
    <row r="42">
      <c r="A42" t="inlineStr">
        <is>
          <t>24060124120002</t>
        </is>
      </c>
      <c r="B42" t="inlineStr">
        <is>
          <t>BIRELA MIADETA PURITA</t>
        </is>
      </c>
      <c r="C42" t="n">
        <v>4</v>
      </c>
      <c r="D42" t="inlineStr">
        <is>
          <t>BARU</t>
        </is>
      </c>
      <c r="E42" s="4" t="n">
        <v>95.33</v>
      </c>
      <c r="F42" s="3" t="n"/>
      <c r="G42" s="3">
        <f>(E42*0.8)+(H42*0.2)</f>
        <v/>
      </c>
      <c r="H42" s="3" t="n">
        <v>91.42400000000001</v>
      </c>
      <c r="I42" s="3" t="n">
        <v>78</v>
      </c>
      <c r="J42" s="3" t="n"/>
      <c r="K42" s="2">
        <f>ROUND( ((E42*10+F42*40+G42*5+H42*5+I42*20+J42*20)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  <c r="N42" t="inlineStr">
        <is>
          <t>Birela Miadeta Purita</t>
        </is>
      </c>
      <c r="O42" t="n">
        <v>24060124120002</v>
      </c>
      <c r="P42" t="inlineStr">
        <is>
          <t>f70db285-5e78-448d-af71-00e59cbfebf7</t>
        </is>
      </c>
      <c r="S42" t="inlineStr">
        <is>
          <t>birelamiadeta@students.undip.ac.id</t>
        </is>
      </c>
      <c r="T42" t="n">
        <v>75</v>
      </c>
      <c r="U42" t="n">
        <v>95.45</v>
      </c>
      <c r="V42" t="n">
        <v>90</v>
      </c>
      <c r="W42" t="n">
        <v>96.67</v>
      </c>
      <c r="X42" t="n">
        <v>100</v>
      </c>
      <c r="Z42" t="n">
        <v>9.59</v>
      </c>
      <c r="AA42" t="n">
        <v>95.33</v>
      </c>
      <c r="AB42" t="n">
        <v>1782745205</v>
      </c>
    </row>
    <row r="43">
      <c r="A43" t="inlineStr">
        <is>
          <t>24060124120034</t>
        </is>
      </c>
      <c r="B43" t="inlineStr">
        <is>
          <t>DIAH MAULIDA PRATIWI</t>
        </is>
      </c>
      <c r="C43" t="n">
        <v>4</v>
      </c>
      <c r="D43" t="inlineStr">
        <is>
          <t>BARU</t>
        </is>
      </c>
      <c r="E43" s="4" t="n">
        <v>89</v>
      </c>
      <c r="F43" s="3" t="n"/>
      <c r="G43" s="3">
        <f>(E43*0.8)+(H43*0.2)</f>
        <v/>
      </c>
      <c r="H43" s="3" t="n">
        <v>66.82599999999999</v>
      </c>
      <c r="I43" s="3" t="n">
        <v>78</v>
      </c>
      <c r="J43" s="3" t="n"/>
      <c r="K43" s="2">
        <f>ROUND( ((E43*10+F43*40+G43*5+H43*5+I43*20+J43*20)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  <c r="N43" t="inlineStr">
        <is>
          <t>Diah Maulida Pratiwi</t>
        </is>
      </c>
      <c r="O43" t="n">
        <v>24060124120034</v>
      </c>
      <c r="P43" t="inlineStr">
        <is>
          <t>26674a22-3f22-4587-a7f8-0053b02acbbd</t>
        </is>
      </c>
      <c r="S43" t="inlineStr">
        <is>
          <t>diahmaulida555@students.undip.ac.id</t>
        </is>
      </c>
      <c r="T43" t="n">
        <v>50</v>
      </c>
      <c r="U43" t="n">
        <v>86.36</v>
      </c>
      <c r="V43" t="n">
        <v>63.33</v>
      </c>
      <c r="W43" t="n">
        <v>74.44</v>
      </c>
      <c r="X43" t="n">
        <v>60</v>
      </c>
      <c r="Z43" t="inlineStr">
        <is>
          <t>-</t>
        </is>
      </c>
      <c r="AA43" t="n">
        <v>89</v>
      </c>
      <c r="AB43" t="n">
        <v>1782745205</v>
      </c>
    </row>
    <row r="44">
      <c r="A44" t="inlineStr">
        <is>
          <t>24060124130105</t>
        </is>
      </c>
      <c r="B44" t="inlineStr">
        <is>
          <t>DEWANGGA RAJA ARI WIYASA (&lt; 75%)</t>
        </is>
      </c>
      <c r="C44" t="n">
        <v>4</v>
      </c>
      <c r="D44" t="inlineStr">
        <is>
          <t>BARU</t>
        </is>
      </c>
      <c r="E44" s="3" t="n"/>
      <c r="F44" s="3" t="n"/>
      <c r="G44" s="3" t="n"/>
      <c r="H44" s="3" t="n"/>
      <c r="I44" s="3" t="n"/>
      <c r="J44" s="2" t="n"/>
      <c r="K44" s="2">
        <f>ROUND( ((E44*10+F44*40+G44*5+H44*5+I44*20+J44*20)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First name</t>
        </is>
      </c>
      <c r="B1" t="inlineStr">
        <is>
          <t>Last name</t>
        </is>
      </c>
      <c r="C1" t="inlineStr">
        <is>
          <t>ID number</t>
        </is>
      </c>
      <c r="D1" t="inlineStr">
        <is>
          <t>Institution</t>
        </is>
      </c>
      <c r="E1" t="inlineStr">
        <is>
          <t>Department</t>
        </is>
      </c>
      <c r="F1" t="inlineStr">
        <is>
          <t>Email address</t>
        </is>
      </c>
      <c r="G1" t="inlineStr">
        <is>
          <t>Quiz: Quis 1 (Real)</t>
        </is>
      </c>
      <c r="H1" t="inlineStr">
        <is>
          <t>Quiz: Quis 2 (Real)</t>
        </is>
      </c>
      <c r="I1" t="inlineStr">
        <is>
          <t>Quiz: quis 3 (Real)</t>
        </is>
      </c>
      <c r="J1" t="inlineStr">
        <is>
          <t>Quiz: Quis 4 (Real)</t>
        </is>
      </c>
      <c r="K1" t="inlineStr">
        <is>
          <t>Quiz: quis 5 (Real)</t>
        </is>
      </c>
      <c r="L1" t="inlineStr">
        <is>
          <t>Quiz: latihan UTS (Real)</t>
        </is>
      </c>
      <c r="M1" t="inlineStr">
        <is>
          <t>Quiz: UTS (Real)</t>
        </is>
      </c>
      <c r="N1" t="inlineStr">
        <is>
          <t>Last downloaded from this course</t>
        </is>
      </c>
    </row>
    <row r="2">
      <c r="A2" t="inlineStr">
        <is>
          <t>Fathia Rahma</t>
        </is>
      </c>
      <c r="B2" t="n">
        <v>24060122130082</v>
      </c>
      <c r="C2" t="inlineStr">
        <is>
          <t>f713bfbf-63f8-4f2a-bf4e-f4fd5a9b65cc</t>
        </is>
      </c>
      <c r="F2" t="inlineStr">
        <is>
          <t>fathiarahma@students.undip.ac.id</t>
        </is>
      </c>
      <c r="G2" t="n">
        <v>66.67</v>
      </c>
      <c r="H2" t="n">
        <v>95.45</v>
      </c>
      <c r="I2" t="n">
        <v>80</v>
      </c>
      <c r="J2" t="n">
        <v>81.11</v>
      </c>
      <c r="K2" t="n">
        <v>100</v>
      </c>
      <c r="L2" t="inlineStr">
        <is>
          <t>-</t>
        </is>
      </c>
      <c r="M2" t="n">
        <v>93</v>
      </c>
      <c r="N2" t="n">
        <v>1782745205</v>
      </c>
    </row>
    <row r="3">
      <c r="A3" t="inlineStr">
        <is>
          <t>Raditya Arya Wicaksana</t>
        </is>
      </c>
      <c r="B3" t="n">
        <v>24060122140126</v>
      </c>
      <c r="C3" t="inlineStr">
        <is>
          <t>4ca256f5-c736-4f37-8de6-60a2ab3d7b4f</t>
        </is>
      </c>
      <c r="F3" t="inlineStr">
        <is>
          <t>radityaarya@students.undip.ac.id</t>
        </is>
      </c>
      <c r="G3" t="n">
        <v>75</v>
      </c>
      <c r="H3" t="n">
        <v>77.27</v>
      </c>
      <c r="I3" t="n">
        <v>46.67</v>
      </c>
      <c r="J3" t="n">
        <v>90</v>
      </c>
      <c r="K3" t="n">
        <v>95</v>
      </c>
      <c r="L3" t="inlineStr">
        <is>
          <t>-</t>
        </is>
      </c>
      <c r="M3" t="inlineStr">
        <is>
          <t>-</t>
        </is>
      </c>
      <c r="N3" t="n">
        <v>1782745205</v>
      </c>
    </row>
    <row r="4">
      <c r="A4" t="inlineStr">
        <is>
          <t>Zahra Nisaa' Fitria Nur'afifah</t>
        </is>
      </c>
      <c r="B4" t="n">
        <v>24060122140162</v>
      </c>
      <c r="C4" t="inlineStr">
        <is>
          <t>ec25763f-e67c-4bc3-a0a4-1160405b6d01</t>
        </is>
      </c>
      <c r="F4" t="inlineStr">
        <is>
          <t>zahranisaafitrianura@students.undip.ac.id</t>
        </is>
      </c>
      <c r="G4" t="n">
        <v>66.67</v>
      </c>
      <c r="H4" t="n">
        <v>90.91</v>
      </c>
      <c r="I4" t="n">
        <v>86.67</v>
      </c>
      <c r="J4" t="n">
        <v>96.67</v>
      </c>
      <c r="K4" t="n">
        <v>95</v>
      </c>
      <c r="L4" t="n">
        <v>9.789999999999999</v>
      </c>
      <c r="M4" t="n">
        <v>95</v>
      </c>
      <c r="N4" t="n">
        <v>1782745205</v>
      </c>
    </row>
    <row r="5">
      <c r="A5" t="inlineStr">
        <is>
          <t>Muhammad Shafwan Raihan Serunting</t>
        </is>
      </c>
      <c r="B5" t="n">
        <v>24060123140120</v>
      </c>
      <c r="C5" t="inlineStr">
        <is>
          <t>875dbde6-3abb-4477-8622-714abadf4af9</t>
        </is>
      </c>
      <c r="F5" t="inlineStr">
        <is>
          <t>muhammadshafwanraiha@students.undip.ac.id</t>
        </is>
      </c>
      <c r="G5" t="n">
        <v>83.33</v>
      </c>
      <c r="H5" t="n">
        <v>95.45</v>
      </c>
      <c r="I5" t="n">
        <v>73.33</v>
      </c>
      <c r="J5" t="n">
        <v>97.78</v>
      </c>
      <c r="K5" t="n">
        <v>55</v>
      </c>
      <c r="L5" t="n">
        <v>9.69</v>
      </c>
      <c r="M5" t="n">
        <v>92</v>
      </c>
      <c r="N5" t="n">
        <v>1782745205</v>
      </c>
    </row>
    <row r="6">
      <c r="A6" t="inlineStr">
        <is>
          <t>Fakhri Ali Azadi</t>
        </is>
      </c>
      <c r="B6" t="n">
        <v>24060123140128</v>
      </c>
      <c r="C6" t="inlineStr">
        <is>
          <t>9c518235-cd49-42fb-b96a-598a6f512b44</t>
        </is>
      </c>
      <c r="F6" t="inlineStr">
        <is>
          <t>aaliiazadi@students.undip.ac.id</t>
        </is>
      </c>
      <c r="G6" t="inlineStr">
        <is>
          <t>-</t>
        </is>
      </c>
      <c r="H6" t="n">
        <v>95.45</v>
      </c>
      <c r="I6" t="n">
        <v>93.33</v>
      </c>
      <c r="J6" t="n">
        <v>96.67</v>
      </c>
      <c r="K6" t="n">
        <v>85</v>
      </c>
      <c r="L6" t="inlineStr">
        <is>
          <t>-</t>
        </is>
      </c>
      <c r="M6" t="inlineStr">
        <is>
          <t>-</t>
        </is>
      </c>
      <c r="N6" t="n">
        <v>1782745205</v>
      </c>
    </row>
    <row r="7">
      <c r="A7" t="inlineStr">
        <is>
          <t>Gading Arsana Rachman</t>
        </is>
      </c>
      <c r="B7" t="n">
        <v>24060123140159</v>
      </c>
      <c r="C7" t="inlineStr">
        <is>
          <t>ecf8bf13-dd5c-4d6a-8f5a-dbe099521a7f</t>
        </is>
      </c>
      <c r="F7" t="inlineStr">
        <is>
          <t>gadingarsana@students.undip.ac.id</t>
        </is>
      </c>
      <c r="G7" t="n">
        <v>75</v>
      </c>
      <c r="H7" t="n">
        <v>92.05</v>
      </c>
      <c r="I7" t="n">
        <v>53.33</v>
      </c>
      <c r="J7" t="inlineStr">
        <is>
          <t>-</t>
        </is>
      </c>
      <c r="K7" t="inlineStr">
        <is>
          <t>-</t>
        </is>
      </c>
      <c r="L7" t="inlineStr">
        <is>
          <t>-</t>
        </is>
      </c>
      <c r="M7" t="inlineStr">
        <is>
          <t>-</t>
        </is>
      </c>
      <c r="N7" t="n">
        <v>1782745205</v>
      </c>
    </row>
    <row r="8">
      <c r="A8" t="inlineStr">
        <is>
          <t>Aura Cantika Nabila Amelia</t>
        </is>
      </c>
      <c r="B8" t="n">
        <v>24060123140161</v>
      </c>
      <c r="C8" t="inlineStr">
        <is>
          <t>199cb5ff-2bcd-4ecd-b034-eaebb41a0228</t>
        </is>
      </c>
      <c r="F8" t="inlineStr">
        <is>
          <t>auracantikanabilaame@students.undip.ac.id</t>
        </is>
      </c>
      <c r="G8" t="inlineStr">
        <is>
          <t>-</t>
        </is>
      </c>
      <c r="H8" t="n">
        <v>83.33</v>
      </c>
      <c r="I8" t="n">
        <v>86.67</v>
      </c>
      <c r="J8" t="n">
        <v>96.67</v>
      </c>
      <c r="K8" t="n">
        <v>75</v>
      </c>
      <c r="L8" t="n">
        <v>9.59</v>
      </c>
      <c r="M8" t="n">
        <v>99</v>
      </c>
      <c r="N8" t="n">
        <v>1782745205</v>
      </c>
    </row>
    <row r="9">
      <c r="A9" t="inlineStr">
        <is>
          <t>Cipta Fikri Wiratama</t>
        </is>
      </c>
      <c r="B9" t="n">
        <v>24060123140172</v>
      </c>
      <c r="C9" t="inlineStr">
        <is>
          <t>3fe4ca1a-a688-4325-b46c-4a80910d0320</t>
        </is>
      </c>
      <c r="F9" t="inlineStr">
        <is>
          <t>fikriw@students.undip.ac.id</t>
        </is>
      </c>
      <c r="G9" t="n">
        <v>33.33</v>
      </c>
      <c r="H9" t="n">
        <v>83.33</v>
      </c>
      <c r="I9" t="n">
        <v>93.33</v>
      </c>
      <c r="J9" t="n">
        <v>96.67</v>
      </c>
      <c r="K9" t="n">
        <v>100</v>
      </c>
      <c r="L9" t="n">
        <v>1.55</v>
      </c>
      <c r="M9" t="n">
        <v>96</v>
      </c>
      <c r="N9" t="n">
        <v>1782745205</v>
      </c>
    </row>
    <row r="10">
      <c r="A10" t="inlineStr">
        <is>
          <t>Stephen Andrew Pakpahan</t>
        </is>
      </c>
      <c r="B10" t="n">
        <v>24060123140194</v>
      </c>
      <c r="C10" t="inlineStr">
        <is>
          <t>bf4e7d96-33a4-4242-8063-9327c138cb46</t>
        </is>
      </c>
      <c r="F10" t="inlineStr">
        <is>
          <t>stephenn03@students.undip.ac.id</t>
        </is>
      </c>
      <c r="G10" t="n">
        <v>83.33</v>
      </c>
      <c r="H10" t="n">
        <v>95.45</v>
      </c>
      <c r="I10" t="n">
        <v>76.67</v>
      </c>
      <c r="J10" t="n">
        <v>80</v>
      </c>
      <c r="K10" t="n">
        <v>100</v>
      </c>
      <c r="L10" t="inlineStr">
        <is>
          <t>-</t>
        </is>
      </c>
      <c r="M10" t="inlineStr">
        <is>
          <t>-</t>
        </is>
      </c>
      <c r="N10" t="n">
        <v>1782745205</v>
      </c>
    </row>
    <row r="11">
      <c r="A11" t="inlineStr">
        <is>
          <t>Benjamin Hamonangan Tua</t>
        </is>
      </c>
      <c r="B11" t="n">
        <v>24060123140198</v>
      </c>
      <c r="C11" t="inlineStr">
        <is>
          <t>72581d79-740e-48cd-a371-92cf13a1b314</t>
        </is>
      </c>
      <c r="F11" t="inlineStr">
        <is>
          <t>benjaminhamonangantu@students.undip.ac.id</t>
        </is>
      </c>
      <c r="G11" t="inlineStr">
        <is>
          <t>-</t>
        </is>
      </c>
      <c r="H11" t="n">
        <v>95.45</v>
      </c>
      <c r="I11" t="inlineStr">
        <is>
          <t>-</t>
        </is>
      </c>
      <c r="J11" t="n">
        <v>96.67</v>
      </c>
      <c r="K11" t="n">
        <v>100</v>
      </c>
      <c r="L11" t="inlineStr">
        <is>
          <t>-</t>
        </is>
      </c>
      <c r="M11" t="inlineStr">
        <is>
          <t>-</t>
        </is>
      </c>
      <c r="N11" t="n">
        <v>1782745205</v>
      </c>
    </row>
    <row r="12">
      <c r="A12" t="inlineStr">
        <is>
          <t>Rizky Saefirdaus</t>
        </is>
      </c>
      <c r="B12" t="n">
        <v>24060124120001</v>
      </c>
      <c r="C12" t="inlineStr">
        <is>
          <t>025c65de-44f5-4ffb-bbf4-461e11f9468a</t>
        </is>
      </c>
      <c r="F12" t="inlineStr">
        <is>
          <t>saefirdaus@students.undip.ac.id</t>
        </is>
      </c>
      <c r="G12" t="n">
        <v>50</v>
      </c>
      <c r="H12" t="n">
        <v>72.73</v>
      </c>
      <c r="I12" t="n">
        <v>26.67</v>
      </c>
      <c r="J12" t="n">
        <v>93.33</v>
      </c>
      <c r="K12" t="n">
        <v>95</v>
      </c>
      <c r="L12" t="n">
        <v>9.789999999999999</v>
      </c>
      <c r="M12" t="n">
        <v>98</v>
      </c>
      <c r="N12" t="n">
        <v>1782745205</v>
      </c>
    </row>
    <row r="13">
      <c r="A13" t="inlineStr">
        <is>
          <t>Birela Miadeta Purita</t>
        </is>
      </c>
      <c r="B13" t="n">
        <v>24060124120002</v>
      </c>
      <c r="C13" t="inlineStr">
        <is>
          <t>f70db285-5e78-448d-af71-00e59cbfebf7</t>
        </is>
      </c>
      <c r="F13" t="inlineStr">
        <is>
          <t>birelamiadeta@students.undip.ac.id</t>
        </is>
      </c>
      <c r="G13" t="n">
        <v>75</v>
      </c>
      <c r="H13" t="n">
        <v>95.45</v>
      </c>
      <c r="I13" t="n">
        <v>90</v>
      </c>
      <c r="J13" t="n">
        <v>96.67</v>
      </c>
      <c r="K13" t="n">
        <v>100</v>
      </c>
      <c r="L13" t="n">
        <v>9.59</v>
      </c>
      <c r="M13" t="n">
        <v>95.33</v>
      </c>
      <c r="N13" t="n">
        <v>1782745205</v>
      </c>
    </row>
    <row r="14">
      <c r="A14" t="inlineStr">
        <is>
          <t>Lintang Aulia Nuraini</t>
        </is>
      </c>
      <c r="B14" t="n">
        <v>24060124120017</v>
      </c>
      <c r="C14" t="inlineStr">
        <is>
          <t>82ca6965-edbf-4d20-9bbc-ca193d79dd75</t>
        </is>
      </c>
      <c r="F14" t="inlineStr">
        <is>
          <t>lintangaulianuraini@students.undip.ac.id</t>
        </is>
      </c>
      <c r="G14" t="n">
        <v>66.67</v>
      </c>
      <c r="H14" t="n">
        <v>95.45</v>
      </c>
      <c r="I14" t="n">
        <v>93.33</v>
      </c>
      <c r="J14" t="n">
        <v>91.67</v>
      </c>
      <c r="K14" t="n">
        <v>85</v>
      </c>
      <c r="L14" t="n">
        <v>8.66</v>
      </c>
      <c r="M14" t="n">
        <v>97</v>
      </c>
      <c r="N14" t="n">
        <v>1782745205</v>
      </c>
    </row>
    <row r="15">
      <c r="A15" t="inlineStr">
        <is>
          <t>Ganendra Satya Sindhunata</t>
        </is>
      </c>
      <c r="B15" t="n">
        <v>24060124120025</v>
      </c>
      <c r="C15" t="inlineStr">
        <is>
          <t>8a5caf17-6e23-4f22-acc4-94f0abe349d6</t>
        </is>
      </c>
      <c r="F15" t="inlineStr">
        <is>
          <t>ganendrasatya@students.undip.ac.id</t>
        </is>
      </c>
      <c r="G15" t="n">
        <v>41.67</v>
      </c>
      <c r="H15" t="n">
        <v>68.18000000000001</v>
      </c>
      <c r="I15" t="n">
        <v>56.67</v>
      </c>
      <c r="J15" t="n">
        <v>90</v>
      </c>
      <c r="K15" t="n">
        <v>100</v>
      </c>
      <c r="L15" t="inlineStr">
        <is>
          <t>-</t>
        </is>
      </c>
      <c r="M15" t="n">
        <v>92</v>
      </c>
      <c r="N15" t="n">
        <v>1782745205</v>
      </c>
    </row>
    <row r="16">
      <c r="A16" t="inlineStr">
        <is>
          <t>Muhammad Nauval Fadli</t>
        </is>
      </c>
      <c r="B16" t="n">
        <v>24060124120027</v>
      </c>
      <c r="C16" t="inlineStr">
        <is>
          <t>2e0407a8-5f1f-4b94-8112-a5ceb6906f5d</t>
        </is>
      </c>
      <c r="F16" t="inlineStr">
        <is>
          <t>val145@students.undip.ac.id</t>
        </is>
      </c>
      <c r="G16" t="n">
        <v>58.33</v>
      </c>
      <c r="H16" t="n">
        <v>77.27</v>
      </c>
      <c r="I16" t="n">
        <v>90</v>
      </c>
      <c r="J16" t="n">
        <v>100</v>
      </c>
      <c r="K16" t="n">
        <v>100</v>
      </c>
      <c r="L16" t="inlineStr">
        <is>
          <t>-</t>
        </is>
      </c>
      <c r="M16" t="n">
        <v>96</v>
      </c>
      <c r="N16" t="n">
        <v>1782745205</v>
      </c>
    </row>
    <row r="17">
      <c r="A17" t="inlineStr">
        <is>
          <t>Diah Maulida Pratiwi</t>
        </is>
      </c>
      <c r="B17" t="n">
        <v>24060124120034</v>
      </c>
      <c r="C17" t="inlineStr">
        <is>
          <t>26674a22-3f22-4587-a7f8-0053b02acbbd</t>
        </is>
      </c>
      <c r="F17" t="inlineStr">
        <is>
          <t>diahmaulida555@students.undip.ac.id</t>
        </is>
      </c>
      <c r="G17" t="n">
        <v>50</v>
      </c>
      <c r="H17" t="n">
        <v>86.36</v>
      </c>
      <c r="I17" t="n">
        <v>63.33</v>
      </c>
      <c r="J17" t="n">
        <v>74.44</v>
      </c>
      <c r="K17" t="n">
        <v>60</v>
      </c>
      <c r="L17" t="inlineStr">
        <is>
          <t>-</t>
        </is>
      </c>
      <c r="M17" t="n">
        <v>89</v>
      </c>
      <c r="N17" t="n">
        <v>1782745205</v>
      </c>
    </row>
    <row r="18">
      <c r="A18" t="inlineStr">
        <is>
          <t>Alyssa Shane Kurniawan</t>
        </is>
      </c>
      <c r="B18" t="n">
        <v>24060124120038</v>
      </c>
      <c r="C18" t="inlineStr">
        <is>
          <t>c2c3d44a-c7d2-4dc6-af91-ef49b01c0c0f</t>
        </is>
      </c>
      <c r="F18" t="inlineStr">
        <is>
          <t>alyssashane@students.undip.ac.id</t>
        </is>
      </c>
      <c r="G18" t="n">
        <v>83.33</v>
      </c>
      <c r="H18" t="n">
        <v>86.36</v>
      </c>
      <c r="I18" t="n">
        <v>96.67</v>
      </c>
      <c r="J18" t="n">
        <v>100</v>
      </c>
      <c r="K18" t="n">
        <v>95</v>
      </c>
      <c r="L18" t="inlineStr">
        <is>
          <t>-</t>
        </is>
      </c>
      <c r="M18" t="n">
        <v>99</v>
      </c>
      <c r="N18" t="n">
        <v>1782745205</v>
      </c>
    </row>
    <row r="19">
      <c r="A19" t="inlineStr">
        <is>
          <t>Nawaal Hanif Mumtaz Arriye</t>
        </is>
      </c>
      <c r="B19" t="n">
        <v>24060124120041</v>
      </c>
      <c r="C19" t="inlineStr">
        <is>
          <t>f47148a3-6267-4f7a-a384-120d434a70ec</t>
        </is>
      </c>
      <c r="F19" t="inlineStr">
        <is>
          <t>nawaal123@students.undip.ac.id</t>
        </is>
      </c>
      <c r="G19" t="n">
        <v>83.33</v>
      </c>
      <c r="H19" t="n">
        <v>83.33</v>
      </c>
      <c r="I19" t="n">
        <v>56.67</v>
      </c>
      <c r="J19" t="n">
        <v>93.33</v>
      </c>
      <c r="K19" t="n">
        <v>95</v>
      </c>
      <c r="L19" t="inlineStr">
        <is>
          <t>-</t>
        </is>
      </c>
      <c r="M19" t="n">
        <v>94.33</v>
      </c>
      <c r="N19" t="n">
        <v>1782745205</v>
      </c>
    </row>
    <row r="20">
      <c r="A20" t="inlineStr">
        <is>
          <t>Syifa Aeni Mudrikah</t>
        </is>
      </c>
      <c r="B20" t="n">
        <v>24060124120043</v>
      </c>
      <c r="C20" t="inlineStr">
        <is>
          <t>5fc98607-6d44-4154-b85c-a80c2976ed46</t>
        </is>
      </c>
      <c r="F20" t="inlineStr">
        <is>
          <t>syifaaenimudrikah@students.undip.ac.id</t>
        </is>
      </c>
      <c r="G20" t="n">
        <v>75</v>
      </c>
      <c r="H20" t="n">
        <v>90.91</v>
      </c>
      <c r="I20" t="n">
        <v>73.33</v>
      </c>
      <c r="J20" t="n">
        <v>90</v>
      </c>
      <c r="K20" t="n">
        <v>90</v>
      </c>
      <c r="L20" t="n">
        <v>8.970000000000001</v>
      </c>
      <c r="M20" t="n">
        <v>95</v>
      </c>
      <c r="N20" t="n">
        <v>1782745205</v>
      </c>
    </row>
    <row r="21">
      <c r="A21" t="inlineStr">
        <is>
          <t>Jordan Tenggara</t>
        </is>
      </c>
      <c r="B21" t="n">
        <v>24060124120044</v>
      </c>
      <c r="C21" t="inlineStr">
        <is>
          <t>e6b246f8-b6c4-4e85-bbbb-66b8c5f89c74</t>
        </is>
      </c>
      <c r="F21" t="inlineStr">
        <is>
          <t>jordantenggara@students.undip.ac.id</t>
        </is>
      </c>
      <c r="G21" t="n">
        <v>66.67</v>
      </c>
      <c r="H21" t="n">
        <v>92.42</v>
      </c>
      <c r="I21" t="n">
        <v>63.33</v>
      </c>
      <c r="J21" t="n">
        <v>93.33</v>
      </c>
      <c r="K21" t="n">
        <v>80</v>
      </c>
      <c r="L21" t="n">
        <v>9.48</v>
      </c>
      <c r="M21" t="n">
        <v>100</v>
      </c>
      <c r="N21" t="n">
        <v>1782745205</v>
      </c>
    </row>
    <row r="22">
      <c r="A22" t="inlineStr">
        <is>
          <t>Olivia Oktaviani</t>
        </is>
      </c>
      <c r="B22" t="n">
        <v>24060124120050</v>
      </c>
      <c r="C22" t="inlineStr">
        <is>
          <t>fac41eea-b385-44a8-9592-331bcecea80f</t>
        </is>
      </c>
      <c r="F22" t="inlineStr">
        <is>
          <t>oliviaoktaviani@students.undip.ac.id</t>
        </is>
      </c>
      <c r="G22" t="n">
        <v>83.33</v>
      </c>
      <c r="H22" t="n">
        <v>72.73</v>
      </c>
      <c r="I22" t="n">
        <v>90</v>
      </c>
      <c r="J22" t="n">
        <v>100</v>
      </c>
      <c r="K22" t="n">
        <v>90</v>
      </c>
      <c r="L22" t="n">
        <v>9.59</v>
      </c>
      <c r="M22" t="n">
        <v>99</v>
      </c>
      <c r="N22" t="n">
        <v>1782745205</v>
      </c>
    </row>
    <row r="23">
      <c r="A23" t="inlineStr">
        <is>
          <t>Rafi Anandra Dharmawan</t>
        </is>
      </c>
      <c r="B23" t="n">
        <v>24060124130071</v>
      </c>
      <c r="C23" t="inlineStr">
        <is>
          <t>291e39af-c4fa-4ae9-8643-6494da5278be</t>
        </is>
      </c>
      <c r="F23" t="inlineStr">
        <is>
          <t>rafianandra@students.undip.ac.id</t>
        </is>
      </c>
      <c r="G23" t="n">
        <v>75</v>
      </c>
      <c r="H23" t="n">
        <v>92.42</v>
      </c>
      <c r="I23" t="n">
        <v>80</v>
      </c>
      <c r="J23" t="n">
        <v>96.67</v>
      </c>
      <c r="K23" t="n">
        <v>85</v>
      </c>
      <c r="L23" t="n">
        <v>8.779999999999999</v>
      </c>
      <c r="M23" t="n">
        <v>98</v>
      </c>
      <c r="N23" t="n">
        <v>1782745205</v>
      </c>
    </row>
    <row r="24">
      <c r="A24" t="inlineStr">
        <is>
          <t>Laurensius Brian Prayoga</t>
        </is>
      </c>
      <c r="B24" t="n">
        <v>24060124130077</v>
      </c>
      <c r="C24" t="inlineStr">
        <is>
          <t>61e63fbc-e9d2-4c66-9c5b-c85cbefabf1a</t>
        </is>
      </c>
      <c r="F24" t="inlineStr">
        <is>
          <t>lbrianprayoga18@students.undip.ac.id</t>
        </is>
      </c>
      <c r="G24" t="n">
        <v>75</v>
      </c>
      <c r="H24" t="n">
        <v>78.79000000000001</v>
      </c>
      <c r="I24" t="n">
        <v>66.67</v>
      </c>
      <c r="J24" t="n">
        <v>96.67</v>
      </c>
      <c r="K24" t="n">
        <v>85</v>
      </c>
      <c r="L24" t="n">
        <v>8.380000000000001</v>
      </c>
      <c r="M24" t="n">
        <v>84</v>
      </c>
      <c r="N24" t="n">
        <v>1782745205</v>
      </c>
    </row>
    <row r="25">
      <c r="A25" t="inlineStr">
        <is>
          <t>Restu Surya</t>
        </is>
      </c>
      <c r="B25" t="n">
        <v>24060124130078</v>
      </c>
      <c r="C25" t="inlineStr">
        <is>
          <t>c39c5cdf-e358-4105-83a1-faded57d4c91</t>
        </is>
      </c>
      <c r="F25" t="inlineStr">
        <is>
          <t>restusurya@students.undip.ac.id</t>
        </is>
      </c>
      <c r="G25" t="n">
        <v>66.67</v>
      </c>
      <c r="H25" t="n">
        <v>95.45</v>
      </c>
      <c r="I25" t="n">
        <v>56.67</v>
      </c>
      <c r="J25" t="n">
        <v>93.33</v>
      </c>
      <c r="K25" t="n">
        <v>95</v>
      </c>
      <c r="L25" t="n">
        <v>6.29</v>
      </c>
      <c r="M25" t="n">
        <v>93</v>
      </c>
      <c r="N25" t="n">
        <v>1782745205</v>
      </c>
    </row>
    <row r="26">
      <c r="A26" t="inlineStr">
        <is>
          <t>Hana Nafi'atul Haq</t>
        </is>
      </c>
      <c r="B26" t="n">
        <v>24060124130081</v>
      </c>
      <c r="C26" t="inlineStr">
        <is>
          <t>9f2605e9-8801-43d5-8dd2-3da4b05da32d</t>
        </is>
      </c>
      <c r="F26" t="inlineStr">
        <is>
          <t>hananafi@students.undip.ac.id</t>
        </is>
      </c>
      <c r="G26" t="n">
        <v>66.67</v>
      </c>
      <c r="H26" t="n">
        <v>87.88</v>
      </c>
      <c r="I26" t="n">
        <v>80</v>
      </c>
      <c r="J26" t="n">
        <v>93.33</v>
      </c>
      <c r="K26" t="n">
        <v>100</v>
      </c>
      <c r="L26" t="n">
        <v>9.380000000000001</v>
      </c>
      <c r="M26" t="n">
        <v>96</v>
      </c>
      <c r="N26" t="n">
        <v>1782745205</v>
      </c>
    </row>
    <row r="27">
      <c r="A27" t="inlineStr">
        <is>
          <t>Raffa Putra Nugroho</t>
        </is>
      </c>
      <c r="B27" t="n">
        <v>24060124130085</v>
      </c>
      <c r="C27" t="inlineStr">
        <is>
          <t>73297ac4-2e3f-4d82-80ef-2caea3944731</t>
        </is>
      </c>
      <c r="F27" t="inlineStr">
        <is>
          <t>raffaputnugr0@students.undip.ac.id</t>
        </is>
      </c>
      <c r="G27" t="inlineStr">
        <is>
          <t>-</t>
        </is>
      </c>
      <c r="H27" t="n">
        <v>86.36</v>
      </c>
      <c r="I27" t="n">
        <v>56.67</v>
      </c>
      <c r="J27" t="n">
        <v>94.44</v>
      </c>
      <c r="K27" t="n">
        <v>85</v>
      </c>
      <c r="L27" t="inlineStr">
        <is>
          <t>-</t>
        </is>
      </c>
      <c r="M27" t="n">
        <v>93</v>
      </c>
      <c r="N27" t="n">
        <v>1782745205</v>
      </c>
    </row>
    <row r="28">
      <c r="A28" t="inlineStr">
        <is>
          <t>Moses Morell Yosefan</t>
        </is>
      </c>
      <c r="B28" t="n">
        <v>24060124130094</v>
      </c>
      <c r="C28" t="inlineStr">
        <is>
          <t>da3173cf-2b20-4de6-8e38-7d6981dd1b3a</t>
        </is>
      </c>
      <c r="F28" t="inlineStr">
        <is>
          <t>mosesmorell@students.undip.ac.id</t>
        </is>
      </c>
      <c r="G28" t="n">
        <v>66.67</v>
      </c>
      <c r="H28" t="n">
        <v>95.45</v>
      </c>
      <c r="I28" t="n">
        <v>60</v>
      </c>
      <c r="J28" t="n">
        <v>96.67</v>
      </c>
      <c r="K28" t="n">
        <v>95</v>
      </c>
      <c r="L28" t="inlineStr">
        <is>
          <t>-</t>
        </is>
      </c>
      <c r="M28" t="n">
        <v>94</v>
      </c>
      <c r="N28" t="n">
        <v>1782745205</v>
      </c>
    </row>
    <row r="29">
      <c r="A29" t="inlineStr">
        <is>
          <t>Galang Bintang Ramadhan</t>
        </is>
      </c>
      <c r="B29" t="n">
        <v>24060124130101</v>
      </c>
      <c r="C29" t="inlineStr">
        <is>
          <t>2829bd85-1e6f-4882-a55d-613e56e88cc5</t>
        </is>
      </c>
      <c r="F29" t="inlineStr">
        <is>
          <t>galangbintang@students.undip.ac.id</t>
        </is>
      </c>
      <c r="G29" t="n">
        <v>83.33</v>
      </c>
      <c r="H29" t="n">
        <v>95.45</v>
      </c>
      <c r="I29" t="n">
        <v>66.67</v>
      </c>
      <c r="J29" t="n">
        <v>90</v>
      </c>
      <c r="K29" t="n">
        <v>100</v>
      </c>
      <c r="L29" t="n">
        <v>9.789999999999999</v>
      </c>
      <c r="M29" t="n">
        <v>100</v>
      </c>
      <c r="N29" t="n">
        <v>1782745205</v>
      </c>
    </row>
    <row r="30">
      <c r="A30" t="inlineStr">
        <is>
          <t>Dewangga Raja Ari Wiyasa</t>
        </is>
      </c>
      <c r="B30" t="n">
        <v>24060124130105</v>
      </c>
      <c r="C30" t="inlineStr">
        <is>
          <t>872fd5f0-03b7-4ed5-876a-74db3806172c</t>
        </is>
      </c>
      <c r="F30" t="inlineStr">
        <is>
          <t>dewanggarajaari@students.undip.ac.id</t>
        </is>
      </c>
      <c r="G30" t="inlineStr">
        <is>
          <t>-</t>
        </is>
      </c>
      <c r="H30" t="inlineStr">
        <is>
          <t>-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-</t>
        </is>
      </c>
      <c r="M30" t="inlineStr">
        <is>
          <t>-</t>
        </is>
      </c>
      <c r="N30" t="n">
        <v>1782745205</v>
      </c>
    </row>
    <row r="31">
      <c r="A31" t="inlineStr">
        <is>
          <t>Shofwan Fikrul Huda</t>
        </is>
      </c>
      <c r="B31" t="n">
        <v>24060124130106</v>
      </c>
      <c r="C31" t="inlineStr">
        <is>
          <t>691eb548-58f9-43e1-9e7b-9ac0c4c017cf</t>
        </is>
      </c>
      <c r="F31" t="inlineStr">
        <is>
          <t>shofwanfikrulhuda@students.undip.ac.id</t>
        </is>
      </c>
      <c r="G31" t="n">
        <v>75</v>
      </c>
      <c r="H31" t="n">
        <v>86.36</v>
      </c>
      <c r="I31" t="n">
        <v>76.67</v>
      </c>
      <c r="J31" t="n">
        <v>89.44</v>
      </c>
      <c r="K31" t="n">
        <v>100</v>
      </c>
      <c r="L31" t="inlineStr">
        <is>
          <t>-</t>
        </is>
      </c>
      <c r="M31" t="n">
        <v>89.33</v>
      </c>
      <c r="N31" t="n">
        <v>1782745205</v>
      </c>
    </row>
    <row r="32">
      <c r="A32" t="inlineStr">
        <is>
          <t>Fazl Nizam Priyambodho</t>
        </is>
      </c>
      <c r="B32" t="n">
        <v>24060124130121</v>
      </c>
      <c r="C32" t="inlineStr">
        <is>
          <t>04fc40a2-f2a6-4d89-96fc-ee81ae6a6bec</t>
        </is>
      </c>
      <c r="F32" t="inlineStr">
        <is>
          <t>fazlnizampriyambodho@students.undip.ac.id</t>
        </is>
      </c>
      <c r="G32" t="n">
        <v>75</v>
      </c>
      <c r="H32" t="n">
        <v>72.73</v>
      </c>
      <c r="I32" t="n">
        <v>70</v>
      </c>
      <c r="J32" t="n">
        <v>90</v>
      </c>
      <c r="K32" t="n">
        <v>100</v>
      </c>
      <c r="L32" t="inlineStr">
        <is>
          <t>-</t>
        </is>
      </c>
      <c r="M32" t="n">
        <v>88</v>
      </c>
      <c r="N32" t="n">
        <v>1782745205</v>
      </c>
    </row>
    <row r="33">
      <c r="A33" t="inlineStr">
        <is>
          <t>Ida Bagus Ngurah Yudistira Kemenuh</t>
        </is>
      </c>
      <c r="B33" t="n">
        <v>24060124140128</v>
      </c>
      <c r="C33" t="inlineStr">
        <is>
          <t>5fba966f-06a0-4636-b644-bcffd705eb35</t>
        </is>
      </c>
      <c r="F33" t="inlineStr">
        <is>
          <t>yudist@students.undip.ac.id</t>
        </is>
      </c>
      <c r="G33" t="n">
        <v>66.67</v>
      </c>
      <c r="H33" t="n">
        <v>83.33</v>
      </c>
      <c r="I33" t="n">
        <v>90</v>
      </c>
      <c r="J33" t="n">
        <v>86.67</v>
      </c>
      <c r="K33" t="n">
        <v>100</v>
      </c>
      <c r="L33" t="inlineStr">
        <is>
          <t>-</t>
        </is>
      </c>
      <c r="M33" t="n">
        <v>89</v>
      </c>
      <c r="N33" t="n">
        <v>1782745205</v>
      </c>
    </row>
    <row r="34">
      <c r="A34" t="inlineStr">
        <is>
          <t>Puti Shasta Khafiyani</t>
        </is>
      </c>
      <c r="B34" t="n">
        <v>24060124140132</v>
      </c>
      <c r="C34" t="inlineStr">
        <is>
          <t>17fb50d2-437c-443e-b0dd-c648fd526201</t>
        </is>
      </c>
      <c r="F34" t="inlineStr">
        <is>
          <t>putishasta@students.undip.ac.id</t>
        </is>
      </c>
      <c r="G34" t="n">
        <v>83.33</v>
      </c>
      <c r="H34" t="n">
        <v>87.88</v>
      </c>
      <c r="I34" t="n">
        <v>70</v>
      </c>
      <c r="J34" t="n">
        <v>93.33</v>
      </c>
      <c r="K34" t="n">
        <v>95</v>
      </c>
      <c r="L34" t="n">
        <v>9.279999999999999</v>
      </c>
      <c r="M34" t="n">
        <v>90</v>
      </c>
      <c r="N34" t="n">
        <v>1782745205</v>
      </c>
    </row>
    <row r="35">
      <c r="A35" t="inlineStr">
        <is>
          <t>Muhammad Ibrahim Alghifari</t>
        </is>
      </c>
      <c r="B35" t="n">
        <v>24060124140140</v>
      </c>
      <c r="C35" t="inlineStr">
        <is>
          <t>58da7198-1741-437e-be28-dd32b9b77136</t>
        </is>
      </c>
      <c r="F35" t="inlineStr">
        <is>
          <t>ibrahimalghifari@students.undip.ac.id</t>
        </is>
      </c>
      <c r="G35" t="n">
        <v>75</v>
      </c>
      <c r="H35" t="n">
        <v>90.91</v>
      </c>
      <c r="I35" t="n">
        <v>70</v>
      </c>
      <c r="J35" t="n">
        <v>83.33</v>
      </c>
      <c r="K35" t="n">
        <v>90</v>
      </c>
      <c r="L35" t="n">
        <v>8.69</v>
      </c>
      <c r="M35" t="n">
        <v>86</v>
      </c>
      <c r="N35" t="n">
        <v>1782745205</v>
      </c>
    </row>
    <row r="36">
      <c r="A36" t="inlineStr">
        <is>
          <t>Muchammad Rajib Tafrichan</t>
        </is>
      </c>
      <c r="B36" t="n">
        <v>24060124140141</v>
      </c>
      <c r="C36" t="inlineStr">
        <is>
          <t>9a4f396d-30bf-431c-9081-8ee443bfcd9b</t>
        </is>
      </c>
      <c r="F36" t="inlineStr">
        <is>
          <t>mrajibtafrichan@students.undip.ac.id</t>
        </is>
      </c>
      <c r="G36" t="n">
        <v>58.33</v>
      </c>
      <c r="H36" t="n">
        <v>84.09</v>
      </c>
      <c r="I36" t="n">
        <v>63.33</v>
      </c>
      <c r="J36" t="n">
        <v>80</v>
      </c>
      <c r="K36" t="n">
        <v>90</v>
      </c>
      <c r="L36" t="inlineStr">
        <is>
          <t>-</t>
        </is>
      </c>
      <c r="M36" t="n">
        <v>69</v>
      </c>
      <c r="N36" t="n">
        <v>1782745205</v>
      </c>
    </row>
    <row r="37">
      <c r="A37" t="inlineStr">
        <is>
          <t>Shafa Aqilla Zahira</t>
        </is>
      </c>
      <c r="B37" t="n">
        <v>24060124140146</v>
      </c>
      <c r="C37" t="inlineStr">
        <is>
          <t>c78e8a5a-0831-401f-994b-384ce1559204</t>
        </is>
      </c>
      <c r="F37" t="inlineStr">
        <is>
          <t>shafaaqillazahira@students.undip.ac.id</t>
        </is>
      </c>
      <c r="G37" t="n">
        <v>50</v>
      </c>
      <c r="H37" t="n">
        <v>54.55</v>
      </c>
      <c r="I37" t="n">
        <v>63.33</v>
      </c>
      <c r="J37" t="n">
        <v>93.33</v>
      </c>
      <c r="K37" t="n">
        <v>90</v>
      </c>
      <c r="L37" t="inlineStr">
        <is>
          <t>-</t>
        </is>
      </c>
      <c r="M37" t="n">
        <v>92</v>
      </c>
      <c r="N37" t="n">
        <v>1782745205</v>
      </c>
    </row>
    <row r="38">
      <c r="A38" t="inlineStr">
        <is>
          <t>Adhyaksa Margandatua Banjar Nahor</t>
        </is>
      </c>
      <c r="B38" t="n">
        <v>24060124140152</v>
      </c>
      <c r="C38" t="inlineStr">
        <is>
          <t>f70e11a9-b5fb-4048-b4f1-b4bd22d01332</t>
        </is>
      </c>
      <c r="F38" t="inlineStr">
        <is>
          <t>mbnadhyaksa@students.undip.ac.id</t>
        </is>
      </c>
      <c r="G38" t="n">
        <v>58.33</v>
      </c>
      <c r="H38" t="n">
        <v>78.79000000000001</v>
      </c>
      <c r="I38" t="n">
        <v>96.67</v>
      </c>
      <c r="J38" t="n">
        <v>81.67</v>
      </c>
      <c r="K38" t="n">
        <v>90</v>
      </c>
      <c r="L38" t="n">
        <v>9.24</v>
      </c>
      <c r="M38" t="n">
        <v>87.33</v>
      </c>
      <c r="N38" t="n">
        <v>1782745205</v>
      </c>
    </row>
    <row r="39">
      <c r="A39" t="inlineStr">
        <is>
          <t>Iza Yunus Andhika</t>
        </is>
      </c>
      <c r="B39" t="n">
        <v>24060124140153</v>
      </c>
      <c r="C39" t="inlineStr">
        <is>
          <t>80f9312f-8258-49cb-9c59-297ebfed2ebc</t>
        </is>
      </c>
      <c r="F39" t="inlineStr">
        <is>
          <t>zandhika13@students.undip.ac.id</t>
        </is>
      </c>
      <c r="G39" t="n">
        <v>66.67</v>
      </c>
      <c r="H39" t="n">
        <v>95.45</v>
      </c>
      <c r="I39" t="n">
        <v>86.67</v>
      </c>
      <c r="J39" t="n">
        <v>96.67</v>
      </c>
      <c r="K39" t="n">
        <v>95</v>
      </c>
      <c r="L39" t="inlineStr">
        <is>
          <t>-</t>
        </is>
      </c>
      <c r="M39" t="n">
        <v>92</v>
      </c>
      <c r="N39" t="n">
        <v>1782745205</v>
      </c>
    </row>
    <row r="40">
      <c r="A40" t="inlineStr">
        <is>
          <t>Revalina Salwa Aliya Wicaksono Prabowo</t>
        </is>
      </c>
      <c r="B40" t="n">
        <v>24060124140155</v>
      </c>
      <c r="C40" t="inlineStr">
        <is>
          <t>597859a9-c1eb-4ab3-9b2e-f3749dd367f7</t>
        </is>
      </c>
      <c r="F40" t="inlineStr">
        <is>
          <t>revalinasaliya@students.undip.ac.id</t>
        </is>
      </c>
      <c r="G40" t="inlineStr">
        <is>
          <t>-</t>
        </is>
      </c>
      <c r="H40" t="n">
        <v>77.27</v>
      </c>
      <c r="I40" t="n">
        <v>86.67</v>
      </c>
      <c r="J40" t="n">
        <v>86.67</v>
      </c>
      <c r="K40" t="n">
        <v>90</v>
      </c>
      <c r="L40" t="inlineStr">
        <is>
          <t>-</t>
        </is>
      </c>
      <c r="M40" t="n">
        <v>92</v>
      </c>
      <c r="N40" t="n">
        <v>1782745205</v>
      </c>
    </row>
    <row r="41">
      <c r="A41" t="inlineStr">
        <is>
          <t>Reynaldi Bertinus Hutagaol</t>
        </is>
      </c>
      <c r="B41" t="n">
        <v>24060124140157</v>
      </c>
      <c r="C41" t="inlineStr">
        <is>
          <t>f92fc13b-312b-43f3-a1df-37a03703561d</t>
        </is>
      </c>
      <c r="F41" t="inlineStr">
        <is>
          <t>reynaldihutagaol@students.undip.ac.id</t>
        </is>
      </c>
      <c r="G41" t="n">
        <v>75</v>
      </c>
      <c r="H41" t="n">
        <v>90.91</v>
      </c>
      <c r="I41" t="n">
        <v>63.33</v>
      </c>
      <c r="J41" t="n">
        <v>93.33</v>
      </c>
      <c r="K41" t="n">
        <v>95</v>
      </c>
      <c r="L41" t="n">
        <v>9.48</v>
      </c>
      <c r="M41" t="n">
        <v>96</v>
      </c>
      <c r="N41" t="n">
        <v>1782745205</v>
      </c>
    </row>
    <row r="42">
      <c r="A42" t="inlineStr">
        <is>
          <t>Galvin Shalahudin Mumtaz</t>
        </is>
      </c>
      <c r="B42" t="n">
        <v>24060124140162</v>
      </c>
      <c r="C42" t="inlineStr">
        <is>
          <t>a8a2ebef-a8e1-4ac3-b818-b3131ec7676c</t>
        </is>
      </c>
      <c r="F42" t="inlineStr">
        <is>
          <t>galvin@students.undip.ac.id</t>
        </is>
      </c>
      <c r="G42" t="n">
        <v>50</v>
      </c>
      <c r="H42" t="n">
        <v>95.45</v>
      </c>
      <c r="I42" t="n">
        <v>83.33</v>
      </c>
      <c r="J42" t="inlineStr">
        <is>
          <t>-</t>
        </is>
      </c>
      <c r="K42" t="n">
        <v>100</v>
      </c>
      <c r="L42" t="n">
        <v>7.84</v>
      </c>
      <c r="M42" t="n">
        <v>87</v>
      </c>
      <c r="N42" t="n">
        <v>1782745205</v>
      </c>
    </row>
    <row r="43">
      <c r="A43" t="inlineStr">
        <is>
          <t>Raihan Lazuardi</t>
        </is>
      </c>
      <c r="B43" t="n">
        <v>24060124140178</v>
      </c>
      <c r="C43" t="inlineStr">
        <is>
          <t>fe6d6ef2-571f-4010-b827-9a40afea4300</t>
        </is>
      </c>
      <c r="F43" t="inlineStr">
        <is>
          <t>raihanlazuardi@students.undip.ac.id</t>
        </is>
      </c>
      <c r="G43" t="n">
        <v>58.33</v>
      </c>
      <c r="H43" t="n">
        <v>86.36</v>
      </c>
      <c r="I43" t="n">
        <v>86.67</v>
      </c>
      <c r="J43" t="n">
        <v>100</v>
      </c>
      <c r="K43" t="n">
        <v>85</v>
      </c>
      <c r="L43" t="inlineStr">
        <is>
          <t>-</t>
        </is>
      </c>
      <c r="M43" t="n">
        <v>96</v>
      </c>
      <c r="N43" t="n">
        <v>1782745205</v>
      </c>
    </row>
    <row r="44">
      <c r="A44" t="inlineStr">
        <is>
          <t>Adam Mulya Rasyid</t>
        </is>
      </c>
      <c r="B44" t="n">
        <v>24060124140179</v>
      </c>
      <c r="C44" t="inlineStr">
        <is>
          <t>167cf67b-bce1-472d-b0d1-a2d0b41d72b0</t>
        </is>
      </c>
      <c r="F44" t="inlineStr">
        <is>
          <t>adamrasyid@students.undip.ac.id</t>
        </is>
      </c>
      <c r="G44" t="n">
        <v>83.33</v>
      </c>
      <c r="H44" t="n">
        <v>93.94</v>
      </c>
      <c r="I44" t="n">
        <v>96.67</v>
      </c>
      <c r="J44" t="n">
        <v>96.67</v>
      </c>
      <c r="K44" t="n">
        <v>100</v>
      </c>
      <c r="L44" t="n">
        <v>0.21</v>
      </c>
      <c r="M44" t="n">
        <v>95</v>
      </c>
      <c r="N44" t="n">
        <v>1782745205</v>
      </c>
    </row>
    <row r="45">
      <c r="A45" t="inlineStr">
        <is>
          <t>Farhan Muhtaram</t>
        </is>
      </c>
      <c r="B45" t="n">
        <v>24060124140185</v>
      </c>
      <c r="C45" t="inlineStr">
        <is>
          <t>e6aa7bf8-45aa-4faf-b401-4bc798718a9f</t>
        </is>
      </c>
      <c r="F45" t="inlineStr">
        <is>
          <t>farhanmuhtaram@students.undip.ac.id</t>
        </is>
      </c>
      <c r="G45" t="n">
        <v>66.67</v>
      </c>
      <c r="H45" t="n">
        <v>51.52</v>
      </c>
      <c r="I45" t="n">
        <v>63.33</v>
      </c>
      <c r="J45" t="n">
        <v>88.61</v>
      </c>
      <c r="K45" t="n">
        <v>95</v>
      </c>
      <c r="L45" t="inlineStr">
        <is>
          <t>-</t>
        </is>
      </c>
      <c r="M45" t="n">
        <v>94</v>
      </c>
      <c r="N45" t="n">
        <v>1782745205</v>
      </c>
    </row>
    <row r="46">
      <c r="A46" t="inlineStr">
        <is>
          <t>Michael Stevano</t>
        </is>
      </c>
      <c r="B46" t="n">
        <v>24060124140187</v>
      </c>
      <c r="C46" t="inlineStr">
        <is>
          <t>3cf9233b-1519-40f7-aa76-466203df786f</t>
        </is>
      </c>
      <c r="F46" t="inlineStr">
        <is>
          <t>michaelstevano@students.undip.ac.id</t>
        </is>
      </c>
      <c r="G46" t="n">
        <v>66.67</v>
      </c>
      <c r="H46" t="n">
        <v>95.45</v>
      </c>
      <c r="I46" t="n">
        <v>33.33</v>
      </c>
      <c r="J46" t="inlineStr">
        <is>
          <t>-</t>
        </is>
      </c>
      <c r="K46" t="n">
        <v>70</v>
      </c>
      <c r="L46" t="inlineStr">
        <is>
          <t>-</t>
        </is>
      </c>
      <c r="M46" t="n">
        <v>87.67</v>
      </c>
      <c r="N46" t="n">
        <v>1782745205</v>
      </c>
    </row>
    <row r="47">
      <c r="A47" t="inlineStr">
        <is>
          <t>Arga Yura Danendra</t>
        </is>
      </c>
      <c r="B47" t="n">
        <v>24060124140191</v>
      </c>
      <c r="C47" t="inlineStr">
        <is>
          <t>5774e22c-186e-4a1c-b1a9-38b79aaee659</t>
        </is>
      </c>
      <c r="F47" t="inlineStr">
        <is>
          <t>argayura@students.undip.ac.id</t>
        </is>
      </c>
      <c r="G47" t="n">
        <v>41.67</v>
      </c>
      <c r="H47" t="n">
        <v>50</v>
      </c>
      <c r="I47" t="n">
        <v>70</v>
      </c>
      <c r="J47" t="n">
        <v>80</v>
      </c>
      <c r="K47" t="n">
        <v>75</v>
      </c>
      <c r="L47" t="inlineStr">
        <is>
          <t>-</t>
        </is>
      </c>
      <c r="M47" t="n">
        <v>81</v>
      </c>
      <c r="N47" t="n">
        <v>1782745205</v>
      </c>
    </row>
    <row r="48">
      <c r="A48" t="inlineStr">
        <is>
          <t>Mohammad Banyuputra Eka Pramudhita</t>
        </is>
      </c>
      <c r="B48" t="n">
        <v>24060124140193</v>
      </c>
      <c r="C48" t="inlineStr">
        <is>
          <t>5cba7c74-8059-4161-a8e7-3bdf75cb641d</t>
        </is>
      </c>
      <c r="F48" t="inlineStr">
        <is>
          <t>banyuputraekap@students.undip.ac.id</t>
        </is>
      </c>
      <c r="G48" t="n">
        <v>75</v>
      </c>
      <c r="H48" t="n">
        <v>78.79000000000001</v>
      </c>
      <c r="I48" t="n">
        <v>50</v>
      </c>
      <c r="J48" t="n">
        <v>90</v>
      </c>
      <c r="K48" t="n">
        <v>95</v>
      </c>
      <c r="L48" t="n">
        <v>5.82</v>
      </c>
      <c r="M48" t="n">
        <v>93</v>
      </c>
      <c r="N48" t="n">
        <v>1782745205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Template</t>
        </is>
      </c>
      <c r="B2" t="n">
        <v>37</v>
      </c>
    </row>
    <row r="3">
      <c r="A3" t="inlineStr">
        <is>
          <t>Berhasil cocok</t>
        </is>
      </c>
      <c r="B3" t="n">
        <v>35</v>
      </c>
    </row>
    <row r="4">
      <c r="A4" t="inlineStr">
        <is>
          <t>Tidak cocok</t>
        </is>
      </c>
      <c r="B4" t="n">
        <v>2</v>
      </c>
    </row>
    <row r="5">
      <c r="A5" t="inlineStr">
        <is>
          <t>Data awal tidak ada di template</t>
        </is>
      </c>
      <c r="B5" t="n">
        <v>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44"/>
  <sheetViews>
    <sheetView topLeftCell="L1" workbookViewId="0">
      <selection activeCell="N1" sqref="N1:Y1048576"/>
    </sheetView>
  </sheetViews>
  <sheetFormatPr baseColWidth="8" defaultRowHeight="15"/>
  <cols>
    <col width="17.5703125" bestFit="1" customWidth="1" min="1" max="1"/>
    <col width="55.28515625" bestFit="1" customWidth="1" min="2" max="2"/>
    <col width="10.5703125" bestFit="1" customWidth="1" min="3" max="3"/>
    <col width="8.140625" bestFit="1" customWidth="1" min="4" max="4"/>
    <col width="57.7109375" bestFit="1" customWidth="1" min="5" max="5"/>
    <col width="45.85546875" bestFit="1" customWidth="1" min="6" max="6"/>
    <col width="36.42578125" bestFit="1" customWidth="1" min="7" max="7"/>
    <col width="35.28515625" bestFit="1" customWidth="1" min="8" max="9"/>
    <col width="31.7109375" bestFit="1" customWidth="1" min="10" max="10"/>
    <col width="37.7109375" bestFit="1" customWidth="1" min="11" max="11"/>
    <col width="35.28515625" bestFit="1" customWidth="1" min="12" max="12"/>
    <col width="21.140625" bestFit="1" customWidth="1" min="13" max="13"/>
    <col width="17.42578125" bestFit="1" customWidth="1" min="20" max="21"/>
    <col width="17" bestFit="1" customWidth="1" min="22" max="22"/>
    <col width="17.42578125" bestFit="1" customWidth="1" min="23" max="23"/>
    <col width="17" bestFit="1" customWidth="1" min="24" max="24"/>
    <col width="17" customWidth="1" min="25" max="25"/>
    <col width="22" bestFit="1" customWidth="1" min="26" max="26"/>
  </cols>
  <sheetData>
    <row r="1">
      <c r="A1" t="inlineStr">
        <is>
          <t>Mata Kuliah</t>
        </is>
      </c>
      <c r="B1" t="inlineStr">
        <is>
          <t>: MIK1624404 - Analisis dan Strategi Algoritma</t>
        </is>
      </c>
    </row>
    <row r="2">
      <c r="A2" t="inlineStr">
        <is>
          <t>Tahun Ajaran</t>
        </is>
      </c>
      <c r="B2" t="inlineStr">
        <is>
          <t>: 2025</t>
        </is>
      </c>
      <c r="I2" s="1" t="inlineStr">
        <is>
          <t>NDk5NDgy</t>
        </is>
      </c>
    </row>
    <row r="3">
      <c r="A3" t="inlineStr">
        <is>
          <t>Semester</t>
        </is>
      </c>
      <c r="B3" t="inlineStr">
        <is>
          <t>: Genap</t>
        </is>
      </c>
    </row>
    <row r="4">
      <c r="A4" t="inlineStr">
        <is>
          <t>Kelas</t>
        </is>
      </c>
      <c r="B4" t="inlineStr">
        <is>
          <t>: B</t>
        </is>
      </c>
    </row>
    <row r="5">
      <c r="A5" t="inlineStr">
        <is>
          <t>Prodi</t>
        </is>
      </c>
      <c r="B5" t="inlineStr">
        <is>
          <t>: S1-TEKNIK INFORMATIKA</t>
        </is>
      </c>
    </row>
    <row r="7">
      <c r="A7" t="inlineStr">
        <is>
          <t>NIM</t>
        </is>
      </c>
      <c r="B7" t="inlineStr">
        <is>
          <t>Nama Mahasiswa</t>
        </is>
      </c>
      <c r="C7" t="inlineStr">
        <is>
          <t>Semester</t>
        </is>
      </c>
      <c r="D7" t="inlineStr">
        <is>
          <t>Status</t>
        </is>
      </c>
      <c r="E7" t="inlineStr">
        <is>
          <t>Nilai Aktivitas Partisipatif (0,00-100,00) (10%)</t>
        </is>
      </c>
      <c r="F7" t="inlineStr">
        <is>
          <t>Nilai Hasil Proyek (0,00-100,00) (40%)</t>
        </is>
      </c>
      <c r="G7" t="inlineStr">
        <is>
          <t>Nilai Tugas (0,00-100,00) (5%)</t>
        </is>
      </c>
      <c r="H7" t="inlineStr">
        <is>
          <t>Nilai Quiz (0,00-100,00) (5%)</t>
        </is>
      </c>
      <c r="I7" t="inlineStr">
        <is>
          <t>Nilai UTS (0,00-100,00) (20%)</t>
        </is>
      </c>
      <c r="J7" t="inlineStr">
        <is>
          <t>Nilai UAS (0,00-100) (20%)</t>
        </is>
      </c>
      <c r="K7" t="inlineStr">
        <is>
          <t>Nilai Akhir Angka (0,00-100,00)</t>
        </is>
      </c>
      <c r="L7" t="inlineStr">
        <is>
          <t>Nilai Akhir Huruf (A/B/C/D/E)</t>
        </is>
      </c>
      <c r="M7" t="inlineStr">
        <is>
          <t>Nilai Bobot (0-4)</t>
        </is>
      </c>
      <c r="N7" t="inlineStr">
        <is>
          <t>First name</t>
        </is>
      </c>
      <c r="O7" t="inlineStr">
        <is>
          <t>Last name</t>
        </is>
      </c>
      <c r="P7" t="inlineStr">
        <is>
          <t>ID number</t>
        </is>
      </c>
      <c r="Q7" t="inlineStr">
        <is>
          <t>Institution</t>
        </is>
      </c>
      <c r="R7" t="inlineStr">
        <is>
          <t>Department</t>
        </is>
      </c>
      <c r="S7" t="inlineStr">
        <is>
          <t>Email address</t>
        </is>
      </c>
      <c r="T7" t="inlineStr">
        <is>
          <t>Quiz: Quis 1 (Real)</t>
        </is>
      </c>
      <c r="U7" t="inlineStr">
        <is>
          <t>Quiz: Quis 2 (Real)</t>
        </is>
      </c>
      <c r="V7" t="inlineStr">
        <is>
          <t>Quiz: quis 3 (Real)</t>
        </is>
      </c>
      <c r="W7" t="inlineStr">
        <is>
          <t>Quiz: Quis 4 (Real)</t>
        </is>
      </c>
      <c r="X7" t="inlineStr">
        <is>
          <t>Quiz: quis 5 (Real)</t>
        </is>
      </c>
      <c r="Z7" t="inlineStr">
        <is>
          <t>Quiz: latihan UTS (Real)</t>
        </is>
      </c>
      <c r="AA7" t="inlineStr">
        <is>
          <t>Quiz: UTS (Real)</t>
        </is>
      </c>
      <c r="AB7" t="inlineStr">
        <is>
          <t>Last downloaded from this course</t>
        </is>
      </c>
    </row>
    <row r="8">
      <c r="A8" t="inlineStr">
        <is>
          <t>24060124140191</t>
        </is>
      </c>
      <c r="B8" t="inlineStr">
        <is>
          <t>ARGA YURA DANENDRA</t>
        </is>
      </c>
      <c r="C8" t="n">
        <v>4</v>
      </c>
      <c r="D8" t="inlineStr">
        <is>
          <t>BARU</t>
        </is>
      </c>
      <c r="E8" s="4" t="n">
        <v>81</v>
      </c>
      <c r="F8" s="3" t="n"/>
      <c r="G8" s="3" t="n"/>
      <c r="H8" s="3" t="n"/>
      <c r="I8" s="3" t="n"/>
      <c r="J8" s="3" t="n"/>
      <c r="K8" s="2">
        <f>ROUND( ((E8*10+F8*40+G8*5+H8*5+I8*20+J8*20) / 100), 2)</f>
        <v/>
      </c>
      <c r="L8" s="2">
        <f>IF(AND(K8&gt;=85, K8&lt;=100), "A", IF(AND(K8&gt;=80, K8&lt;=84.999999999), "AB", IF(AND(K8&gt;=75, K8&lt;=79.999999999), "B", IF(AND(K8&gt;=70, K8&lt;=74.999999999), "BC", IF(AND(K8&gt;=60, K8&lt;=69.9999999999), "C", IF(AND(K8&gt;=40, K8&lt;=59.999999999), "D", IF(AND(K8&gt;=0, K8&lt;=39.999999999), "E",  "E"  )  )  )  )  )  )  )</f>
        <v/>
      </c>
      <c r="M8">
        <f>IF(AND(K8&gt;=85, K8&lt;=100), "4", IF(AND(K8&gt;=80, K8&lt;=84.999999999), "3.5", IF(AND(K8&gt;=75, K8&lt;=79.999999999), "3", IF(AND(K8&gt;=70, K8&lt;=74.999999999), "2.5", IF(AND(K8&gt;=60, K8&lt;=69.9999999999), "2", IF(AND(K8&gt;=40, K8&lt;=59.999999999), "1", IF(AND(K8&gt;=0, K8&lt;=39.999999999), "0",  "0"  )  )  )  )  )  )  )</f>
        <v/>
      </c>
      <c r="N8" t="inlineStr">
        <is>
          <t>Arga Yura Danendra</t>
        </is>
      </c>
      <c r="O8" t="n">
        <v>24060124140191</v>
      </c>
      <c r="P8" t="inlineStr">
        <is>
          <t>5774e22c-186e-4a1c-b1a9-38b79aaee659</t>
        </is>
      </c>
      <c r="S8" t="inlineStr">
        <is>
          <t>argayura@students.undip.ac.id</t>
        </is>
      </c>
      <c r="T8" t="n">
        <v>41.67</v>
      </c>
      <c r="U8" t="n">
        <v>50</v>
      </c>
      <c r="V8" t="n">
        <v>70</v>
      </c>
      <c r="W8" t="n">
        <v>80</v>
      </c>
      <c r="X8" t="n">
        <v>75</v>
      </c>
      <c r="Z8" t="inlineStr">
        <is>
          <t>-</t>
        </is>
      </c>
      <c r="AA8" t="n">
        <v>81</v>
      </c>
      <c r="AB8" t="n">
        <v>1782745205</v>
      </c>
    </row>
    <row r="9">
      <c r="A9" t="inlineStr">
        <is>
          <t>24060124120025</t>
        </is>
      </c>
      <c r="B9" t="inlineStr">
        <is>
          <t>GANENDRA SATYA SINDHUNATA</t>
        </is>
      </c>
      <c r="C9" t="n">
        <v>4</v>
      </c>
      <c r="D9" t="inlineStr">
        <is>
          <t>BARU</t>
        </is>
      </c>
      <c r="E9" s="4" t="n">
        <v>92</v>
      </c>
      <c r="F9" s="3" t="n"/>
      <c r="G9" s="3" t="n"/>
      <c r="H9" s="3" t="n"/>
      <c r="I9" s="3" t="n"/>
      <c r="J9" s="3" t="n"/>
      <c r="K9" s="2">
        <f>ROUND( ((E9*10+F9*40+G9*5+H9*5+I9*20+J9*20) / 100), 2)</f>
        <v/>
      </c>
      <c r="L9" s="2">
        <f>IF(AND(K9&gt;=85, K9&lt;=100), "A", IF(AND(K9&gt;=80, K9&lt;=84.999999999), "AB", IF(AND(K9&gt;=75, K9&lt;=79.999999999), "B", IF(AND(K9&gt;=70, K9&lt;=74.999999999), "BC", IF(AND(K9&gt;=60, K9&lt;=69.9999999999), "C", IF(AND(K9&gt;=40, K9&lt;=59.999999999), "D", IF(AND(K9&gt;=0, K9&lt;=39.999999999), "E", "E" ) ) ) ) ) ) )</f>
        <v/>
      </c>
      <c r="M9">
        <f>IF(AND(K9&gt;=85, K9&lt;=100), "4", IF(AND(K9&gt;=80, K9&lt;=84.999999999), "3.5", IF(AND(K9&gt;=75, K9&lt;=79.999999999), "3", IF(AND(K9&gt;=70, K9&lt;=74.999999999), "2.5", IF(AND(K9&gt;=60, K9&lt;=69.9999999999), "2", IF(AND(K9&gt;=40, K9&lt;=59.999999999), "1", IF(AND(K9&gt;=0, K9&lt;=39.999999999), "0", "0" ) ) ) ) ) ) )</f>
        <v/>
      </c>
      <c r="N9" t="inlineStr">
        <is>
          <t>Ganendra Satya Sindhunata</t>
        </is>
      </c>
      <c r="O9" t="n">
        <v>24060124120025</v>
      </c>
      <c r="P9" t="inlineStr">
        <is>
          <t>8a5caf17-6e23-4f22-acc4-94f0abe349d6</t>
        </is>
      </c>
      <c r="S9" t="inlineStr">
        <is>
          <t>ganendrasatya@students.undip.ac.id</t>
        </is>
      </c>
      <c r="T9" t="n">
        <v>41.67</v>
      </c>
      <c r="U9" t="n">
        <v>68.18000000000001</v>
      </c>
      <c r="V9" t="n">
        <v>56.67</v>
      </c>
      <c r="W9" t="n">
        <v>90</v>
      </c>
      <c r="X9" t="n">
        <v>100</v>
      </c>
      <c r="Z9" t="inlineStr">
        <is>
          <t>-</t>
        </is>
      </c>
      <c r="AA9" t="n">
        <v>92</v>
      </c>
      <c r="AB9" t="n">
        <v>1782745205</v>
      </c>
    </row>
    <row r="10">
      <c r="A10" t="inlineStr">
        <is>
          <t>24060124130101</t>
        </is>
      </c>
      <c r="B10" t="inlineStr">
        <is>
          <t>GALANG BINTANG RAMADHAN</t>
        </is>
      </c>
      <c r="C10" t="n">
        <v>4</v>
      </c>
      <c r="D10" t="inlineStr">
        <is>
          <t>BARU</t>
        </is>
      </c>
      <c r="E10" s="4" t="n">
        <v>100</v>
      </c>
      <c r="F10" s="3" t="n"/>
      <c r="G10" s="3" t="n"/>
      <c r="H10" s="3" t="n"/>
      <c r="I10" s="3" t="n"/>
      <c r="J10" s="3" t="n"/>
      <c r="K10" s="2">
        <f>ROUND( ((E10*10+F10*40+G10*5+H10*5+I10*20+J10*20) / 100), 2)</f>
        <v/>
      </c>
      <c r="L10" s="2">
        <f>IF(AND(K10&gt;=85, K10&lt;=100), "A", IF(AND(K10&gt;=80, K10&lt;=84.999999999), "AB", IF(AND(K10&gt;=75, K10&lt;=79.999999999), "B", IF(AND(K10&gt;=70, K10&lt;=74.999999999), "BC", IF(AND(K10&gt;=60, K10&lt;=69.9999999999), "C", IF(AND(K10&gt;=40, K10&lt;=59.999999999), "D", IF(AND(K10&gt;=0, K10&lt;=39.999999999), "E", "E" ) ) ) ) ) ) )</f>
        <v/>
      </c>
      <c r="M10">
        <f>IF(AND(K10&gt;=85, K10&lt;=100), "4", IF(AND(K10&gt;=80, K10&lt;=84.999999999), "3.5", IF(AND(K10&gt;=75, K10&lt;=79.999999999), "3", IF(AND(K10&gt;=70, K10&lt;=74.999999999), "2.5", IF(AND(K10&gt;=60, K10&lt;=69.9999999999), "2", IF(AND(K10&gt;=40, K10&lt;=59.999999999), "1", IF(AND(K10&gt;=0, K10&lt;=39.999999999), "0", "0" ) ) ) ) ) ) )</f>
        <v/>
      </c>
      <c r="N10" t="inlineStr">
        <is>
          <t>Galang Bintang Ramadhan</t>
        </is>
      </c>
      <c r="O10" t="n">
        <v>24060124130101</v>
      </c>
      <c r="P10" t="inlineStr">
        <is>
          <t>2829bd85-1e6f-4882-a55d-613e56e88cc5</t>
        </is>
      </c>
      <c r="S10" t="inlineStr">
        <is>
          <t>galangbintang@students.undip.ac.id</t>
        </is>
      </c>
      <c r="T10" t="n">
        <v>83.33</v>
      </c>
      <c r="U10" t="n">
        <v>95.45</v>
      </c>
      <c r="V10" t="n">
        <v>66.67</v>
      </c>
      <c r="W10" t="n">
        <v>90</v>
      </c>
      <c r="X10" t="n">
        <v>100</v>
      </c>
      <c r="Z10" t="n">
        <v>9.789999999999999</v>
      </c>
      <c r="AA10" t="n">
        <v>100</v>
      </c>
      <c r="AB10" t="n">
        <v>1782745205</v>
      </c>
    </row>
    <row r="11">
      <c r="A11" t="inlineStr">
        <is>
          <t>24060124130121</t>
        </is>
      </c>
      <c r="B11" t="inlineStr">
        <is>
          <t>FAZL NIZAM PRIYAMBODHO</t>
        </is>
      </c>
      <c r="C11" t="n">
        <v>4</v>
      </c>
      <c r="D11" t="inlineStr">
        <is>
          <t>BARU</t>
        </is>
      </c>
      <c r="E11" s="4" t="n">
        <v>88</v>
      </c>
      <c r="F11" s="3" t="n"/>
      <c r="G11" s="3" t="n"/>
      <c r="H11" s="3" t="n"/>
      <c r="I11" s="3" t="n"/>
      <c r="J11" s="3" t="n"/>
      <c r="K11" s="2">
        <f>ROUND( ((E11*10+F11*40+G11*5+H11*5+I11*20+J11*20) / 100), 2)</f>
        <v/>
      </c>
      <c r="L11" s="2">
        <f>IF(AND(K11&gt;=85, K11&lt;=100), "A", IF(AND(K11&gt;=80, K11&lt;=84.999999999), "AB", IF(AND(K11&gt;=75, K11&lt;=79.999999999), "B", IF(AND(K11&gt;=70, K11&lt;=74.999999999), "BC", IF(AND(K11&gt;=60, K11&lt;=69.9999999999), "C", IF(AND(K11&gt;=40, K11&lt;=59.999999999), "D", IF(AND(K11&gt;=0, K11&lt;=39.999999999), "E", "E" ) ) ) ) ) ) )</f>
        <v/>
      </c>
      <c r="M11">
        <f>IF(AND(K11&gt;=85, K11&lt;=100), "4", IF(AND(K11&gt;=80, K11&lt;=84.999999999), "3.5", IF(AND(K11&gt;=75, K11&lt;=79.999999999), "3", IF(AND(K11&gt;=70, K11&lt;=74.999999999), "2.5", IF(AND(K11&gt;=60, K11&lt;=69.9999999999), "2", IF(AND(K11&gt;=40, K11&lt;=59.999999999), "1", IF(AND(K11&gt;=0, K11&lt;=39.999999999), "0", "0" ) ) ) ) ) ) )</f>
        <v/>
      </c>
      <c r="N11" t="inlineStr">
        <is>
          <t>Fazl Nizam Priyambodho</t>
        </is>
      </c>
      <c r="O11" t="n">
        <v>24060124130121</v>
      </c>
      <c r="P11" t="inlineStr">
        <is>
          <t>04fc40a2-f2a6-4d89-96fc-ee81ae6a6bec</t>
        </is>
      </c>
      <c r="S11" t="inlineStr">
        <is>
          <t>fazlnizampriyambodho@students.undip.ac.id</t>
        </is>
      </c>
      <c r="T11" t="n">
        <v>75</v>
      </c>
      <c r="U11" t="n">
        <v>72.73</v>
      </c>
      <c r="V11" t="n">
        <v>70</v>
      </c>
      <c r="W11" t="n">
        <v>90</v>
      </c>
      <c r="X11" t="n">
        <v>100</v>
      </c>
      <c r="Z11" t="inlineStr">
        <is>
          <t>-</t>
        </is>
      </c>
      <c r="AA11" t="n">
        <v>88</v>
      </c>
      <c r="AB11" t="n">
        <v>1782745205</v>
      </c>
    </row>
    <row r="12">
      <c r="A12" t="inlineStr">
        <is>
          <t>24060124140162</t>
        </is>
      </c>
      <c r="B12" t="inlineStr">
        <is>
          <t>GALVIN SHALAHUDIN MUMTAZ</t>
        </is>
      </c>
      <c r="C12" t="n">
        <v>4</v>
      </c>
      <c r="D12" t="inlineStr">
        <is>
          <t>BARU</t>
        </is>
      </c>
      <c r="E12" s="4" t="n">
        <v>87</v>
      </c>
      <c r="F12" s="3" t="n"/>
      <c r="G12" s="3" t="n"/>
      <c r="H12" s="3" t="n"/>
      <c r="I12" s="3" t="n"/>
      <c r="J12" s="3" t="n"/>
      <c r="K12" s="2">
        <f>ROUND( ((E12*10+F12*40+G12*5+H12*5+I12*20+J12*20) / 100), 2)</f>
        <v/>
      </c>
      <c r="L12" s="2">
        <f>IF(AND(K12&gt;=85, K12&lt;=100), "A", IF(AND(K12&gt;=80, K12&lt;=84.999999999), "AB", IF(AND(K12&gt;=75, K12&lt;=79.999999999), "B", IF(AND(K12&gt;=70, K12&lt;=74.999999999), "BC", IF(AND(K12&gt;=60, K12&lt;=69.9999999999), "C", IF(AND(K12&gt;=40, K12&lt;=59.999999999), "D", IF(AND(K12&gt;=0, K12&lt;=39.999999999), "E", "E" ) ) ) ) ) ) )</f>
        <v/>
      </c>
      <c r="M12">
        <f>IF(AND(K12&gt;=85, K12&lt;=100), "4", IF(AND(K12&gt;=80, K12&lt;=84.999999999), "3.5", IF(AND(K12&gt;=75, K12&lt;=79.999999999), "3", IF(AND(K12&gt;=70, K12&lt;=74.999999999), "2.5", IF(AND(K12&gt;=60, K12&lt;=69.9999999999), "2", IF(AND(K12&gt;=40, K12&lt;=59.999999999), "1", IF(AND(K12&gt;=0, K12&lt;=39.999999999), "0", "0" ) ) ) ) ) ) )</f>
        <v/>
      </c>
      <c r="N12" t="inlineStr">
        <is>
          <t>Galvin Shalahudin Mumtaz</t>
        </is>
      </c>
      <c r="O12" t="n">
        <v>24060124140162</v>
      </c>
      <c r="P12" t="inlineStr">
        <is>
          <t>a8a2ebef-a8e1-4ac3-b818-b3131ec7676c</t>
        </is>
      </c>
      <c r="S12" t="inlineStr">
        <is>
          <t>galvin@students.undip.ac.id</t>
        </is>
      </c>
      <c r="T12" t="n">
        <v>50</v>
      </c>
      <c r="U12" t="n">
        <v>95.45</v>
      </c>
      <c r="V12" t="n">
        <v>83.33</v>
      </c>
      <c r="W12" t="inlineStr">
        <is>
          <t>-</t>
        </is>
      </c>
      <c r="X12" t="n">
        <v>100</v>
      </c>
      <c r="Z12" t="n">
        <v>7.84</v>
      </c>
      <c r="AA12" t="n">
        <v>87</v>
      </c>
      <c r="AB12" t="n">
        <v>1782745205</v>
      </c>
    </row>
    <row r="13">
      <c r="A13" t="inlineStr">
        <is>
          <t>24060124140185</t>
        </is>
      </c>
      <c r="B13" t="inlineStr">
        <is>
          <t>FARHAN MUHTARAM</t>
        </is>
      </c>
      <c r="C13" t="n">
        <v>4</v>
      </c>
      <c r="D13" t="inlineStr">
        <is>
          <t>BARU</t>
        </is>
      </c>
      <c r="E13" s="4" t="n">
        <v>94</v>
      </c>
      <c r="F13" s="3" t="n"/>
      <c r="G13" s="3" t="n"/>
      <c r="H13" s="3" t="n"/>
      <c r="I13" s="3" t="n"/>
      <c r="J13" s="3" t="n"/>
      <c r="K13" s="2">
        <f>ROUND( ((E13*10+F13*40+G13*5+H13*5+I13*20+J13*20) / 100), 2)</f>
        <v/>
      </c>
      <c r="L13" s="2">
        <f>IF(AND(K13&gt;=85, K13&lt;=100), "A", IF(AND(K13&gt;=80, K13&lt;=84.999999999), "AB", IF(AND(K13&gt;=75, K13&lt;=79.999999999), "B", IF(AND(K13&gt;=70, K13&lt;=74.999999999), "BC", IF(AND(K13&gt;=60, K13&lt;=69.9999999999), "C", IF(AND(K13&gt;=40, K13&lt;=59.999999999), "D", IF(AND(K13&gt;=0, K13&lt;=39.999999999), "E", "E" ) ) ) ) ) ) )</f>
        <v/>
      </c>
      <c r="M13">
        <f>IF(AND(K13&gt;=85, K13&lt;=100), "4", IF(AND(K13&gt;=80, K13&lt;=84.999999999), "3.5", IF(AND(K13&gt;=75, K13&lt;=79.999999999), "3", IF(AND(K13&gt;=70, K13&lt;=74.999999999), "2.5", IF(AND(K13&gt;=60, K13&lt;=69.9999999999), "2", IF(AND(K13&gt;=40, K13&lt;=59.999999999), "1", IF(AND(K13&gt;=0, K13&lt;=39.999999999), "0", "0" ) ) ) ) ) ) )</f>
        <v/>
      </c>
      <c r="N13" t="inlineStr">
        <is>
          <t>Farhan Muhtaram</t>
        </is>
      </c>
      <c r="O13" t="n">
        <v>24060124140185</v>
      </c>
      <c r="P13" t="inlineStr">
        <is>
          <t>e6aa7bf8-45aa-4faf-b401-4bc798718a9f</t>
        </is>
      </c>
      <c r="S13" t="inlineStr">
        <is>
          <t>farhanmuhtaram@students.undip.ac.id</t>
        </is>
      </c>
      <c r="T13" t="n">
        <v>66.67</v>
      </c>
      <c r="U13" t="n">
        <v>51.52</v>
      </c>
      <c r="V13" t="n">
        <v>63.33</v>
      </c>
      <c r="W13" t="n">
        <v>88.61</v>
      </c>
      <c r="X13" t="n">
        <v>95</v>
      </c>
      <c r="Z13" t="inlineStr">
        <is>
          <t>-</t>
        </is>
      </c>
      <c r="AA13" t="n">
        <v>94</v>
      </c>
      <c r="AB13" t="n">
        <v>1782745205</v>
      </c>
    </row>
    <row r="14">
      <c r="A14" t="inlineStr">
        <is>
          <t>24060124120001</t>
        </is>
      </c>
      <c r="B14" t="inlineStr">
        <is>
          <t>RIZKY SAEFIRDAUS</t>
        </is>
      </c>
      <c r="C14" t="n">
        <v>4</v>
      </c>
      <c r="D14" t="inlineStr">
        <is>
          <t>BARU</t>
        </is>
      </c>
      <c r="E14" s="4" t="n">
        <v>98</v>
      </c>
      <c r="F14" s="3" t="n"/>
      <c r="G14" s="3" t="n"/>
      <c r="H14" s="3" t="n"/>
      <c r="I14" s="3" t="n"/>
      <c r="J14" s="3" t="n"/>
      <c r="K14" s="2">
        <f>ROUND( ((E14*10+F14*40+G14*5+H14*5+I14*20+J14*20) / 100), 2)</f>
        <v/>
      </c>
      <c r="L14" s="2">
        <f>IF(AND(K14&gt;=85, K14&lt;=100), "A", IF(AND(K14&gt;=80, K14&lt;=84.999999999), "AB", IF(AND(K14&gt;=75, K14&lt;=79.999999999), "B", IF(AND(K14&gt;=70, K14&lt;=74.999999999), "BC", IF(AND(K14&gt;=60, K14&lt;=69.9999999999), "C", IF(AND(K14&gt;=40, K14&lt;=59.999999999), "D", IF(AND(K14&gt;=0, K14&lt;=39.999999999), "E", "E" ) ) ) ) ) ) )</f>
        <v/>
      </c>
      <c r="M14">
        <f>IF(AND(K14&gt;=85, K14&lt;=100), "4", IF(AND(K14&gt;=80, K14&lt;=84.999999999), "3.5", IF(AND(K14&gt;=75, K14&lt;=79.999999999), "3", IF(AND(K14&gt;=70, K14&lt;=74.999999999), "2.5", IF(AND(K14&gt;=60, K14&lt;=69.9999999999), "2", IF(AND(K14&gt;=40, K14&lt;=59.999999999), "1", IF(AND(K14&gt;=0, K14&lt;=39.999999999), "0", "0" ) ) ) ) ) ) )</f>
        <v/>
      </c>
      <c r="N14" t="inlineStr">
        <is>
          <t>Rizky Saefirdaus</t>
        </is>
      </c>
      <c r="O14" t="n">
        <v>24060124120001</v>
      </c>
      <c r="P14" t="inlineStr">
        <is>
          <t>025c65de-44f5-4ffb-bbf4-461e11f9468a</t>
        </is>
      </c>
      <c r="S14" t="inlineStr">
        <is>
          <t>saefirdaus@students.undip.ac.id</t>
        </is>
      </c>
      <c r="T14" t="n">
        <v>50</v>
      </c>
      <c r="U14" t="n">
        <v>72.73</v>
      </c>
      <c r="V14" t="n">
        <v>26.67</v>
      </c>
      <c r="W14" t="n">
        <v>93.33</v>
      </c>
      <c r="X14" t="n">
        <v>95</v>
      </c>
      <c r="Z14" t="n">
        <v>9.789999999999999</v>
      </c>
      <c r="AA14" t="n">
        <v>98</v>
      </c>
      <c r="AB14" t="n">
        <v>1782745205</v>
      </c>
    </row>
    <row r="15">
      <c r="A15" t="inlineStr">
        <is>
          <t>24060124120043</t>
        </is>
      </c>
      <c r="B15" t="inlineStr">
        <is>
          <t>SYIFA AENI MUDRIKAH</t>
        </is>
      </c>
      <c r="C15" t="n">
        <v>4</v>
      </c>
      <c r="D15" t="inlineStr">
        <is>
          <t>BARU</t>
        </is>
      </c>
      <c r="E15" s="4" t="n">
        <v>95</v>
      </c>
      <c r="F15" s="3" t="n"/>
      <c r="G15" s="3" t="n"/>
      <c r="H15" s="3" t="n"/>
      <c r="I15" s="3" t="n"/>
      <c r="J15" s="3" t="n"/>
      <c r="K15" s="2">
        <f>ROUND( ((E15*10+F15*40+G15*5+H15*5+I15*20+J15*20) / 100), 2)</f>
        <v/>
      </c>
      <c r="L15" s="2">
        <f>IF(AND(K15&gt;=85, K15&lt;=100), "A", IF(AND(K15&gt;=80, K15&lt;=84.999999999), "AB", IF(AND(K15&gt;=75, K15&lt;=79.999999999), "B", IF(AND(K15&gt;=70, K15&lt;=74.999999999), "BC", IF(AND(K15&gt;=60, K15&lt;=69.9999999999), "C", IF(AND(K15&gt;=40, K15&lt;=59.999999999), "D", IF(AND(K15&gt;=0, K15&lt;=39.999999999), "E", "E" ) ) ) ) ) ) )</f>
        <v/>
      </c>
      <c r="M15">
        <f>IF(AND(K15&gt;=85, K15&lt;=100), "4", IF(AND(K15&gt;=80, K15&lt;=84.999999999), "3.5", IF(AND(K15&gt;=75, K15&lt;=79.999999999), "3", IF(AND(K15&gt;=70, K15&lt;=74.999999999), "2.5", IF(AND(K15&gt;=60, K15&lt;=69.9999999999), "2", IF(AND(K15&gt;=40, K15&lt;=59.999999999), "1", IF(AND(K15&gt;=0, K15&lt;=39.999999999), "0", "0" ) ) ) ) ) ) )</f>
        <v/>
      </c>
      <c r="N15" t="inlineStr">
        <is>
          <t>Syifa Aeni Mudrikah</t>
        </is>
      </c>
      <c r="O15" t="n">
        <v>24060124120043</v>
      </c>
      <c r="P15" t="inlineStr">
        <is>
          <t>5fc98607-6d44-4154-b85c-a80c2976ed46</t>
        </is>
      </c>
      <c r="S15" t="inlineStr">
        <is>
          <t>syifaaenimudrikah@students.undip.ac.id</t>
        </is>
      </c>
      <c r="T15" t="n">
        <v>75</v>
      </c>
      <c r="U15" t="n">
        <v>90.91</v>
      </c>
      <c r="V15" t="n">
        <v>73.33</v>
      </c>
      <c r="W15" t="n">
        <v>90</v>
      </c>
      <c r="X15" t="n">
        <v>90</v>
      </c>
      <c r="Z15" t="n">
        <v>8.970000000000001</v>
      </c>
      <c r="AA15" t="n">
        <v>95</v>
      </c>
      <c r="AB15" t="n">
        <v>1782745205</v>
      </c>
    </row>
    <row r="16">
      <c r="A16" t="inlineStr">
        <is>
          <t>24060124130071</t>
        </is>
      </c>
      <c r="B16" t="inlineStr">
        <is>
          <t>RAFI ANANDRA DHARMAWAN</t>
        </is>
      </c>
      <c r="C16" t="n">
        <v>4</v>
      </c>
      <c r="D16" t="inlineStr">
        <is>
          <t>BARU</t>
        </is>
      </c>
      <c r="E16" s="4" t="n">
        <v>98</v>
      </c>
      <c r="F16" s="3" t="n"/>
      <c r="G16" s="3" t="n"/>
      <c r="H16" s="3" t="n"/>
      <c r="I16" s="3" t="n"/>
      <c r="J16" s="3" t="n"/>
      <c r="K16" s="2">
        <f>ROUND( ((E16*10+F16*40+G16*5+H16*5+I16*20+J16*20) / 100), 2)</f>
        <v/>
      </c>
      <c r="L16" s="2">
        <f>IF(AND(K16&gt;=85, K16&lt;=100), "A", IF(AND(K16&gt;=80, K16&lt;=84.999999999), "AB", IF(AND(K16&gt;=75, K16&lt;=79.999999999), "B", IF(AND(K16&gt;=70, K16&lt;=74.999999999), "BC", IF(AND(K16&gt;=60, K16&lt;=69.9999999999), "C", IF(AND(K16&gt;=40, K16&lt;=59.999999999), "D", IF(AND(K16&gt;=0, K16&lt;=39.999999999), "E", "E" ) ) ) ) ) ) )</f>
        <v/>
      </c>
      <c r="M16">
        <f>IF(AND(K16&gt;=85, K16&lt;=100), "4", IF(AND(K16&gt;=80, K16&lt;=84.999999999), "3.5", IF(AND(K16&gt;=75, K16&lt;=79.999999999), "3", IF(AND(K16&gt;=70, K16&lt;=74.999999999), "2.5", IF(AND(K16&gt;=60, K16&lt;=69.9999999999), "2", IF(AND(K16&gt;=40, K16&lt;=59.999999999), "1", IF(AND(K16&gt;=0, K16&lt;=39.999999999), "0", "0" ) ) ) ) ) ) )</f>
        <v/>
      </c>
      <c r="N16" t="inlineStr">
        <is>
          <t>Rafi Anandra Dharmawan</t>
        </is>
      </c>
      <c r="O16" t="n">
        <v>24060124130071</v>
      </c>
      <c r="P16" t="inlineStr">
        <is>
          <t>291e39af-c4fa-4ae9-8643-6494da5278be</t>
        </is>
      </c>
      <c r="S16" t="inlineStr">
        <is>
          <t>rafianandra@students.undip.ac.id</t>
        </is>
      </c>
      <c r="T16" t="n">
        <v>75</v>
      </c>
      <c r="U16" t="n">
        <v>92.42</v>
      </c>
      <c r="V16" t="n">
        <v>80</v>
      </c>
      <c r="W16" t="n">
        <v>96.67</v>
      </c>
      <c r="X16" t="n">
        <v>85</v>
      </c>
      <c r="Z16" t="n">
        <v>8.779999999999999</v>
      </c>
      <c r="AA16" t="n">
        <v>98</v>
      </c>
      <c r="AB16" t="n">
        <v>1782745205</v>
      </c>
    </row>
    <row r="17">
      <c r="A17" t="inlineStr">
        <is>
          <t>24060124130078</t>
        </is>
      </c>
      <c r="B17" t="inlineStr">
        <is>
          <t>RESTU SURYA (&lt; 75%)</t>
        </is>
      </c>
      <c r="C17" t="n">
        <v>4</v>
      </c>
      <c r="D17" t="inlineStr">
        <is>
          <t>BARU</t>
        </is>
      </c>
      <c r="E17" s="4" t="n"/>
      <c r="F17" s="3" t="n"/>
      <c r="G17" s="3" t="n"/>
      <c r="H17" s="3" t="n"/>
      <c r="I17" s="3" t="n"/>
      <c r="J17" s="2" t="n"/>
      <c r="K17" s="2">
        <f>ROUND( ((E17*10+F17*40+G17*5+H17*5+I17*20+J17*20) / 100), 2)</f>
        <v/>
      </c>
      <c r="L17" s="2">
        <f>IF(AND(K17&gt;=85, K17&lt;=100), "A", IF(AND(K17&gt;=80, K17&lt;=84.999999999), "AB", IF(AND(K17&gt;=75, K17&lt;=79.999999999), "B", IF(AND(K17&gt;=70, K17&lt;=74.999999999), "BC", IF(AND(K17&gt;=60, K17&lt;=69.9999999999), "C", IF(AND(K17&gt;=40, K17&lt;=59.999999999), "D", IF(AND(K17&gt;=0, K17&lt;=39.999999999), "E", "E" ) ) ) ) ) ) )</f>
        <v/>
      </c>
      <c r="M17">
        <f>IF(AND(K17&gt;=85, K17&lt;=100), "4", IF(AND(K17&gt;=80, K17&lt;=84.999999999), "3.5", IF(AND(K17&gt;=75, K17&lt;=79.999999999), "3", IF(AND(K17&gt;=70, K17&lt;=74.999999999), "2.5", IF(AND(K17&gt;=60, K17&lt;=69.9999999999), "2", IF(AND(K17&gt;=40, K17&lt;=59.999999999), "1", IF(AND(K17&gt;=0, K17&lt;=39.999999999), "0", "0" ) ) ) ) ) ) )</f>
        <v/>
      </c>
    </row>
    <row r="18">
      <c r="A18" t="inlineStr">
        <is>
          <t>24060124130085</t>
        </is>
      </c>
      <c r="B18" t="inlineStr">
        <is>
          <t>RAFFA PUTRA NUGROHO</t>
        </is>
      </c>
      <c r="C18" t="n">
        <v>4</v>
      </c>
      <c r="D18" t="inlineStr">
        <is>
          <t>BARU</t>
        </is>
      </c>
      <c r="E18" s="4" t="n">
        <v>93</v>
      </c>
      <c r="F18" s="3" t="n"/>
      <c r="G18" s="3" t="n"/>
      <c r="H18" s="3" t="n"/>
      <c r="I18" s="3" t="n"/>
      <c r="J18" s="3" t="n"/>
      <c r="K18" s="2">
        <f>ROUND( ((E18*10+F18*40+G18*5+H18*5+I18*20+J18*20) / 100), 2)</f>
        <v/>
      </c>
      <c r="L18" s="2">
        <f>IF(AND(K18&gt;=85, K18&lt;=100), "A", IF(AND(K18&gt;=80, K18&lt;=84.999999999), "AB", IF(AND(K18&gt;=75, K18&lt;=79.999999999), "B", IF(AND(K18&gt;=70, K18&lt;=74.999999999), "BC", IF(AND(K18&gt;=60, K18&lt;=69.9999999999), "C", IF(AND(K18&gt;=40, K18&lt;=59.999999999), "D", IF(AND(K18&gt;=0, K18&lt;=39.999999999), "E", "E" ) ) ) ) ) ) )</f>
        <v/>
      </c>
      <c r="M18">
        <f>IF(AND(K18&gt;=85, K18&lt;=100), "4", IF(AND(K18&gt;=80, K18&lt;=84.999999999), "3.5", IF(AND(K18&gt;=75, K18&lt;=79.999999999), "3", IF(AND(K18&gt;=70, K18&lt;=74.999999999), "2.5", IF(AND(K18&gt;=60, K18&lt;=69.9999999999), "2", IF(AND(K18&gt;=40, K18&lt;=59.999999999), "1", IF(AND(K18&gt;=0, K18&lt;=39.999999999), "0", "0" ) ) ) ) ) ) )</f>
        <v/>
      </c>
      <c r="N18" t="inlineStr">
        <is>
          <t>Raffa Putra Nugroho</t>
        </is>
      </c>
      <c r="O18" t="n">
        <v>24060124130085</v>
      </c>
      <c r="P18" t="inlineStr">
        <is>
          <t>73297ac4-2e3f-4d82-80ef-2caea3944731</t>
        </is>
      </c>
      <c r="S18" t="inlineStr">
        <is>
          <t>raffaputnugr0@students.undip.ac.id</t>
        </is>
      </c>
      <c r="T18" t="inlineStr">
        <is>
          <t>-</t>
        </is>
      </c>
      <c r="U18" t="n">
        <v>86.36</v>
      </c>
      <c r="V18" t="n">
        <v>56.67</v>
      </c>
      <c r="W18" t="n">
        <v>94.44</v>
      </c>
      <c r="X18" t="n">
        <v>85</v>
      </c>
      <c r="Z18" t="inlineStr">
        <is>
          <t>-</t>
        </is>
      </c>
      <c r="AA18" t="n">
        <v>93</v>
      </c>
      <c r="AB18" t="n">
        <v>1782745205</v>
      </c>
    </row>
    <row r="19">
      <c r="A19" t="inlineStr">
        <is>
          <t>24060124130106</t>
        </is>
      </c>
      <c r="B19" t="inlineStr">
        <is>
          <t>SHOFWAN FIKRUL HUDA</t>
        </is>
      </c>
      <c r="C19" t="n">
        <v>4</v>
      </c>
      <c r="D19" t="inlineStr">
        <is>
          <t>BARU</t>
        </is>
      </c>
      <c r="E19" s="4" t="n">
        <v>89.33</v>
      </c>
      <c r="F19" s="3" t="n"/>
      <c r="G19" s="3" t="n"/>
      <c r="H19" s="3" t="n"/>
      <c r="I19" s="3" t="n"/>
      <c r="J19" s="3" t="n"/>
      <c r="K19" s="2">
        <f>ROUND( ((E19*10+F19*40+G19*5+H19*5+I19*20+J19*20) / 100), 2)</f>
        <v/>
      </c>
      <c r="L19" s="2">
        <f>IF(AND(K19&gt;=85, K19&lt;=100), "A", IF(AND(K19&gt;=80, K19&lt;=84.999999999), "AB", IF(AND(K19&gt;=75, K19&lt;=79.999999999), "B", IF(AND(K19&gt;=70, K19&lt;=74.999999999), "BC", IF(AND(K19&gt;=60, K19&lt;=69.9999999999), "C", IF(AND(K19&gt;=40, K19&lt;=59.999999999), "D", IF(AND(K19&gt;=0, K19&lt;=39.999999999), "E", "E" ) ) ) ) ) ) )</f>
        <v/>
      </c>
      <c r="M19">
        <f>IF(AND(K19&gt;=85, K19&lt;=100), "4", IF(AND(K19&gt;=80, K19&lt;=84.999999999), "3.5", IF(AND(K19&gt;=75, K19&lt;=79.999999999), "3", IF(AND(K19&gt;=70, K19&lt;=74.999999999), "2.5", IF(AND(K19&gt;=60, K19&lt;=69.9999999999), "2", IF(AND(K19&gt;=40, K19&lt;=59.999999999), "1", IF(AND(K19&gt;=0, K19&lt;=39.999999999), "0", "0" ) ) ) ) ) ) )</f>
        <v/>
      </c>
      <c r="N19" t="inlineStr">
        <is>
          <t>Shofwan Fikrul Huda</t>
        </is>
      </c>
      <c r="O19" t="n">
        <v>24060124130106</v>
      </c>
      <c r="P19" t="inlineStr">
        <is>
          <t>691eb548-58f9-43e1-9e7b-9ac0c4c017cf</t>
        </is>
      </c>
      <c r="S19" t="inlineStr">
        <is>
          <t>shofwanfikrulhuda@students.undip.ac.id</t>
        </is>
      </c>
      <c r="T19" t="n">
        <v>75</v>
      </c>
      <c r="U19" t="n">
        <v>86.36</v>
      </c>
      <c r="V19" t="n">
        <v>76.67</v>
      </c>
      <c r="W19" t="n">
        <v>89.44</v>
      </c>
      <c r="X19" t="n">
        <v>100</v>
      </c>
      <c r="Z19" t="inlineStr">
        <is>
          <t>-</t>
        </is>
      </c>
      <c r="AA19" t="n">
        <v>89.33</v>
      </c>
      <c r="AB19" t="n">
        <v>1782745205</v>
      </c>
    </row>
    <row r="20">
      <c r="A20" t="inlineStr">
        <is>
          <t>24060124140146</t>
        </is>
      </c>
      <c r="B20" t="inlineStr">
        <is>
          <t>SHAFA AQILLA ZAHIRA</t>
        </is>
      </c>
      <c r="C20" t="n">
        <v>4</v>
      </c>
      <c r="D20" t="inlineStr">
        <is>
          <t>BARU</t>
        </is>
      </c>
      <c r="E20" s="4" t="n">
        <v>92</v>
      </c>
      <c r="F20" s="3" t="n"/>
      <c r="G20" s="3" t="n"/>
      <c r="H20" s="3" t="n"/>
      <c r="I20" s="3" t="n"/>
      <c r="J20" s="3" t="n"/>
      <c r="K20" s="2">
        <f>ROUND( ((E20*10+F20*40+G20*5+H20*5+I20*20+J20*20) / 100), 2)</f>
        <v/>
      </c>
      <c r="L20" s="2">
        <f>IF(AND(K20&gt;=85, K20&lt;=100), "A", IF(AND(K20&gt;=80, K20&lt;=84.999999999), "AB", IF(AND(K20&gt;=75, K20&lt;=79.999999999), "B", IF(AND(K20&gt;=70, K20&lt;=74.999999999), "BC", IF(AND(K20&gt;=60, K20&lt;=69.9999999999), "C", IF(AND(K20&gt;=40, K20&lt;=59.999999999), "D", IF(AND(K20&gt;=0, K20&lt;=39.999999999), "E", "E" ) ) ) ) ) ) )</f>
        <v/>
      </c>
      <c r="M20">
        <f>IF(AND(K20&gt;=85, K20&lt;=100), "4", IF(AND(K20&gt;=80, K20&lt;=84.999999999), "3.5", IF(AND(K20&gt;=75, K20&lt;=79.999999999), "3", IF(AND(K20&gt;=70, K20&lt;=74.999999999), "2.5", IF(AND(K20&gt;=60, K20&lt;=69.9999999999), "2", IF(AND(K20&gt;=40, K20&lt;=59.999999999), "1", IF(AND(K20&gt;=0, K20&lt;=39.999999999), "0", "0" ) ) ) ) ) ) )</f>
        <v/>
      </c>
      <c r="N20" t="inlineStr">
        <is>
          <t>Shafa Aqilla Zahira</t>
        </is>
      </c>
      <c r="O20" t="n">
        <v>24060124140146</v>
      </c>
      <c r="P20" t="inlineStr">
        <is>
          <t>c78e8a5a-0831-401f-994b-384ce1559204</t>
        </is>
      </c>
      <c r="S20" t="inlineStr">
        <is>
          <t>shafaaqillazahira@students.undip.ac.id</t>
        </is>
      </c>
      <c r="T20" t="n">
        <v>50</v>
      </c>
      <c r="U20" t="n">
        <v>54.55</v>
      </c>
      <c r="V20" t="n">
        <v>63.33</v>
      </c>
      <c r="W20" t="n">
        <v>93.33</v>
      </c>
      <c r="X20" t="n">
        <v>90</v>
      </c>
      <c r="Z20" t="inlineStr">
        <is>
          <t>-</t>
        </is>
      </c>
      <c r="AA20" t="n">
        <v>92</v>
      </c>
      <c r="AB20" t="n">
        <v>1782745205</v>
      </c>
    </row>
    <row r="21">
      <c r="A21" t="inlineStr">
        <is>
          <t>24060124140155</t>
        </is>
      </c>
      <c r="B21" t="inlineStr">
        <is>
          <t>REVALINA SALWA ALIYA WICAKSONO PRABOWO</t>
        </is>
      </c>
      <c r="C21" t="n">
        <v>4</v>
      </c>
      <c r="D21" t="inlineStr">
        <is>
          <t>BARU</t>
        </is>
      </c>
      <c r="E21" s="4" t="n">
        <v>92</v>
      </c>
      <c r="F21" s="3" t="n"/>
      <c r="G21" s="3" t="n"/>
      <c r="H21" s="3" t="n"/>
      <c r="I21" s="3" t="n"/>
      <c r="J21" s="3" t="n"/>
      <c r="K21" s="2">
        <f>ROUND( ((E21*10+F21*40+G21*5+H21*5+I21*20+J21*20) / 100), 2)</f>
        <v/>
      </c>
      <c r="L21" s="2">
        <f>IF(AND(K21&gt;=85, K21&lt;=100), "A", IF(AND(K21&gt;=80, K21&lt;=84.999999999), "AB", IF(AND(K21&gt;=75, K21&lt;=79.999999999), "B", IF(AND(K21&gt;=70, K21&lt;=74.999999999), "BC", IF(AND(K21&gt;=60, K21&lt;=69.9999999999), "C", IF(AND(K21&gt;=40, K21&lt;=59.999999999), "D", IF(AND(K21&gt;=0, K21&lt;=39.999999999), "E", "E" ) ) ) ) ) ) )</f>
        <v/>
      </c>
      <c r="M21">
        <f>IF(AND(K21&gt;=85, K21&lt;=100), "4", IF(AND(K21&gt;=80, K21&lt;=84.999999999), "3.5", IF(AND(K21&gt;=75, K21&lt;=79.999999999), "3", IF(AND(K21&gt;=70, K21&lt;=74.999999999), "2.5", IF(AND(K21&gt;=60, K21&lt;=69.9999999999), "2", IF(AND(K21&gt;=40, K21&lt;=59.999999999), "1", IF(AND(K21&gt;=0, K21&lt;=39.999999999), "0", "0" ) ) ) ) ) ) )</f>
        <v/>
      </c>
      <c r="N21" t="inlineStr">
        <is>
          <t>Revalina Salwa Aliya Wicaksono Prabowo</t>
        </is>
      </c>
      <c r="O21" t="n">
        <v>24060124140155</v>
      </c>
      <c r="P21" t="inlineStr">
        <is>
          <t>597859a9-c1eb-4ab3-9b2e-f3749dd367f7</t>
        </is>
      </c>
      <c r="S21" t="inlineStr">
        <is>
          <t>revalinasaliya@students.undip.ac.id</t>
        </is>
      </c>
      <c r="T21" t="inlineStr">
        <is>
          <t>-</t>
        </is>
      </c>
      <c r="U21" t="n">
        <v>77.27</v>
      </c>
      <c r="V21" t="n">
        <v>86.67</v>
      </c>
      <c r="W21" t="n">
        <v>86.67</v>
      </c>
      <c r="X21" t="n">
        <v>90</v>
      </c>
      <c r="Z21" t="inlineStr">
        <is>
          <t>-</t>
        </is>
      </c>
      <c r="AA21" t="n">
        <v>92</v>
      </c>
      <c r="AB21" t="n">
        <v>1782745205</v>
      </c>
    </row>
    <row r="22">
      <c r="A22" t="inlineStr">
        <is>
          <t>24060124140157</t>
        </is>
      </c>
      <c r="B22" t="inlineStr">
        <is>
          <t>REYNALDI BERTINUS HUTAGAOL</t>
        </is>
      </c>
      <c r="C22" t="n">
        <v>4</v>
      </c>
      <c r="D22" t="inlineStr">
        <is>
          <t>BARU</t>
        </is>
      </c>
      <c r="E22" s="4" t="n">
        <v>96</v>
      </c>
      <c r="F22" s="3" t="n"/>
      <c r="G22" s="3" t="n"/>
      <c r="H22" s="3" t="n"/>
      <c r="I22" s="3" t="n"/>
      <c r="J22" s="3" t="n"/>
      <c r="K22" s="2">
        <f>ROUND( ((E22*10+F22*40+G22*5+H22*5+I22*20+J22*20) / 100), 2)</f>
        <v/>
      </c>
      <c r="L22" s="2">
        <f>IF(AND(K22&gt;=85, K22&lt;=100), "A", IF(AND(K22&gt;=80, K22&lt;=84.999999999), "AB", IF(AND(K22&gt;=75, K22&lt;=79.999999999), "B", IF(AND(K22&gt;=70, K22&lt;=74.999999999), "BC", IF(AND(K22&gt;=60, K22&lt;=69.9999999999), "C", IF(AND(K22&gt;=40, K22&lt;=59.999999999), "D", IF(AND(K22&gt;=0, K22&lt;=39.999999999), "E", "E" ) ) ) ) ) ) )</f>
        <v/>
      </c>
      <c r="M22">
        <f>IF(AND(K22&gt;=85, K22&lt;=100), "4", IF(AND(K22&gt;=80, K22&lt;=84.999999999), "3.5", IF(AND(K22&gt;=75, K22&lt;=79.999999999), "3", IF(AND(K22&gt;=70, K22&lt;=74.999999999), "2.5", IF(AND(K22&gt;=60, K22&lt;=69.9999999999), "2", IF(AND(K22&gt;=40, K22&lt;=59.999999999), "1", IF(AND(K22&gt;=0, K22&lt;=39.999999999), "0", "0" ) ) ) ) ) ) )</f>
        <v/>
      </c>
      <c r="N22" t="inlineStr">
        <is>
          <t>Reynaldi Bertinus Hutagaol</t>
        </is>
      </c>
      <c r="O22" t="n">
        <v>24060124140157</v>
      </c>
      <c r="P22" t="inlineStr">
        <is>
          <t>f92fc13b-312b-43f3-a1df-37a03703561d</t>
        </is>
      </c>
      <c r="S22" t="inlineStr">
        <is>
          <t>reynaldihutagaol@students.undip.ac.id</t>
        </is>
      </c>
      <c r="T22" t="n">
        <v>75</v>
      </c>
      <c r="U22" t="n">
        <v>90.91</v>
      </c>
      <c r="V22" t="n">
        <v>63.33</v>
      </c>
      <c r="W22" t="n">
        <v>93.33</v>
      </c>
      <c r="X22" t="n">
        <v>95</v>
      </c>
      <c r="Z22" t="n">
        <v>9.48</v>
      </c>
      <c r="AA22" t="n">
        <v>96</v>
      </c>
      <c r="AB22" t="n">
        <v>1782745205</v>
      </c>
    </row>
    <row r="23">
      <c r="A23" t="inlineStr">
        <is>
          <t>24060124140178</t>
        </is>
      </c>
      <c r="B23" t="inlineStr">
        <is>
          <t>RAIHAN LAZUARDI</t>
        </is>
      </c>
      <c r="C23" t="n">
        <v>4</v>
      </c>
      <c r="D23" t="inlineStr">
        <is>
          <t>BARU</t>
        </is>
      </c>
      <c r="E23" s="4" t="n">
        <v>96</v>
      </c>
      <c r="F23" s="3" t="n"/>
      <c r="G23" s="3" t="n"/>
      <c r="H23" s="3" t="n"/>
      <c r="I23" s="3" t="n"/>
      <c r="J23" s="3" t="n"/>
      <c r="K23" s="2">
        <f>ROUND( ((E23*10+F23*40+G23*5+H23*5+I23*20+J23*20) / 100), 2)</f>
        <v/>
      </c>
      <c r="L23" s="2">
        <f>IF(AND(K23&gt;=85, K23&lt;=100), "A", IF(AND(K23&gt;=80, K23&lt;=84.999999999), "AB", IF(AND(K23&gt;=75, K23&lt;=79.999999999), "B", IF(AND(K23&gt;=70, K23&lt;=74.999999999), "BC", IF(AND(K23&gt;=60, K23&lt;=69.9999999999), "C", IF(AND(K23&gt;=40, K23&lt;=59.999999999), "D", IF(AND(K23&gt;=0, K23&lt;=39.999999999), "E", "E" ) ) ) ) ) ) )</f>
        <v/>
      </c>
      <c r="M23">
        <f>IF(AND(K23&gt;=85, K23&lt;=100), "4", IF(AND(K23&gt;=80, K23&lt;=84.999999999), "3.5", IF(AND(K23&gt;=75, K23&lt;=79.999999999), "3", IF(AND(K23&gt;=70, K23&lt;=74.999999999), "2.5", IF(AND(K23&gt;=60, K23&lt;=69.9999999999), "2", IF(AND(K23&gt;=40, K23&lt;=59.999999999), "1", IF(AND(K23&gt;=0, K23&lt;=39.999999999), "0", "0" ) ) ) ) ) ) )</f>
        <v/>
      </c>
      <c r="N23" t="inlineStr">
        <is>
          <t>Raihan Lazuardi</t>
        </is>
      </c>
      <c r="O23" t="n">
        <v>24060124140178</v>
      </c>
      <c r="P23" t="inlineStr">
        <is>
          <t>fe6d6ef2-571f-4010-b827-9a40afea4300</t>
        </is>
      </c>
      <c r="S23" t="inlineStr">
        <is>
          <t>raihanlazuardi@students.undip.ac.id</t>
        </is>
      </c>
      <c r="T23" t="n">
        <v>58.33</v>
      </c>
      <c r="U23" t="n">
        <v>86.36</v>
      </c>
      <c r="V23" t="n">
        <v>86.67</v>
      </c>
      <c r="W23" t="n">
        <v>100</v>
      </c>
      <c r="X23" t="n">
        <v>85</v>
      </c>
      <c r="Z23" t="inlineStr">
        <is>
          <t>-</t>
        </is>
      </c>
      <c r="AA23" t="n">
        <v>96</v>
      </c>
      <c r="AB23" t="n">
        <v>1782745205</v>
      </c>
    </row>
    <row r="24">
      <c r="A24" t="inlineStr">
        <is>
          <t>24060124120017</t>
        </is>
      </c>
      <c r="B24" t="inlineStr">
        <is>
          <t>LINTANG AULIA NURAINI</t>
        </is>
      </c>
      <c r="C24" t="n">
        <v>4</v>
      </c>
      <c r="D24" t="inlineStr">
        <is>
          <t>BARU</t>
        </is>
      </c>
      <c r="E24" s="4" t="n">
        <v>97</v>
      </c>
      <c r="F24" s="3" t="n"/>
      <c r="G24" s="3" t="n"/>
      <c r="H24" s="3" t="n"/>
      <c r="I24" s="3" t="n"/>
      <c r="J24" s="3" t="n"/>
      <c r="K24" s="2">
        <f>ROUND( ((E24*10+F24*40+G24*5+H24*5+I24*20+J24*20) / 100), 2)</f>
        <v/>
      </c>
      <c r="L24" s="2">
        <f>IF(AND(K24&gt;=85, K24&lt;=100), "A", IF(AND(K24&gt;=80, K24&lt;=84.999999999), "AB", IF(AND(K24&gt;=75, K24&lt;=79.999999999), "B", IF(AND(K24&gt;=70, K24&lt;=74.999999999), "BC", IF(AND(K24&gt;=60, K24&lt;=69.9999999999), "C", IF(AND(K24&gt;=40, K24&lt;=59.999999999), "D", IF(AND(K24&gt;=0, K24&lt;=39.999999999), "E", "E" ) ) ) ) ) ) )</f>
        <v/>
      </c>
      <c r="M24">
        <f>IF(AND(K24&gt;=85, K24&lt;=100), "4", IF(AND(K24&gt;=80, K24&lt;=84.999999999), "3.5", IF(AND(K24&gt;=75, K24&lt;=79.999999999), "3", IF(AND(K24&gt;=70, K24&lt;=74.999999999), "2.5", IF(AND(K24&gt;=60, K24&lt;=69.9999999999), "2", IF(AND(K24&gt;=40, K24&lt;=59.999999999), "1", IF(AND(K24&gt;=0, K24&lt;=39.999999999), "0", "0" ) ) ) ) ) ) )</f>
        <v/>
      </c>
      <c r="N24" t="inlineStr">
        <is>
          <t>Lintang Aulia Nuraini</t>
        </is>
      </c>
      <c r="O24" t="n">
        <v>24060124120017</v>
      </c>
      <c r="P24" t="inlineStr">
        <is>
          <t>82ca6965-edbf-4d20-9bbc-ca193d79dd75</t>
        </is>
      </c>
      <c r="S24" t="inlineStr">
        <is>
          <t>lintangaulianuraini@students.undip.ac.id</t>
        </is>
      </c>
      <c r="T24" t="n">
        <v>66.67</v>
      </c>
      <c r="U24" t="n">
        <v>95.45</v>
      </c>
      <c r="V24" t="n">
        <v>93.33</v>
      </c>
      <c r="W24" t="n">
        <v>91.67</v>
      </c>
      <c r="X24" t="n">
        <v>85</v>
      </c>
      <c r="Z24" t="n">
        <v>8.66</v>
      </c>
      <c r="AA24" t="n">
        <v>97</v>
      </c>
      <c r="AB24" t="n">
        <v>1782745205</v>
      </c>
    </row>
    <row r="25">
      <c r="A25" t="inlineStr">
        <is>
          <t>24060124130077</t>
        </is>
      </c>
      <c r="B25" t="inlineStr">
        <is>
          <t>LAURENSIUS BRIAN PRAYOGA</t>
        </is>
      </c>
      <c r="C25" t="n">
        <v>4</v>
      </c>
      <c r="D25" t="inlineStr">
        <is>
          <t>BARU</t>
        </is>
      </c>
      <c r="E25" s="4" t="n">
        <v>84</v>
      </c>
      <c r="F25" s="3" t="n"/>
      <c r="G25" s="3" t="n"/>
      <c r="H25" s="3" t="n"/>
      <c r="I25" s="3" t="n"/>
      <c r="J25" s="3" t="n"/>
      <c r="K25" s="2">
        <f>ROUND( ((E25*10+F25*40+G25*5+H25*5+I25*20+J25*20) / 100), 2)</f>
        <v/>
      </c>
      <c r="L25" s="2">
        <f>IF(AND(K25&gt;=85, K25&lt;=100), "A", IF(AND(K25&gt;=80, K25&lt;=84.999999999), "AB", IF(AND(K25&gt;=75, K25&lt;=79.999999999), "B", IF(AND(K25&gt;=70, K25&lt;=74.999999999), "BC", IF(AND(K25&gt;=60, K25&lt;=69.9999999999), "C", IF(AND(K25&gt;=40, K25&lt;=59.999999999), "D", IF(AND(K25&gt;=0, K25&lt;=39.999999999), "E", "E" ) ) ) ) ) ) )</f>
        <v/>
      </c>
      <c r="M25">
        <f>IF(AND(K25&gt;=85, K25&lt;=100), "4", IF(AND(K25&gt;=80, K25&lt;=84.999999999), "3.5", IF(AND(K25&gt;=75, K25&lt;=79.999999999), "3", IF(AND(K25&gt;=70, K25&lt;=74.999999999), "2.5", IF(AND(K25&gt;=60, K25&lt;=69.9999999999), "2", IF(AND(K25&gt;=40, K25&lt;=59.999999999), "1", IF(AND(K25&gt;=0, K25&lt;=39.999999999), "0", "0" ) ) ) ) ) ) )</f>
        <v/>
      </c>
      <c r="N25" t="inlineStr">
        <is>
          <t>Laurensius Brian Prayoga</t>
        </is>
      </c>
      <c r="O25" t="n">
        <v>24060124130077</v>
      </c>
      <c r="P25" t="inlineStr">
        <is>
          <t>61e63fbc-e9d2-4c66-9c5b-c85cbefabf1a</t>
        </is>
      </c>
      <c r="S25" t="inlineStr">
        <is>
          <t>lbrianprayoga18@students.undip.ac.id</t>
        </is>
      </c>
      <c r="T25" t="n">
        <v>75</v>
      </c>
      <c r="U25" t="n">
        <v>78.79000000000001</v>
      </c>
      <c r="V25" t="n">
        <v>66.67</v>
      </c>
      <c r="W25" t="n">
        <v>96.67</v>
      </c>
      <c r="X25" t="n">
        <v>85</v>
      </c>
      <c r="Z25" t="n">
        <v>8.380000000000001</v>
      </c>
      <c r="AA25" t="n">
        <v>84</v>
      </c>
      <c r="AB25" t="n">
        <v>1782745205</v>
      </c>
    </row>
    <row r="26">
      <c r="A26" t="inlineStr">
        <is>
          <t>24060124130094</t>
        </is>
      </c>
      <c r="B26" t="inlineStr">
        <is>
          <t>MOSES MORELL YOSEFAN</t>
        </is>
      </c>
      <c r="C26" t="n">
        <v>4</v>
      </c>
      <c r="D26" t="inlineStr">
        <is>
          <t>BARU</t>
        </is>
      </c>
      <c r="E26" s="4" t="n">
        <v>94</v>
      </c>
      <c r="F26" s="3" t="n"/>
      <c r="G26" s="3" t="n"/>
      <c r="H26" s="3" t="n"/>
      <c r="I26" s="3" t="n"/>
      <c r="J26" s="3" t="n"/>
      <c r="K26" s="2">
        <f>ROUND( ((E26*10+F26*40+G26*5+H26*5+I26*20+J26*20) / 100), 2)</f>
        <v/>
      </c>
      <c r="L26" s="2">
        <f>IF(AND(K26&gt;=85, K26&lt;=100), "A", IF(AND(K26&gt;=80, K26&lt;=84.999999999), "AB", IF(AND(K26&gt;=75, K26&lt;=79.999999999), "B", IF(AND(K26&gt;=70, K26&lt;=74.999999999), "BC", IF(AND(K26&gt;=60, K26&lt;=69.9999999999), "C", IF(AND(K26&gt;=40, K26&lt;=59.999999999), "D", IF(AND(K26&gt;=0, K26&lt;=39.999999999), "E", "E" ) ) ) ) ) ) )</f>
        <v/>
      </c>
      <c r="M26">
        <f>IF(AND(K26&gt;=85, K26&lt;=100), "4", IF(AND(K26&gt;=80, K26&lt;=84.999999999), "3.5", IF(AND(K26&gt;=75, K26&lt;=79.999999999), "3", IF(AND(K26&gt;=70, K26&lt;=74.999999999), "2.5", IF(AND(K26&gt;=60, K26&lt;=69.9999999999), "2", IF(AND(K26&gt;=40, K26&lt;=59.999999999), "1", IF(AND(K26&gt;=0, K26&lt;=39.999999999), "0", "0" ) ) ) ) ) ) )</f>
        <v/>
      </c>
      <c r="N26" t="inlineStr">
        <is>
          <t>Moses Morell Yosefan</t>
        </is>
      </c>
      <c r="O26" t="n">
        <v>24060124130094</v>
      </c>
      <c r="P26" t="inlineStr">
        <is>
          <t>da3173cf-2b20-4de6-8e38-7d6981dd1b3a</t>
        </is>
      </c>
      <c r="S26" t="inlineStr">
        <is>
          <t>mosesmorell@students.undip.ac.id</t>
        </is>
      </c>
      <c r="T26" t="n">
        <v>66.67</v>
      </c>
      <c r="U26" t="n">
        <v>95.45</v>
      </c>
      <c r="V26" t="n">
        <v>60</v>
      </c>
      <c r="W26" t="n">
        <v>96.67</v>
      </c>
      <c r="X26" t="n">
        <v>95</v>
      </c>
      <c r="Z26" t="inlineStr">
        <is>
          <t>-</t>
        </is>
      </c>
      <c r="AA26" t="n">
        <v>94</v>
      </c>
      <c r="AB26" t="n">
        <v>1782745205</v>
      </c>
    </row>
    <row r="27">
      <c r="A27" t="inlineStr">
        <is>
          <t>24060124140187</t>
        </is>
      </c>
      <c r="B27" t="inlineStr">
        <is>
          <t>MICHAEL STEVANO</t>
        </is>
      </c>
      <c r="C27" t="n">
        <v>4</v>
      </c>
      <c r="D27" t="inlineStr">
        <is>
          <t>BARU</t>
        </is>
      </c>
      <c r="E27" s="4" t="n">
        <v>87.67</v>
      </c>
      <c r="F27" s="3" t="n"/>
      <c r="G27" s="3" t="n"/>
      <c r="H27" s="3" t="n"/>
      <c r="I27" s="3" t="n"/>
      <c r="J27" s="3" t="n"/>
      <c r="K27" s="2">
        <f>ROUND( ((E27*10+F27*40+G27*5+H27*5+I27*20+J27*20) / 100), 2)</f>
        <v/>
      </c>
      <c r="L27" s="2">
        <f>IF(AND(K27&gt;=85, K27&lt;=100), "A", IF(AND(K27&gt;=80, K27&lt;=84.999999999), "AB", IF(AND(K27&gt;=75, K27&lt;=79.999999999), "B", IF(AND(K27&gt;=70, K27&lt;=74.999999999), "BC", IF(AND(K27&gt;=60, K27&lt;=69.9999999999), "C", IF(AND(K27&gt;=40, K27&lt;=59.999999999), "D", IF(AND(K27&gt;=0, K27&lt;=39.999999999), "E", "E" ) ) ) ) ) ) )</f>
        <v/>
      </c>
      <c r="M27">
        <f>IF(AND(K27&gt;=85, K27&lt;=100), "4", IF(AND(K27&gt;=80, K27&lt;=84.999999999), "3.5", IF(AND(K27&gt;=75, K27&lt;=79.999999999), "3", IF(AND(K27&gt;=70, K27&lt;=74.999999999), "2.5", IF(AND(K27&gt;=60, K27&lt;=69.9999999999), "2", IF(AND(K27&gt;=40, K27&lt;=59.999999999), "1", IF(AND(K27&gt;=0, K27&lt;=39.999999999), "0", "0" ) ) ) ) ) ) )</f>
        <v/>
      </c>
      <c r="N27" t="inlineStr">
        <is>
          <t>Michael Stevano</t>
        </is>
      </c>
      <c r="O27" t="n">
        <v>24060124140187</v>
      </c>
      <c r="P27" t="inlineStr">
        <is>
          <t>3cf9233b-1519-40f7-aa76-466203df786f</t>
        </is>
      </c>
      <c r="S27" t="inlineStr">
        <is>
          <t>michaelstevano@students.undip.ac.id</t>
        </is>
      </c>
      <c r="T27" t="n">
        <v>66.67</v>
      </c>
      <c r="U27" t="n">
        <v>95.45</v>
      </c>
      <c r="V27" t="n">
        <v>33.33</v>
      </c>
      <c r="W27" t="inlineStr">
        <is>
          <t>-</t>
        </is>
      </c>
      <c r="X27" t="n">
        <v>70</v>
      </c>
      <c r="Z27" t="inlineStr">
        <is>
          <t>-</t>
        </is>
      </c>
      <c r="AA27" t="n">
        <v>87.67</v>
      </c>
      <c r="AB27" t="n">
        <v>1782745205</v>
      </c>
    </row>
    <row r="28">
      <c r="A28" t="inlineStr">
        <is>
          <t>24060124140193</t>
        </is>
      </c>
      <c r="B28" t="inlineStr">
        <is>
          <t>MOHAMMAD BANYUPUTRA EKA PRAMUDHITA</t>
        </is>
      </c>
      <c r="C28" t="n">
        <v>4</v>
      </c>
      <c r="D28" t="inlineStr">
        <is>
          <t>BARU</t>
        </is>
      </c>
      <c r="E28" s="4" t="n">
        <v>93</v>
      </c>
      <c r="F28" s="3" t="n"/>
      <c r="G28" s="3" t="n"/>
      <c r="H28" s="3" t="n"/>
      <c r="I28" s="3" t="n"/>
      <c r="J28" s="3" t="n"/>
      <c r="K28" s="2">
        <f>ROUND( ((E28*10+F28*40+G28*5+H28*5+I28*20+J28*20) / 100), 2)</f>
        <v/>
      </c>
      <c r="L28" s="2">
        <f>IF(AND(K28&gt;=85, K28&lt;=100), "A", IF(AND(K28&gt;=80, K28&lt;=84.999999999), "AB", IF(AND(K28&gt;=75, K28&lt;=79.999999999), "B", IF(AND(K28&gt;=70, K28&lt;=74.999999999), "BC", IF(AND(K28&gt;=60, K28&lt;=69.9999999999), "C", IF(AND(K28&gt;=40, K28&lt;=59.999999999), "D", IF(AND(K28&gt;=0, K28&lt;=39.999999999), "E", "E" ) ) ) ) ) ) )</f>
        <v/>
      </c>
      <c r="M28">
        <f>IF(AND(K28&gt;=85, K28&lt;=100), "4", IF(AND(K28&gt;=80, K28&lt;=84.999999999), "3.5", IF(AND(K28&gt;=75, K28&lt;=79.999999999), "3", IF(AND(K28&gt;=70, K28&lt;=74.999999999), "2.5", IF(AND(K28&gt;=60, K28&lt;=69.9999999999), "2", IF(AND(K28&gt;=40, K28&lt;=59.999999999), "1", IF(AND(K28&gt;=0, K28&lt;=39.999999999), "0", "0" ) ) ) ) ) ) )</f>
        <v/>
      </c>
      <c r="N28" t="inlineStr">
        <is>
          <t>Mohammad Banyuputra Eka Pramudhita</t>
        </is>
      </c>
      <c r="O28" t="n">
        <v>24060124140193</v>
      </c>
      <c r="P28" t="inlineStr">
        <is>
          <t>5cba7c74-8059-4161-a8e7-3bdf75cb641d</t>
        </is>
      </c>
      <c r="S28" t="inlineStr">
        <is>
          <t>banyuputraekap@students.undip.ac.id</t>
        </is>
      </c>
      <c r="T28" t="n">
        <v>75</v>
      </c>
      <c r="U28" t="n">
        <v>78.79000000000001</v>
      </c>
      <c r="V28" t="n">
        <v>50</v>
      </c>
      <c r="W28" t="n">
        <v>90</v>
      </c>
      <c r="X28" t="n">
        <v>95</v>
      </c>
      <c r="Z28" t="n">
        <v>5.82</v>
      </c>
      <c r="AA28" t="n">
        <v>93</v>
      </c>
      <c r="AB28" t="n">
        <v>1782745205</v>
      </c>
    </row>
    <row r="29">
      <c r="A29" t="inlineStr">
        <is>
          <t>24060124120044</t>
        </is>
      </c>
      <c r="B29" t="inlineStr">
        <is>
          <t>JORDAN TENGGARA</t>
        </is>
      </c>
      <c r="C29" t="n">
        <v>4</v>
      </c>
      <c r="D29" t="inlineStr">
        <is>
          <t>BARU</t>
        </is>
      </c>
      <c r="E29" s="4" t="n">
        <v>100</v>
      </c>
      <c r="F29" s="3" t="n"/>
      <c r="G29" s="3" t="n"/>
      <c r="H29" s="3" t="n"/>
      <c r="I29" s="3" t="n"/>
      <c r="J29" s="3" t="n"/>
      <c r="K29" s="2">
        <f>ROUND( ((E29*10+F29*40+G29*5+H29*5+I29*20+J29*20) / 100), 2)</f>
        <v/>
      </c>
      <c r="L29" s="2">
        <f>IF(AND(K29&gt;=85, K29&lt;=100), "A", IF(AND(K29&gt;=80, K29&lt;=84.999999999), "AB", IF(AND(K29&gt;=75, K29&lt;=79.999999999), "B", IF(AND(K29&gt;=70, K29&lt;=74.999999999), "BC", IF(AND(K29&gt;=60, K29&lt;=69.9999999999), "C", IF(AND(K29&gt;=40, K29&lt;=59.999999999), "D", IF(AND(K29&gt;=0, K29&lt;=39.999999999), "E", "E" ) ) ) ) ) ) )</f>
        <v/>
      </c>
      <c r="M29">
        <f>IF(AND(K29&gt;=85, K29&lt;=100), "4", IF(AND(K29&gt;=80, K29&lt;=84.999999999), "3.5", IF(AND(K29&gt;=75, K29&lt;=79.999999999), "3", IF(AND(K29&gt;=70, K29&lt;=74.999999999), "2.5", IF(AND(K29&gt;=60, K29&lt;=69.9999999999), "2", IF(AND(K29&gt;=40, K29&lt;=59.999999999), "1", IF(AND(K29&gt;=0, K29&lt;=39.999999999), "0", "0" ) ) ) ) ) ) )</f>
        <v/>
      </c>
      <c r="N29" t="inlineStr">
        <is>
          <t>Jordan Tenggara</t>
        </is>
      </c>
      <c r="O29" t="n">
        <v>24060124120044</v>
      </c>
      <c r="P29" t="inlineStr">
        <is>
          <t>e6b246f8-b6c4-4e85-bbbb-66b8c5f89c74</t>
        </is>
      </c>
      <c r="S29" t="inlineStr">
        <is>
          <t>jordantenggara@students.undip.ac.id</t>
        </is>
      </c>
      <c r="T29" t="n">
        <v>66.67</v>
      </c>
      <c r="U29" t="n">
        <v>92.42</v>
      </c>
      <c r="V29" t="n">
        <v>63.33</v>
      </c>
      <c r="W29" t="n">
        <v>93.33</v>
      </c>
      <c r="X29" t="n">
        <v>80</v>
      </c>
      <c r="Z29" t="n">
        <v>9.48</v>
      </c>
      <c r="AA29" t="n">
        <v>100</v>
      </c>
      <c r="AB29" t="n">
        <v>1782745205</v>
      </c>
    </row>
    <row r="30">
      <c r="A30" t="inlineStr">
        <is>
          <t>24060124130081</t>
        </is>
      </c>
      <c r="B30" t="inlineStr">
        <is>
          <t>HANA NAFI'ATUL HAQ</t>
        </is>
      </c>
      <c r="C30" t="n">
        <v>4</v>
      </c>
      <c r="D30" t="inlineStr">
        <is>
          <t>BARU</t>
        </is>
      </c>
      <c r="E30" s="4" t="n">
        <v>96</v>
      </c>
      <c r="F30" s="3" t="n"/>
      <c r="G30" s="3" t="n"/>
      <c r="H30" s="3" t="n"/>
      <c r="I30" s="3" t="n"/>
      <c r="J30" s="3" t="n"/>
      <c r="K30" s="2">
        <f>ROUND( ((E30*10+F30*40+G30*5+H30*5+I30*20+J30*20) / 100), 2)</f>
        <v/>
      </c>
      <c r="L30" s="2">
        <f>IF(AND(K30&gt;=85, K30&lt;=100), "A", IF(AND(K30&gt;=80, K30&lt;=84.999999999), "AB", IF(AND(K30&gt;=75, K30&lt;=79.999999999), "B", IF(AND(K30&gt;=70, K30&lt;=74.999999999), "BC", IF(AND(K30&gt;=60, K30&lt;=69.9999999999), "C", IF(AND(K30&gt;=40, K30&lt;=59.999999999), "D", IF(AND(K30&gt;=0, K30&lt;=39.999999999), "E", "E" ) ) ) ) ) ) )</f>
        <v/>
      </c>
      <c r="M30">
        <f>IF(AND(K30&gt;=85, K30&lt;=100), "4", IF(AND(K30&gt;=80, K30&lt;=84.999999999), "3.5", IF(AND(K30&gt;=75, K30&lt;=79.999999999), "3", IF(AND(K30&gt;=70, K30&lt;=74.999999999), "2.5", IF(AND(K30&gt;=60, K30&lt;=69.9999999999), "2", IF(AND(K30&gt;=40, K30&lt;=59.999999999), "1", IF(AND(K30&gt;=0, K30&lt;=39.999999999), "0", "0" ) ) ) ) ) ) )</f>
        <v/>
      </c>
      <c r="N30" t="inlineStr">
        <is>
          <t>Hana Nafi'atul Haq</t>
        </is>
      </c>
      <c r="O30" t="n">
        <v>24060124130081</v>
      </c>
      <c r="P30" t="inlineStr">
        <is>
          <t>9f2605e9-8801-43d5-8dd2-3da4b05da32d</t>
        </is>
      </c>
      <c r="S30" t="inlineStr">
        <is>
          <t>hananafi@students.undip.ac.id</t>
        </is>
      </c>
      <c r="T30" t="n">
        <v>66.67</v>
      </c>
      <c r="U30" t="n">
        <v>87.88</v>
      </c>
      <c r="V30" t="n">
        <v>80</v>
      </c>
      <c r="W30" t="n">
        <v>93.33</v>
      </c>
      <c r="X30" t="n">
        <v>100</v>
      </c>
      <c r="Z30" t="n">
        <v>9.380000000000001</v>
      </c>
      <c r="AA30" t="n">
        <v>96</v>
      </c>
      <c r="AB30" t="n">
        <v>1782745205</v>
      </c>
    </row>
    <row r="31">
      <c r="A31" t="inlineStr">
        <is>
          <t>24060124140128</t>
        </is>
      </c>
      <c r="B31" t="inlineStr">
        <is>
          <t>IDA BAGUS NGURAH YUDISTIRA KEMENUH</t>
        </is>
      </c>
      <c r="C31" t="n">
        <v>4</v>
      </c>
      <c r="D31" t="inlineStr">
        <is>
          <t>BARU</t>
        </is>
      </c>
      <c r="E31" s="4" t="n">
        <v>89</v>
      </c>
      <c r="F31" s="3" t="n"/>
      <c r="G31" s="3" t="n"/>
      <c r="H31" s="3" t="n"/>
      <c r="I31" s="3" t="n"/>
      <c r="J31" s="3" t="n"/>
      <c r="K31" s="2">
        <f>ROUND( ((E31*10+F31*40+G31*5+H31*5+I31*20+J31*20) / 100), 2)</f>
        <v/>
      </c>
      <c r="L31" s="2">
        <f>IF(AND(K31&gt;=85, K31&lt;=100), "A", IF(AND(K31&gt;=80, K31&lt;=84.999999999), "AB", IF(AND(K31&gt;=75, K31&lt;=79.999999999), "B", IF(AND(K31&gt;=70, K31&lt;=74.999999999), "BC", IF(AND(K31&gt;=60, K31&lt;=69.9999999999), "C", IF(AND(K31&gt;=40, K31&lt;=59.999999999), "D", IF(AND(K31&gt;=0, K31&lt;=39.999999999), "E", "E" ) ) ) ) ) ) )</f>
        <v/>
      </c>
      <c r="M31">
        <f>IF(AND(K31&gt;=85, K31&lt;=100), "4", IF(AND(K31&gt;=80, K31&lt;=84.999999999), "3.5", IF(AND(K31&gt;=75, K31&lt;=79.999999999), "3", IF(AND(K31&gt;=70, K31&lt;=74.999999999), "2.5", IF(AND(K31&gt;=60, K31&lt;=69.9999999999), "2", IF(AND(K31&gt;=40, K31&lt;=59.999999999), "1", IF(AND(K31&gt;=0, K31&lt;=39.999999999), "0", "0" ) ) ) ) ) ) )</f>
        <v/>
      </c>
      <c r="N31" t="inlineStr">
        <is>
          <t>Ida Bagus Ngurah Yudistira Kemenuh</t>
        </is>
      </c>
      <c r="O31" t="n">
        <v>24060124140128</v>
      </c>
      <c r="P31" t="inlineStr">
        <is>
          <t>5fba966f-06a0-4636-b644-bcffd705eb35</t>
        </is>
      </c>
      <c r="S31" t="inlineStr">
        <is>
          <t>yudist@students.undip.ac.id</t>
        </is>
      </c>
      <c r="T31" t="n">
        <v>66.67</v>
      </c>
      <c r="U31" t="n">
        <v>83.33</v>
      </c>
      <c r="V31" t="n">
        <v>90</v>
      </c>
      <c r="W31" t="n">
        <v>86.67</v>
      </c>
      <c r="X31" t="n">
        <v>100</v>
      </c>
      <c r="Z31" t="inlineStr">
        <is>
          <t>-</t>
        </is>
      </c>
      <c r="AA31" t="n">
        <v>89</v>
      </c>
      <c r="AB31" t="n">
        <v>1782745205</v>
      </c>
    </row>
    <row r="32">
      <c r="A32" t="inlineStr">
        <is>
          <t>24060124140153</t>
        </is>
      </c>
      <c r="B32" t="inlineStr">
        <is>
          <t>IZA YUNUS ANDHIKA</t>
        </is>
      </c>
      <c r="C32" t="n">
        <v>4</v>
      </c>
      <c r="D32" t="inlineStr">
        <is>
          <t>BARU</t>
        </is>
      </c>
      <c r="E32" s="4" t="n">
        <v>92</v>
      </c>
      <c r="F32" s="3" t="n"/>
      <c r="G32" s="3" t="n"/>
      <c r="H32" s="3" t="n"/>
      <c r="I32" s="3" t="n"/>
      <c r="J32" s="3" t="n"/>
      <c r="K32" s="2">
        <f>ROUND( ((E32*10+F32*40+G32*5+H32*5+I32*20+J32*20) / 100), 2)</f>
        <v/>
      </c>
      <c r="L32" s="2">
        <f>IF(AND(K32&gt;=85, K32&lt;=100), "A", IF(AND(K32&gt;=80, K32&lt;=84.999999999), "AB", IF(AND(K32&gt;=75, K32&lt;=79.999999999), "B", IF(AND(K32&gt;=70, K32&lt;=74.999999999), "BC", IF(AND(K32&gt;=60, K32&lt;=69.9999999999), "C", IF(AND(K32&gt;=40, K32&lt;=59.999999999), "D", IF(AND(K32&gt;=0, K32&lt;=39.999999999), "E", "E" ) ) ) ) ) ) )</f>
        <v/>
      </c>
      <c r="M32">
        <f>IF(AND(K32&gt;=85, K32&lt;=100), "4", IF(AND(K32&gt;=80, K32&lt;=84.999999999), "3.5", IF(AND(K32&gt;=75, K32&lt;=79.999999999), "3", IF(AND(K32&gt;=70, K32&lt;=74.999999999), "2.5", IF(AND(K32&gt;=60, K32&lt;=69.9999999999), "2", IF(AND(K32&gt;=40, K32&lt;=59.999999999), "1", IF(AND(K32&gt;=0, K32&lt;=39.999999999), "0", "0" ) ) ) ) ) ) )</f>
        <v/>
      </c>
      <c r="N32" t="inlineStr">
        <is>
          <t>Iza Yunus Andhika</t>
        </is>
      </c>
      <c r="O32" t="n">
        <v>24060124140153</v>
      </c>
      <c r="P32" t="inlineStr">
        <is>
          <t>80f9312f-8258-49cb-9c59-297ebfed2ebc</t>
        </is>
      </c>
      <c r="S32" t="inlineStr">
        <is>
          <t>zandhika13@students.undip.ac.id</t>
        </is>
      </c>
      <c r="T32" t="n">
        <v>66.67</v>
      </c>
      <c r="U32" t="n">
        <v>95.45</v>
      </c>
      <c r="V32" t="n">
        <v>86.67</v>
      </c>
      <c r="W32" t="n">
        <v>96.67</v>
      </c>
      <c r="X32" t="n">
        <v>95</v>
      </c>
      <c r="Z32" t="inlineStr">
        <is>
          <t>-</t>
        </is>
      </c>
      <c r="AA32" t="n">
        <v>92</v>
      </c>
      <c r="AB32" t="n">
        <v>1782745205</v>
      </c>
    </row>
    <row r="33">
      <c r="A33" t="inlineStr">
        <is>
          <t>24060124120027</t>
        </is>
      </c>
      <c r="B33" t="inlineStr">
        <is>
          <t>MUHAMMAD NAUVAL FADLI</t>
        </is>
      </c>
      <c r="C33" t="n">
        <v>4</v>
      </c>
      <c r="D33" t="inlineStr">
        <is>
          <t>BARU</t>
        </is>
      </c>
      <c r="E33" s="4" t="n">
        <v>96</v>
      </c>
      <c r="F33" s="3" t="n"/>
      <c r="G33" s="3" t="n"/>
      <c r="H33" s="3" t="n"/>
      <c r="I33" s="3" t="n"/>
      <c r="J33" s="3" t="n"/>
      <c r="K33" s="2">
        <f>ROUND( ((E33*10+F33*40+G33*5+H33*5+I33*20+J33*20) / 100), 2)</f>
        <v/>
      </c>
      <c r="L33" s="2">
        <f>IF(AND(K33&gt;=85, K33&lt;=100), "A", IF(AND(K33&gt;=80, K33&lt;=84.999999999), "AB", IF(AND(K33&gt;=75, K33&lt;=79.999999999), "B", IF(AND(K33&gt;=70, K33&lt;=74.999999999), "BC", IF(AND(K33&gt;=60, K33&lt;=69.9999999999), "C", IF(AND(K33&gt;=40, K33&lt;=59.999999999), "D", IF(AND(K33&gt;=0, K33&lt;=39.999999999), "E", "E" ) ) ) ) ) ) )</f>
        <v/>
      </c>
      <c r="M33">
        <f>IF(AND(K33&gt;=85, K33&lt;=100), "4", IF(AND(K33&gt;=80, K33&lt;=84.999999999), "3.5", IF(AND(K33&gt;=75, K33&lt;=79.999999999), "3", IF(AND(K33&gt;=70, K33&lt;=74.999999999), "2.5", IF(AND(K33&gt;=60, K33&lt;=69.9999999999), "2", IF(AND(K33&gt;=40, K33&lt;=59.999999999), "1", IF(AND(K33&gt;=0, K33&lt;=39.999999999), "0", "0" ) ) ) ) ) ) )</f>
        <v/>
      </c>
      <c r="N33" t="inlineStr">
        <is>
          <t>Muhammad Nauval Fadli</t>
        </is>
      </c>
      <c r="O33" t="n">
        <v>24060124120027</v>
      </c>
      <c r="P33" t="inlineStr">
        <is>
          <t>2e0407a8-5f1f-4b94-8112-a5ceb6906f5d</t>
        </is>
      </c>
      <c r="S33" t="inlineStr">
        <is>
          <t>val145@students.undip.ac.id</t>
        </is>
      </c>
      <c r="T33" t="n">
        <v>58.33</v>
      </c>
      <c r="U33" t="n">
        <v>77.27</v>
      </c>
      <c r="V33" t="n">
        <v>90</v>
      </c>
      <c r="W33" t="n">
        <v>100</v>
      </c>
      <c r="X33" t="n">
        <v>100</v>
      </c>
      <c r="Z33" t="inlineStr">
        <is>
          <t>-</t>
        </is>
      </c>
      <c r="AA33" t="n">
        <v>96</v>
      </c>
      <c r="AB33" t="n">
        <v>1782745205</v>
      </c>
    </row>
    <row r="34">
      <c r="A34" t="inlineStr">
        <is>
          <t>24060124140140</t>
        </is>
      </c>
      <c r="B34" t="inlineStr">
        <is>
          <t>MUHAMMAD IBRAHIM ALGHIFARI</t>
        </is>
      </c>
      <c r="C34" t="n">
        <v>4</v>
      </c>
      <c r="D34" t="inlineStr">
        <is>
          <t>BARU</t>
        </is>
      </c>
      <c r="E34" s="4" t="n">
        <v>86</v>
      </c>
      <c r="F34" s="3" t="n"/>
      <c r="G34" s="3" t="n"/>
      <c r="H34" s="3" t="n"/>
      <c r="I34" s="3" t="n"/>
      <c r="J34" s="3" t="n"/>
      <c r="K34" s="2">
        <f>ROUND( ((E34*10+F34*40+G34*5+H34*5+I34*20+J34*20) / 100), 2)</f>
        <v/>
      </c>
      <c r="L34" s="2">
        <f>IF(AND(K34&gt;=85, K34&lt;=100), "A", IF(AND(K34&gt;=80, K34&lt;=84.999999999), "AB", IF(AND(K34&gt;=75, K34&lt;=79.999999999), "B", IF(AND(K34&gt;=70, K34&lt;=74.999999999), "BC", IF(AND(K34&gt;=60, K34&lt;=69.9999999999), "C", IF(AND(K34&gt;=40, K34&lt;=59.999999999), "D", IF(AND(K34&gt;=0, K34&lt;=39.999999999), "E", "E" ) ) ) ) ) ) )</f>
        <v/>
      </c>
      <c r="M34">
        <f>IF(AND(K34&gt;=85, K34&lt;=100), "4", IF(AND(K34&gt;=80, K34&lt;=84.999999999), "3.5", IF(AND(K34&gt;=75, K34&lt;=79.999999999), "3", IF(AND(K34&gt;=70, K34&lt;=74.999999999), "2.5", IF(AND(K34&gt;=60, K34&lt;=69.9999999999), "2", IF(AND(K34&gt;=40, K34&lt;=59.999999999), "1", IF(AND(K34&gt;=0, K34&lt;=39.999999999), "0", "0" ) ) ) ) ) ) )</f>
        <v/>
      </c>
      <c r="N34" t="inlineStr">
        <is>
          <t>Muhammad Ibrahim Alghifari</t>
        </is>
      </c>
      <c r="O34" t="n">
        <v>24060124140140</v>
      </c>
      <c r="P34" t="inlineStr">
        <is>
          <t>58da7198-1741-437e-be28-dd32b9b77136</t>
        </is>
      </c>
      <c r="S34" t="inlineStr">
        <is>
          <t>ibrahimalghifari@students.undip.ac.id</t>
        </is>
      </c>
      <c r="T34" t="n">
        <v>75</v>
      </c>
      <c r="U34" t="n">
        <v>90.91</v>
      </c>
      <c r="V34" t="n">
        <v>70</v>
      </c>
      <c r="W34" t="n">
        <v>83.33</v>
      </c>
      <c r="X34" t="n">
        <v>90</v>
      </c>
      <c r="Z34" t="n">
        <v>8.69</v>
      </c>
      <c r="AA34" t="n">
        <v>86</v>
      </c>
      <c r="AB34" t="n">
        <v>1782745205</v>
      </c>
    </row>
    <row r="35">
      <c r="A35" t="inlineStr">
        <is>
          <t>24060124140141</t>
        </is>
      </c>
      <c r="B35" t="inlineStr">
        <is>
          <t>MUCHAMMAD RAJIB TAFRICHAN</t>
        </is>
      </c>
      <c r="C35" t="n">
        <v>4</v>
      </c>
      <c r="D35" t="inlineStr">
        <is>
          <t>BARU</t>
        </is>
      </c>
      <c r="E35" s="4" t="n">
        <v>69</v>
      </c>
      <c r="F35" s="3" t="n"/>
      <c r="G35" s="3" t="n"/>
      <c r="H35" s="3" t="n"/>
      <c r="I35" s="3" t="n"/>
      <c r="J35" s="3" t="n"/>
      <c r="K35" s="2">
        <f>ROUND( ((E35*10+F35*40+G35*5+H35*5+I35*20+J35*20) / 100), 2)</f>
        <v/>
      </c>
      <c r="L35" s="2">
        <f>IF(AND(K35&gt;=85, K35&lt;=100), "A", IF(AND(K35&gt;=80, K35&lt;=84.999999999), "AB", IF(AND(K35&gt;=75, K35&lt;=79.999999999), "B", IF(AND(K35&gt;=70, K35&lt;=74.999999999), "BC", IF(AND(K35&gt;=60, K35&lt;=69.9999999999), "C", IF(AND(K35&gt;=40, K35&lt;=59.999999999), "D", IF(AND(K35&gt;=0, K35&lt;=39.999999999), "E", "E" ) ) ) ) ) ) )</f>
        <v/>
      </c>
      <c r="M35">
        <f>IF(AND(K35&gt;=85, K35&lt;=100), "4", IF(AND(K35&gt;=80, K35&lt;=84.999999999), "3.5", IF(AND(K35&gt;=75, K35&lt;=79.999999999), "3", IF(AND(K35&gt;=70, K35&lt;=74.999999999), "2.5", IF(AND(K35&gt;=60, K35&lt;=69.9999999999), "2", IF(AND(K35&gt;=40, K35&lt;=59.999999999), "1", IF(AND(K35&gt;=0, K35&lt;=39.999999999), "0", "0" ) ) ) ) ) ) )</f>
        <v/>
      </c>
      <c r="N35" t="inlineStr">
        <is>
          <t>Muchammad Rajib Tafrichan</t>
        </is>
      </c>
      <c r="O35" t="n">
        <v>24060124140141</v>
      </c>
      <c r="P35" t="inlineStr">
        <is>
          <t>9a4f396d-30bf-431c-9081-8ee443bfcd9b</t>
        </is>
      </c>
      <c r="S35" t="inlineStr">
        <is>
          <t>mrajibtafrichan@students.undip.ac.id</t>
        </is>
      </c>
      <c r="T35" t="n">
        <v>58.33</v>
      </c>
      <c r="U35" t="n">
        <v>84.09</v>
      </c>
      <c r="V35" t="n">
        <v>63.33</v>
      </c>
      <c r="W35" t="n">
        <v>80</v>
      </c>
      <c r="X35" t="n">
        <v>90</v>
      </c>
      <c r="Z35" t="inlineStr">
        <is>
          <t>-</t>
        </is>
      </c>
      <c r="AA35" t="n">
        <v>69</v>
      </c>
      <c r="AB35" t="n">
        <v>1782745205</v>
      </c>
    </row>
    <row r="36">
      <c r="A36" t="inlineStr">
        <is>
          <t>24060124120038</t>
        </is>
      </c>
      <c r="B36" t="inlineStr">
        <is>
          <t>ALYSSA SHANE KURNIAWAN</t>
        </is>
      </c>
      <c r="C36" t="n">
        <v>4</v>
      </c>
      <c r="D36" t="inlineStr">
        <is>
          <t>BARU</t>
        </is>
      </c>
      <c r="E36" s="4" t="n">
        <v>99</v>
      </c>
      <c r="F36" s="3" t="n"/>
      <c r="G36" s="3" t="n"/>
      <c r="H36" s="3" t="n"/>
      <c r="I36" s="3" t="n"/>
      <c r="J36" s="3" t="n"/>
      <c r="K36" s="2">
        <f>ROUND( ((E36*10+F36*40+G36*5+H36*5+I36*20+J36*20) / 100), 2)</f>
        <v/>
      </c>
      <c r="L36" s="2">
        <f>IF(AND(K36&gt;=85, K36&lt;=100), "A", IF(AND(K36&gt;=80, K36&lt;=84.999999999), "AB", IF(AND(K36&gt;=75, K36&lt;=79.999999999), "B", IF(AND(K36&gt;=70, K36&lt;=74.999999999), "BC", IF(AND(K36&gt;=60, K36&lt;=69.9999999999), "C", IF(AND(K36&gt;=40, K36&lt;=59.999999999), "D", IF(AND(K36&gt;=0, K36&lt;=39.999999999), "E", "E" ) ) ) ) ) ) )</f>
        <v/>
      </c>
      <c r="M36">
        <f>IF(AND(K36&gt;=85, K36&lt;=100), "4", IF(AND(K36&gt;=80, K36&lt;=84.999999999), "3.5", IF(AND(K36&gt;=75, K36&lt;=79.999999999), "3", IF(AND(K36&gt;=70, K36&lt;=74.999999999), "2.5", IF(AND(K36&gt;=60, K36&lt;=69.9999999999), "2", IF(AND(K36&gt;=40, K36&lt;=59.999999999), "1", IF(AND(K36&gt;=0, K36&lt;=39.999999999), "0", "0" ) ) ) ) ) ) )</f>
        <v/>
      </c>
      <c r="N36" t="inlineStr">
        <is>
          <t>Alyssa Shane Kurniawan</t>
        </is>
      </c>
      <c r="O36" t="n">
        <v>24060124120038</v>
      </c>
      <c r="P36" t="inlineStr">
        <is>
          <t>c2c3d44a-c7d2-4dc6-af91-ef49b01c0c0f</t>
        </is>
      </c>
      <c r="S36" t="inlineStr">
        <is>
          <t>alyssashane@students.undip.ac.id</t>
        </is>
      </c>
      <c r="T36" t="n">
        <v>83.33</v>
      </c>
      <c r="U36" t="n">
        <v>86.36</v>
      </c>
      <c r="V36" t="n">
        <v>96.67</v>
      </c>
      <c r="W36" t="n">
        <v>100</v>
      </c>
      <c r="X36" t="n">
        <v>95</v>
      </c>
      <c r="Z36" t="inlineStr">
        <is>
          <t>-</t>
        </is>
      </c>
      <c r="AA36" t="n">
        <v>99</v>
      </c>
      <c r="AB36" t="n">
        <v>1782745205</v>
      </c>
    </row>
    <row r="37">
      <c r="A37" t="inlineStr">
        <is>
          <t>24060124140152</t>
        </is>
      </c>
      <c r="B37" t="inlineStr">
        <is>
          <t>ADHYAKSA MARGANDATUA BANJAR NAHOR</t>
        </is>
      </c>
      <c r="C37" t="n">
        <v>4</v>
      </c>
      <c r="D37" t="inlineStr">
        <is>
          <t>BARU</t>
        </is>
      </c>
      <c r="E37" s="4" t="n">
        <v>87.33</v>
      </c>
      <c r="F37" s="3" t="n"/>
      <c r="G37" s="3" t="n"/>
      <c r="H37" s="3" t="n"/>
      <c r="I37" s="3" t="n"/>
      <c r="J37" s="3" t="n"/>
      <c r="K37" s="2">
        <f>ROUND( ((E37*10+F37*40+G37*5+H37*5+I37*20+J37*20) / 100), 2)</f>
        <v/>
      </c>
      <c r="L37" s="2">
        <f>IF(AND(K37&gt;=85, K37&lt;=100), "A", IF(AND(K37&gt;=80, K37&lt;=84.999999999), "AB", IF(AND(K37&gt;=75, K37&lt;=79.999999999), "B", IF(AND(K37&gt;=70, K37&lt;=74.999999999), "BC", IF(AND(K37&gt;=60, K37&lt;=69.9999999999), "C", IF(AND(K37&gt;=40, K37&lt;=59.999999999), "D", IF(AND(K37&gt;=0, K37&lt;=39.999999999), "E", "E" ) ) ) ) ) ) )</f>
        <v/>
      </c>
      <c r="M37">
        <f>IF(AND(K37&gt;=85, K37&lt;=100), "4", IF(AND(K37&gt;=80, K37&lt;=84.999999999), "3.5", IF(AND(K37&gt;=75, K37&lt;=79.999999999), "3", IF(AND(K37&gt;=70, K37&lt;=74.999999999), "2.5", IF(AND(K37&gt;=60, K37&lt;=69.9999999999), "2", IF(AND(K37&gt;=40, K37&lt;=59.999999999), "1", IF(AND(K37&gt;=0, K37&lt;=39.999999999), "0", "0" ) ) ) ) ) ) )</f>
        <v/>
      </c>
      <c r="N37" t="inlineStr">
        <is>
          <t>Adhyaksa Margandatua Banjar Nahor</t>
        </is>
      </c>
      <c r="O37" t="n">
        <v>24060124140152</v>
      </c>
      <c r="P37" t="inlineStr">
        <is>
          <t>f70e11a9-b5fb-4048-b4f1-b4bd22d01332</t>
        </is>
      </c>
      <c r="S37" t="inlineStr">
        <is>
          <t>mbnadhyaksa@students.undip.ac.id</t>
        </is>
      </c>
      <c r="T37" t="n">
        <v>58.33</v>
      </c>
      <c r="U37" t="n">
        <v>78.79000000000001</v>
      </c>
      <c r="V37" t="n">
        <v>96.67</v>
      </c>
      <c r="W37" t="n">
        <v>81.67</v>
      </c>
      <c r="X37" t="n">
        <v>90</v>
      </c>
      <c r="Z37" t="n">
        <v>9.24</v>
      </c>
      <c r="AA37" t="n">
        <v>87.33</v>
      </c>
      <c r="AB37" t="n">
        <v>1782745205</v>
      </c>
    </row>
    <row r="38">
      <c r="A38" t="inlineStr">
        <is>
          <t>24060124140179</t>
        </is>
      </c>
      <c r="B38" t="inlineStr">
        <is>
          <t>ADAM MULYA RASYID</t>
        </is>
      </c>
      <c r="C38" t="n">
        <v>4</v>
      </c>
      <c r="D38" t="inlineStr">
        <is>
          <t>BARU</t>
        </is>
      </c>
      <c r="E38" s="4" t="n">
        <v>95</v>
      </c>
      <c r="F38" s="3" t="n"/>
      <c r="G38" s="3" t="n"/>
      <c r="H38" s="3" t="n"/>
      <c r="I38" s="3" t="n"/>
      <c r="J38" s="3" t="n"/>
      <c r="K38" s="2">
        <f>ROUND( ((E38*10+F38*40+G38*5+H38*5+I38*20+J38*20) / 100), 2)</f>
        <v/>
      </c>
      <c r="L38" s="2">
        <f>IF(AND(K38&gt;=85, K38&lt;=100), "A", IF(AND(K38&gt;=80, K38&lt;=84.999999999), "AB", IF(AND(K38&gt;=75, K38&lt;=79.999999999), "B", IF(AND(K38&gt;=70, K38&lt;=74.999999999), "BC", IF(AND(K38&gt;=60, K38&lt;=69.9999999999), "C", IF(AND(K38&gt;=40, K38&lt;=59.999999999), "D", IF(AND(K38&gt;=0, K38&lt;=39.999999999), "E", "E" ) ) ) ) ) ) )</f>
        <v/>
      </c>
      <c r="M38">
        <f>IF(AND(K38&gt;=85, K38&lt;=100), "4", IF(AND(K38&gt;=80, K38&lt;=84.999999999), "3.5", IF(AND(K38&gt;=75, K38&lt;=79.999999999), "3", IF(AND(K38&gt;=70, K38&lt;=74.999999999), "2.5", IF(AND(K38&gt;=60, K38&lt;=69.9999999999), "2", IF(AND(K38&gt;=40, K38&lt;=59.999999999), "1", IF(AND(K38&gt;=0, K38&lt;=39.999999999), "0", "0" ) ) ) ) ) ) )</f>
        <v/>
      </c>
      <c r="N38" t="inlineStr">
        <is>
          <t>Adam Mulya Rasyid</t>
        </is>
      </c>
      <c r="O38" t="n">
        <v>24060124140179</v>
      </c>
      <c r="P38" t="inlineStr">
        <is>
          <t>167cf67b-bce1-472d-b0d1-a2d0b41d72b0</t>
        </is>
      </c>
      <c r="S38" t="inlineStr">
        <is>
          <t>adamrasyid@students.undip.ac.id</t>
        </is>
      </c>
      <c r="T38" t="n">
        <v>83.33</v>
      </c>
      <c r="U38" t="n">
        <v>93.94</v>
      </c>
      <c r="V38" t="n">
        <v>96.67</v>
      </c>
      <c r="W38" t="n">
        <v>96.67</v>
      </c>
      <c r="X38" t="n">
        <v>100</v>
      </c>
      <c r="Z38" t="n">
        <v>0.21</v>
      </c>
      <c r="AA38" t="n">
        <v>95</v>
      </c>
      <c r="AB38" t="n">
        <v>1782745205</v>
      </c>
    </row>
    <row r="39">
      <c r="A39" t="inlineStr">
        <is>
          <t>24060124120041</t>
        </is>
      </c>
      <c r="B39" t="inlineStr">
        <is>
          <t>NAWAAL HANIF MUMTAZ ARRIYE</t>
        </is>
      </c>
      <c r="C39" t="n">
        <v>4</v>
      </c>
      <c r="D39" t="inlineStr">
        <is>
          <t>BARU</t>
        </is>
      </c>
      <c r="E39" s="4" t="n">
        <v>94.33</v>
      </c>
      <c r="F39" s="3" t="n"/>
      <c r="G39" s="3" t="n"/>
      <c r="H39" s="3" t="n"/>
      <c r="I39" s="3" t="n"/>
      <c r="J39" s="3" t="n"/>
      <c r="K39" s="2">
        <f>ROUND( ((E39*10+F39*40+G39*5+H39*5+I39*20+J39*20) / 100), 2)</f>
        <v/>
      </c>
      <c r="L39" s="2">
        <f>IF(AND(K39&gt;=85, K39&lt;=100), "A", IF(AND(K39&gt;=80, K39&lt;=84.999999999), "AB", IF(AND(K39&gt;=75, K39&lt;=79.999999999), "B", IF(AND(K39&gt;=70, K39&lt;=74.999999999), "BC", IF(AND(K39&gt;=60, K39&lt;=69.9999999999), "C", IF(AND(K39&gt;=40, K39&lt;=59.999999999), "D", IF(AND(K39&gt;=0, K39&lt;=39.999999999), "E", "E" ) ) ) ) ) ) )</f>
        <v/>
      </c>
      <c r="M39">
        <f>IF(AND(K39&gt;=85, K39&lt;=100), "4", IF(AND(K39&gt;=80, K39&lt;=84.999999999), "3.5", IF(AND(K39&gt;=75, K39&lt;=79.999999999), "3", IF(AND(K39&gt;=70, K39&lt;=74.999999999), "2.5", IF(AND(K39&gt;=60, K39&lt;=69.9999999999), "2", IF(AND(K39&gt;=40, K39&lt;=59.999999999), "1", IF(AND(K39&gt;=0, K39&lt;=39.999999999), "0", "0" ) ) ) ) ) ) )</f>
        <v/>
      </c>
      <c r="N39" t="inlineStr">
        <is>
          <t>Nawaal Hanif Mumtaz Arriye</t>
        </is>
      </c>
      <c r="O39" t="n">
        <v>24060124120041</v>
      </c>
      <c r="P39" t="inlineStr">
        <is>
          <t>f47148a3-6267-4f7a-a384-120d434a70ec</t>
        </is>
      </c>
      <c r="S39" t="inlineStr">
        <is>
          <t>nawaal123@students.undip.ac.id</t>
        </is>
      </c>
      <c r="T39" t="n">
        <v>83.33</v>
      </c>
      <c r="U39" t="n">
        <v>83.33</v>
      </c>
      <c r="V39" t="n">
        <v>56.67</v>
      </c>
      <c r="W39" t="n">
        <v>93.33</v>
      </c>
      <c r="X39" t="n">
        <v>95</v>
      </c>
      <c r="Z39" t="inlineStr">
        <is>
          <t>-</t>
        </is>
      </c>
      <c r="AA39" t="n">
        <v>94.33</v>
      </c>
      <c r="AB39" t="n">
        <v>1782745205</v>
      </c>
    </row>
    <row r="40">
      <c r="A40" t="inlineStr">
        <is>
          <t>24060124120050</t>
        </is>
      </c>
      <c r="B40" t="inlineStr">
        <is>
          <t>OLIVIA OKTAVIANI</t>
        </is>
      </c>
      <c r="C40" t="n">
        <v>4</v>
      </c>
      <c r="D40" t="inlineStr">
        <is>
          <t>BARU</t>
        </is>
      </c>
      <c r="E40" s="4" t="n">
        <v>99</v>
      </c>
      <c r="F40" s="3" t="n"/>
      <c r="G40" s="3" t="n"/>
      <c r="H40" s="3" t="n"/>
      <c r="I40" s="3" t="n"/>
      <c r="J40" s="3" t="n"/>
      <c r="K40" s="2">
        <f>ROUND( ((E40*10+F40*40+G40*5+H40*5+I40*20+J40*20) / 100), 2)</f>
        <v/>
      </c>
      <c r="L40" s="2">
        <f>IF(AND(K40&gt;=85, K40&lt;=100), "A", IF(AND(K40&gt;=80, K40&lt;=84.999999999), "AB", IF(AND(K40&gt;=75, K40&lt;=79.999999999), "B", IF(AND(K40&gt;=70, K40&lt;=74.999999999), "BC", IF(AND(K40&gt;=60, K40&lt;=69.9999999999), "C", IF(AND(K40&gt;=40, K40&lt;=59.999999999), "D", IF(AND(K40&gt;=0, K40&lt;=39.999999999), "E", "E" ) ) ) ) ) ) )</f>
        <v/>
      </c>
      <c r="M40">
        <f>IF(AND(K40&gt;=85, K40&lt;=100), "4", IF(AND(K40&gt;=80, K40&lt;=84.999999999), "3.5", IF(AND(K40&gt;=75, K40&lt;=79.999999999), "3", IF(AND(K40&gt;=70, K40&lt;=74.999999999), "2.5", IF(AND(K40&gt;=60, K40&lt;=69.9999999999), "2", IF(AND(K40&gt;=40, K40&lt;=59.999999999), "1", IF(AND(K40&gt;=0, K40&lt;=39.999999999), "0", "0" ) ) ) ) ) ) )</f>
        <v/>
      </c>
      <c r="N40" t="inlineStr">
        <is>
          <t>Olivia Oktaviani</t>
        </is>
      </c>
      <c r="O40" t="n">
        <v>24060124120050</v>
      </c>
      <c r="P40" t="inlineStr">
        <is>
          <t>fac41eea-b385-44a8-9592-331bcecea80f</t>
        </is>
      </c>
      <c r="S40" t="inlineStr">
        <is>
          <t>oliviaoktaviani@students.undip.ac.id</t>
        </is>
      </c>
      <c r="T40" t="n">
        <v>83.33</v>
      </c>
      <c r="U40" t="n">
        <v>72.73</v>
      </c>
      <c r="V40" t="n">
        <v>90</v>
      </c>
      <c r="W40" t="n">
        <v>100</v>
      </c>
      <c r="X40" t="n">
        <v>90</v>
      </c>
      <c r="Z40" t="n">
        <v>9.59</v>
      </c>
      <c r="AA40" t="n">
        <v>99</v>
      </c>
      <c r="AB40" t="n">
        <v>1782745205</v>
      </c>
    </row>
    <row r="41">
      <c r="A41" t="inlineStr">
        <is>
          <t>24060124140132</t>
        </is>
      </c>
      <c r="B41" t="inlineStr">
        <is>
          <t>PUTI SHASTA KHAFIYANI</t>
        </is>
      </c>
      <c r="C41" t="n">
        <v>4</v>
      </c>
      <c r="D41" t="inlineStr">
        <is>
          <t>BARU</t>
        </is>
      </c>
      <c r="E41" s="4" t="n">
        <v>90</v>
      </c>
      <c r="F41" s="3" t="n"/>
      <c r="G41" s="3" t="n"/>
      <c r="H41" s="3" t="n"/>
      <c r="I41" s="3" t="n"/>
      <c r="J41" s="3" t="n"/>
      <c r="K41" s="2">
        <f>ROUND( ((E41*10+F41*40+G41*5+H41*5+I41*20+J41*20) / 100), 2)</f>
        <v/>
      </c>
      <c r="L41" s="2">
        <f>IF(AND(K41&gt;=85, K41&lt;=100), "A", IF(AND(K41&gt;=80, K41&lt;=84.999999999), "AB", IF(AND(K41&gt;=75, K41&lt;=79.999999999), "B", IF(AND(K41&gt;=70, K41&lt;=74.999999999), "BC", IF(AND(K41&gt;=60, K41&lt;=69.9999999999), "C", IF(AND(K41&gt;=40, K41&lt;=59.999999999), "D", IF(AND(K41&gt;=0, K41&lt;=39.999999999), "E", "E" ) ) ) ) ) ) )</f>
        <v/>
      </c>
      <c r="M41">
        <f>IF(AND(K41&gt;=85, K41&lt;=100), "4", IF(AND(K41&gt;=80, K41&lt;=84.999999999), "3.5", IF(AND(K41&gt;=75, K41&lt;=79.999999999), "3", IF(AND(K41&gt;=70, K41&lt;=74.999999999), "2.5", IF(AND(K41&gt;=60, K41&lt;=69.9999999999), "2", IF(AND(K41&gt;=40, K41&lt;=59.999999999), "1", IF(AND(K41&gt;=0, K41&lt;=39.999999999), "0", "0" ) ) ) ) ) ) )</f>
        <v/>
      </c>
      <c r="N41" t="inlineStr">
        <is>
          <t>Puti Shasta Khafiyani</t>
        </is>
      </c>
      <c r="O41" t="n">
        <v>24060124140132</v>
      </c>
      <c r="P41" t="inlineStr">
        <is>
          <t>17fb50d2-437c-443e-b0dd-c648fd526201</t>
        </is>
      </c>
      <c r="S41" t="inlineStr">
        <is>
          <t>putishasta@students.undip.ac.id</t>
        </is>
      </c>
      <c r="T41" t="n">
        <v>83.33</v>
      </c>
      <c r="U41" t="n">
        <v>87.88</v>
      </c>
      <c r="V41" t="n">
        <v>70</v>
      </c>
      <c r="W41" t="n">
        <v>93.33</v>
      </c>
      <c r="X41" t="n">
        <v>95</v>
      </c>
      <c r="Z41" t="n">
        <v>9.279999999999999</v>
      </c>
      <c r="AA41" t="n">
        <v>90</v>
      </c>
      <c r="AB41" t="n">
        <v>1782745205</v>
      </c>
    </row>
    <row r="42">
      <c r="A42" t="inlineStr">
        <is>
          <t>24060124120002</t>
        </is>
      </c>
      <c r="B42" t="inlineStr">
        <is>
          <t>BIRELA MIADETA PURITA</t>
        </is>
      </c>
      <c r="C42" t="n">
        <v>4</v>
      </c>
      <c r="D42" t="inlineStr">
        <is>
          <t>BARU</t>
        </is>
      </c>
      <c r="E42" s="4" t="n">
        <v>95.33</v>
      </c>
      <c r="F42" s="3" t="n"/>
      <c r="G42" s="3" t="n"/>
      <c r="H42" s="3" t="n"/>
      <c r="I42" s="3" t="n"/>
      <c r="J42" s="3" t="n"/>
      <c r="K42" s="2">
        <f>ROUND( ((E42*10+F42*40+G42*5+H42*5+I42*20+J42*20) / 100), 2)</f>
        <v/>
      </c>
      <c r="L42" s="2">
        <f>IF(AND(K42&gt;=85, K42&lt;=100), "A", IF(AND(K42&gt;=80, K42&lt;=84.999999999), "AB", IF(AND(K42&gt;=75, K42&lt;=79.999999999), "B", IF(AND(K42&gt;=70, K42&lt;=74.999999999), "BC", IF(AND(K42&gt;=60, K42&lt;=69.9999999999), "C", IF(AND(K42&gt;=40, K42&lt;=59.999999999), "D", IF(AND(K42&gt;=0, K42&lt;=39.999999999), "E", "E" ) ) ) ) ) ) )</f>
        <v/>
      </c>
      <c r="M42">
        <f>IF(AND(K42&gt;=85, K42&lt;=100), "4", IF(AND(K42&gt;=80, K42&lt;=84.999999999), "3.5", IF(AND(K42&gt;=75, K42&lt;=79.999999999), "3", IF(AND(K42&gt;=70, K42&lt;=74.999999999), "2.5", IF(AND(K42&gt;=60, K42&lt;=69.9999999999), "2", IF(AND(K42&gt;=40, K42&lt;=59.999999999), "1", IF(AND(K42&gt;=0, K42&lt;=39.999999999), "0", "0" ) ) ) ) ) ) )</f>
        <v/>
      </c>
      <c r="N42" t="inlineStr">
        <is>
          <t>Birela Miadeta Purita</t>
        </is>
      </c>
      <c r="O42" t="n">
        <v>24060124120002</v>
      </c>
      <c r="P42" t="inlineStr">
        <is>
          <t>f70db285-5e78-448d-af71-00e59cbfebf7</t>
        </is>
      </c>
      <c r="S42" t="inlineStr">
        <is>
          <t>birelamiadeta@students.undip.ac.id</t>
        </is>
      </c>
      <c r="T42" t="n">
        <v>75</v>
      </c>
      <c r="U42" t="n">
        <v>95.45</v>
      </c>
      <c r="V42" t="n">
        <v>90</v>
      </c>
      <c r="W42" t="n">
        <v>96.67</v>
      </c>
      <c r="X42" t="n">
        <v>100</v>
      </c>
      <c r="Z42" t="n">
        <v>9.59</v>
      </c>
      <c r="AA42" t="n">
        <v>95.33</v>
      </c>
      <c r="AB42" t="n">
        <v>1782745205</v>
      </c>
    </row>
    <row r="43">
      <c r="A43" t="inlineStr">
        <is>
          <t>24060124120034</t>
        </is>
      </c>
      <c r="B43" t="inlineStr">
        <is>
          <t>DIAH MAULIDA PRATIWI</t>
        </is>
      </c>
      <c r="C43" t="n">
        <v>4</v>
      </c>
      <c r="D43" t="inlineStr">
        <is>
          <t>BARU</t>
        </is>
      </c>
      <c r="E43" s="4" t="n">
        <v>89</v>
      </c>
      <c r="F43" s="3" t="n"/>
      <c r="G43" s="3" t="n"/>
      <c r="H43" s="3" t="n"/>
      <c r="I43" s="3" t="n"/>
      <c r="J43" s="3" t="n"/>
      <c r="K43" s="2">
        <f>ROUND( ((E43*10+F43*40+G43*5+H43*5+I43*20+J43*20) / 100), 2)</f>
        <v/>
      </c>
      <c r="L43" s="2">
        <f>IF(AND(K43&gt;=85, K43&lt;=100), "A", IF(AND(K43&gt;=80, K43&lt;=84.999999999), "AB", IF(AND(K43&gt;=75, K43&lt;=79.999999999), "B", IF(AND(K43&gt;=70, K43&lt;=74.999999999), "BC", IF(AND(K43&gt;=60, K43&lt;=69.9999999999), "C", IF(AND(K43&gt;=40, K43&lt;=59.999999999), "D", IF(AND(K43&gt;=0, K43&lt;=39.999999999), "E", "E" ) ) ) ) ) ) )</f>
        <v/>
      </c>
      <c r="M43">
        <f>IF(AND(K43&gt;=85, K43&lt;=100), "4", IF(AND(K43&gt;=80, K43&lt;=84.999999999), "3.5", IF(AND(K43&gt;=75, K43&lt;=79.999999999), "3", IF(AND(K43&gt;=70, K43&lt;=74.999999999), "2.5", IF(AND(K43&gt;=60, K43&lt;=69.9999999999), "2", IF(AND(K43&gt;=40, K43&lt;=59.999999999), "1", IF(AND(K43&gt;=0, K43&lt;=39.999999999), "0", "0" ) ) ) ) ) ) )</f>
        <v/>
      </c>
      <c r="N43" t="inlineStr">
        <is>
          <t>Diah Maulida Pratiwi</t>
        </is>
      </c>
      <c r="O43" t="n">
        <v>24060124120034</v>
      </c>
      <c r="P43" t="inlineStr">
        <is>
          <t>26674a22-3f22-4587-a7f8-0053b02acbbd</t>
        </is>
      </c>
      <c r="S43" t="inlineStr">
        <is>
          <t>diahmaulida555@students.undip.ac.id</t>
        </is>
      </c>
      <c r="T43" t="n">
        <v>50</v>
      </c>
      <c r="U43" t="n">
        <v>86.36</v>
      </c>
      <c r="V43" t="n">
        <v>63.33</v>
      </c>
      <c r="W43" t="n">
        <v>74.44</v>
      </c>
      <c r="X43" t="n">
        <v>60</v>
      </c>
      <c r="Z43" t="inlineStr">
        <is>
          <t>-</t>
        </is>
      </c>
      <c r="AA43" t="n">
        <v>89</v>
      </c>
      <c r="AB43" t="n">
        <v>1782745205</v>
      </c>
    </row>
    <row r="44">
      <c r="A44" t="inlineStr">
        <is>
          <t>24060124130105</t>
        </is>
      </c>
      <c r="B44" t="inlineStr">
        <is>
          <t>DEWANGGA RAJA ARI WIYASA (&lt; 75%)</t>
        </is>
      </c>
      <c r="C44" t="n">
        <v>4</v>
      </c>
      <c r="D44" t="inlineStr">
        <is>
          <t>BARU</t>
        </is>
      </c>
      <c r="E44" s="3" t="n"/>
      <c r="F44" s="3" t="n"/>
      <c r="G44" s="3" t="n"/>
      <c r="H44" s="3" t="n"/>
      <c r="I44" s="3" t="n"/>
      <c r="J44" s="2" t="n"/>
      <c r="K44" s="2">
        <f>ROUND( ((E44*10+F44*40+G44*5+H44*5+I44*20+J44*20) / 100), 2)</f>
        <v/>
      </c>
      <c r="L44" s="2">
        <f>IF(AND(K44&gt;=85, K44&lt;=100), "A", IF(AND(K44&gt;=80, K44&lt;=84.999999999), "AB", IF(AND(K44&gt;=75, K44&lt;=79.999999999), "B", IF(AND(K44&gt;=70, K44&lt;=74.999999999), "BC", IF(AND(K44&gt;=60, K44&lt;=69.9999999999), "C", IF(AND(K44&gt;=40, K44&lt;=59.999999999), "D", IF(AND(K44&gt;=0, K44&lt;=39.999999999), "E", "E" ) ) ) ) ) ) )</f>
        <v/>
      </c>
      <c r="M44">
        <f>IF(AND(K44&gt;=85, K44&lt;=100), "4", IF(AND(K44&gt;=80, K44&lt;=84.999999999), "3.5", IF(AND(K44&gt;=75, K44&lt;=79.999999999), "3", IF(AND(K44&gt;=70, K44&lt;=74.999999999), "2.5", IF(AND(K44&gt;=60, K44&lt;=69.9999999999), "2", IF(AND(K44&gt;=40, K44&lt;=59.999999999), "1", IF(AND(K44&gt;=0, K44&lt;=39.999999999), "0", "0" ) ) ) ) ) ) )</f>
        <v/>
      </c>
    </row>
  </sheetData>
  <sheetProtection selectLockedCells="0" selectUnlockedCells="0" sheet="1" objects="0" insertRows="0" insertHyperlinks="0" autoFilter="0" scenarios="0" formatColumns="0" deleteColumns="0" insertColumns="0" pivotTables="0" deleteRows="0" formatCells="0" formatRows="0" sort="0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7:L44"/>
  <sheetViews>
    <sheetView topLeftCell="A16" workbookViewId="0">
      <selection activeCell="L8" sqref="L8:L43"/>
    </sheetView>
  </sheetViews>
  <sheetFormatPr baseColWidth="8" defaultRowHeight="15"/>
  <cols>
    <col width="17.42578125" bestFit="1" customWidth="1" min="7" max="8"/>
    <col width="17" bestFit="1" customWidth="1" min="9" max="9"/>
    <col width="17.42578125" bestFit="1" customWidth="1" min="10" max="10"/>
    <col width="17" bestFit="1" customWidth="1" min="11" max="11"/>
    <col width="17" customWidth="1" min="12" max="12"/>
  </cols>
  <sheetData>
    <row r="7">
      <c r="A7" t="inlineStr">
        <is>
          <t>First name</t>
        </is>
      </c>
      <c r="B7" t="inlineStr">
        <is>
          <t>Last name</t>
        </is>
      </c>
      <c r="C7" t="inlineStr">
        <is>
          <t>ID number</t>
        </is>
      </c>
      <c r="D7" t="inlineStr">
        <is>
          <t>Institution</t>
        </is>
      </c>
      <c r="E7" t="inlineStr">
        <is>
          <t>Department</t>
        </is>
      </c>
      <c r="F7" t="inlineStr">
        <is>
          <t>Email address</t>
        </is>
      </c>
      <c r="G7" t="inlineStr">
        <is>
          <t>Quiz: Quis 1 (Real)</t>
        </is>
      </c>
      <c r="H7" t="inlineStr">
        <is>
          <t>Quiz: Quis 2 (Real)</t>
        </is>
      </c>
      <c r="I7" t="inlineStr">
        <is>
          <t>Quiz: quis 3 (Real)</t>
        </is>
      </c>
      <c r="J7" t="inlineStr">
        <is>
          <t>Quiz: Quis 4 (Real)</t>
        </is>
      </c>
      <c r="K7" t="inlineStr">
        <is>
          <t>Quiz: quis 5 (Real)</t>
        </is>
      </c>
    </row>
    <row r="8">
      <c r="A8" t="inlineStr">
        <is>
          <t>Arga Yura Danendra</t>
        </is>
      </c>
      <c r="B8" t="n">
        <v>24060124140191</v>
      </c>
      <c r="C8" t="inlineStr">
        <is>
          <t>5774e22c-186e-4a1c-b1a9-38b79aaee659</t>
        </is>
      </c>
      <c r="F8" t="inlineStr">
        <is>
          <t>argayura@students.undip.ac.id</t>
        </is>
      </c>
      <c r="G8" t="n">
        <v>41.67</v>
      </c>
      <c r="H8" t="n">
        <v>50</v>
      </c>
      <c r="I8" t="n">
        <v>70</v>
      </c>
      <c r="J8" t="n">
        <v>80</v>
      </c>
      <c r="K8" t="n">
        <v>75</v>
      </c>
      <c r="L8">
        <f>(SUM(G8:K8))/5</f>
        <v/>
      </c>
    </row>
    <row r="9">
      <c r="A9" t="inlineStr">
        <is>
          <t>Ganendra Satya Sindhunata</t>
        </is>
      </c>
      <c r="B9" t="n">
        <v>24060124120025</v>
      </c>
      <c r="C9" t="inlineStr">
        <is>
          <t>8a5caf17-6e23-4f22-acc4-94f0abe349d6</t>
        </is>
      </c>
      <c r="F9" t="inlineStr">
        <is>
          <t>ganendrasatya@students.undip.ac.id</t>
        </is>
      </c>
      <c r="G9" t="n">
        <v>41.67</v>
      </c>
      <c r="H9" t="n">
        <v>68.18000000000001</v>
      </c>
      <c r="I9" t="n">
        <v>56.67</v>
      </c>
      <c r="J9" t="n">
        <v>90</v>
      </c>
      <c r="K9" t="n">
        <v>100</v>
      </c>
      <c r="L9">
        <f>(SUM(G9:K9))/5</f>
        <v/>
      </c>
    </row>
    <row r="10">
      <c r="A10" t="inlineStr">
        <is>
          <t>Galang Bintang Ramadhan</t>
        </is>
      </c>
      <c r="B10" t="n">
        <v>24060124130101</v>
      </c>
      <c r="C10" t="inlineStr">
        <is>
          <t>2829bd85-1e6f-4882-a55d-613e56e88cc5</t>
        </is>
      </c>
      <c r="F10" t="inlineStr">
        <is>
          <t>galangbintang@students.undip.ac.id</t>
        </is>
      </c>
      <c r="G10" t="n">
        <v>83.33</v>
      </c>
      <c r="H10" t="n">
        <v>95.45</v>
      </c>
      <c r="I10" t="n">
        <v>66.67</v>
      </c>
      <c r="J10" t="n">
        <v>90</v>
      </c>
      <c r="K10" t="n">
        <v>100</v>
      </c>
      <c r="L10">
        <f>(SUM(G10:K10))/5</f>
        <v/>
      </c>
    </row>
    <row r="11">
      <c r="A11" t="inlineStr">
        <is>
          <t>Fazl Nizam Priyambodho</t>
        </is>
      </c>
      <c r="B11" t="n">
        <v>24060124130121</v>
      </c>
      <c r="C11" t="inlineStr">
        <is>
          <t>04fc40a2-f2a6-4d89-96fc-ee81ae6a6bec</t>
        </is>
      </c>
      <c r="F11" t="inlineStr">
        <is>
          <t>fazlnizampriyambodho@students.undip.ac.id</t>
        </is>
      </c>
      <c r="G11" t="n">
        <v>75</v>
      </c>
      <c r="H11" t="n">
        <v>72.73</v>
      </c>
      <c r="I11" t="n">
        <v>70</v>
      </c>
      <c r="J11" t="n">
        <v>90</v>
      </c>
      <c r="K11" t="n">
        <v>100</v>
      </c>
      <c r="L11">
        <f>(SUM(G11:K11))/5</f>
        <v/>
      </c>
    </row>
    <row r="12">
      <c r="A12" t="inlineStr">
        <is>
          <t>Galvin Shalahudin Mumtaz</t>
        </is>
      </c>
      <c r="B12" t="n">
        <v>24060124140162</v>
      </c>
      <c r="C12" t="inlineStr">
        <is>
          <t>a8a2ebef-a8e1-4ac3-b818-b3131ec7676c</t>
        </is>
      </c>
      <c r="F12" t="inlineStr">
        <is>
          <t>galvin@students.undip.ac.id</t>
        </is>
      </c>
      <c r="G12" t="n">
        <v>50</v>
      </c>
      <c r="H12" t="n">
        <v>95.45</v>
      </c>
      <c r="I12" t="n">
        <v>83.33</v>
      </c>
      <c r="J12" t="inlineStr">
        <is>
          <t>-</t>
        </is>
      </c>
      <c r="K12" t="n">
        <v>100</v>
      </c>
      <c r="L12">
        <f>(SUM(G12:K12))/5</f>
        <v/>
      </c>
    </row>
    <row r="13">
      <c r="A13" t="inlineStr">
        <is>
          <t>Farhan Muhtaram</t>
        </is>
      </c>
      <c r="B13" t="n">
        <v>24060124140185</v>
      </c>
      <c r="C13" t="inlineStr">
        <is>
          <t>e6aa7bf8-45aa-4faf-b401-4bc798718a9f</t>
        </is>
      </c>
      <c r="F13" t="inlineStr">
        <is>
          <t>farhanmuhtaram@students.undip.ac.id</t>
        </is>
      </c>
      <c r="G13" t="n">
        <v>66.67</v>
      </c>
      <c r="H13" t="n">
        <v>51.52</v>
      </c>
      <c r="I13" t="n">
        <v>63.33</v>
      </c>
      <c r="J13" t="n">
        <v>88.61</v>
      </c>
      <c r="K13" t="n">
        <v>95</v>
      </c>
      <c r="L13">
        <f>(SUM(G13:K13))/5</f>
        <v/>
      </c>
    </row>
    <row r="14">
      <c r="A14" t="inlineStr">
        <is>
          <t>Rizky Saefirdaus</t>
        </is>
      </c>
      <c r="B14" t="n">
        <v>24060124120001</v>
      </c>
      <c r="C14" t="inlineStr">
        <is>
          <t>025c65de-44f5-4ffb-bbf4-461e11f9468a</t>
        </is>
      </c>
      <c r="F14" t="inlineStr">
        <is>
          <t>saefirdaus@students.undip.ac.id</t>
        </is>
      </c>
      <c r="G14" t="n">
        <v>50</v>
      </c>
      <c r="H14" t="n">
        <v>72.73</v>
      </c>
      <c r="I14" t="n">
        <v>26.67</v>
      </c>
      <c r="J14" t="n">
        <v>93.33</v>
      </c>
      <c r="K14" t="n">
        <v>95</v>
      </c>
      <c r="L14">
        <f>(SUM(G14:K14))/5</f>
        <v/>
      </c>
    </row>
    <row r="15">
      <c r="A15" t="inlineStr">
        <is>
          <t>Syifa Aeni Mudrikah</t>
        </is>
      </c>
      <c r="B15" t="n">
        <v>24060124120043</v>
      </c>
      <c r="C15" t="inlineStr">
        <is>
          <t>5fc98607-6d44-4154-b85c-a80c2976ed46</t>
        </is>
      </c>
      <c r="F15" t="inlineStr">
        <is>
          <t>syifaaenimudrikah@students.undip.ac.id</t>
        </is>
      </c>
      <c r="G15" t="n">
        <v>75</v>
      </c>
      <c r="H15" t="n">
        <v>90.91</v>
      </c>
      <c r="I15" t="n">
        <v>73.33</v>
      </c>
      <c r="J15" t="n">
        <v>90</v>
      </c>
      <c r="K15" t="n">
        <v>90</v>
      </c>
      <c r="L15">
        <f>(SUM(G15:K15))/5</f>
        <v/>
      </c>
    </row>
    <row r="16">
      <c r="A16" t="inlineStr">
        <is>
          <t>Rafi Anandra Dharmawan</t>
        </is>
      </c>
      <c r="B16" t="n">
        <v>24060124130071</v>
      </c>
      <c r="C16" t="inlineStr">
        <is>
          <t>291e39af-c4fa-4ae9-8643-6494da5278be</t>
        </is>
      </c>
      <c r="F16" t="inlineStr">
        <is>
          <t>rafianandra@students.undip.ac.id</t>
        </is>
      </c>
      <c r="G16" t="n">
        <v>75</v>
      </c>
      <c r="H16" t="n">
        <v>92.42</v>
      </c>
      <c r="I16" t="n">
        <v>80</v>
      </c>
      <c r="J16" t="n">
        <v>96.67</v>
      </c>
      <c r="K16" t="n">
        <v>85</v>
      </c>
      <c r="L16">
        <f>(SUM(G16:K16))/5</f>
        <v/>
      </c>
    </row>
    <row r="17">
      <c r="L17">
        <f>(SUM(G17:K17))/5</f>
        <v/>
      </c>
    </row>
    <row r="18">
      <c r="A18" t="inlineStr">
        <is>
          <t>Raffa Putra Nugroho</t>
        </is>
      </c>
      <c r="B18" t="n">
        <v>24060124130085</v>
      </c>
      <c r="C18" t="inlineStr">
        <is>
          <t>73297ac4-2e3f-4d82-80ef-2caea3944731</t>
        </is>
      </c>
      <c r="F18" t="inlineStr">
        <is>
          <t>raffaputnugr0@students.undip.ac.id</t>
        </is>
      </c>
      <c r="G18" t="inlineStr">
        <is>
          <t>-</t>
        </is>
      </c>
      <c r="H18" t="n">
        <v>86.36</v>
      </c>
      <c r="I18" t="n">
        <v>56.67</v>
      </c>
      <c r="J18" t="n">
        <v>94.44</v>
      </c>
      <c r="K18" t="n">
        <v>85</v>
      </c>
      <c r="L18">
        <f>(SUM(G18:K18))/5</f>
        <v/>
      </c>
    </row>
    <row r="19">
      <c r="A19" t="inlineStr">
        <is>
          <t>Shofwan Fikrul Huda</t>
        </is>
      </c>
      <c r="B19" t="n">
        <v>24060124130106</v>
      </c>
      <c r="C19" t="inlineStr">
        <is>
          <t>691eb548-58f9-43e1-9e7b-9ac0c4c017cf</t>
        </is>
      </c>
      <c r="F19" t="inlineStr">
        <is>
          <t>shofwanfikrulhuda@students.undip.ac.id</t>
        </is>
      </c>
      <c r="G19" t="n">
        <v>75</v>
      </c>
      <c r="H19" t="n">
        <v>86.36</v>
      </c>
      <c r="I19" t="n">
        <v>76.67</v>
      </c>
      <c r="J19" t="n">
        <v>89.44</v>
      </c>
      <c r="K19" t="n">
        <v>100</v>
      </c>
      <c r="L19">
        <f>(SUM(G19:K19))/5</f>
        <v/>
      </c>
    </row>
    <row r="20">
      <c r="A20" t="inlineStr">
        <is>
          <t>Shafa Aqilla Zahira</t>
        </is>
      </c>
      <c r="B20" t="n">
        <v>24060124140146</v>
      </c>
      <c r="C20" t="inlineStr">
        <is>
          <t>c78e8a5a-0831-401f-994b-384ce1559204</t>
        </is>
      </c>
      <c r="F20" t="inlineStr">
        <is>
          <t>shafaaqillazahira@students.undip.ac.id</t>
        </is>
      </c>
      <c r="G20" t="n">
        <v>50</v>
      </c>
      <c r="H20" t="n">
        <v>54.55</v>
      </c>
      <c r="I20" t="n">
        <v>63.33</v>
      </c>
      <c r="J20" t="n">
        <v>93.33</v>
      </c>
      <c r="K20" t="n">
        <v>90</v>
      </c>
      <c r="L20">
        <f>(SUM(G20:K20))/5</f>
        <v/>
      </c>
    </row>
    <row r="21">
      <c r="A21" t="inlineStr">
        <is>
          <t>Revalina Salwa Aliya Wicaksono Prabowo</t>
        </is>
      </c>
      <c r="B21" t="n">
        <v>24060124140155</v>
      </c>
      <c r="C21" t="inlineStr">
        <is>
          <t>597859a9-c1eb-4ab3-9b2e-f3749dd367f7</t>
        </is>
      </c>
      <c r="F21" t="inlineStr">
        <is>
          <t>revalinasaliya@students.undip.ac.id</t>
        </is>
      </c>
      <c r="G21" t="inlineStr">
        <is>
          <t>-</t>
        </is>
      </c>
      <c r="H21" t="n">
        <v>77.27</v>
      </c>
      <c r="I21" t="n">
        <v>86.67</v>
      </c>
      <c r="J21" t="n">
        <v>86.67</v>
      </c>
      <c r="K21" t="n">
        <v>90</v>
      </c>
      <c r="L21">
        <f>(SUM(G21:K21))/5</f>
        <v/>
      </c>
    </row>
    <row r="22">
      <c r="A22" t="inlineStr">
        <is>
          <t>Reynaldi Bertinus Hutagaol</t>
        </is>
      </c>
      <c r="B22" t="n">
        <v>24060124140157</v>
      </c>
      <c r="C22" t="inlineStr">
        <is>
          <t>f92fc13b-312b-43f3-a1df-37a03703561d</t>
        </is>
      </c>
      <c r="F22" t="inlineStr">
        <is>
          <t>reynaldihutagaol@students.undip.ac.id</t>
        </is>
      </c>
      <c r="G22" t="n">
        <v>75</v>
      </c>
      <c r="H22" t="n">
        <v>90.91</v>
      </c>
      <c r="I22" t="n">
        <v>63.33</v>
      </c>
      <c r="J22" t="n">
        <v>93.33</v>
      </c>
      <c r="K22" t="n">
        <v>95</v>
      </c>
      <c r="L22">
        <f>(SUM(G22:K22))/5</f>
        <v/>
      </c>
    </row>
    <row r="23">
      <c r="A23" t="inlineStr">
        <is>
          <t>Raihan Lazuardi</t>
        </is>
      </c>
      <c r="B23" t="n">
        <v>24060124140178</v>
      </c>
      <c r="C23" t="inlineStr">
        <is>
          <t>fe6d6ef2-571f-4010-b827-9a40afea4300</t>
        </is>
      </c>
      <c r="F23" t="inlineStr">
        <is>
          <t>raihanlazuardi@students.undip.ac.id</t>
        </is>
      </c>
      <c r="G23" t="n">
        <v>58.33</v>
      </c>
      <c r="H23" t="n">
        <v>86.36</v>
      </c>
      <c r="I23" t="n">
        <v>86.67</v>
      </c>
      <c r="J23" t="n">
        <v>100</v>
      </c>
      <c r="K23" t="n">
        <v>85</v>
      </c>
      <c r="L23">
        <f>(SUM(G23:K23))/5</f>
        <v/>
      </c>
    </row>
    <row r="24">
      <c r="A24" t="inlineStr">
        <is>
          <t>Lintang Aulia Nuraini</t>
        </is>
      </c>
      <c r="B24" t="n">
        <v>24060124120017</v>
      </c>
      <c r="C24" t="inlineStr">
        <is>
          <t>82ca6965-edbf-4d20-9bbc-ca193d79dd75</t>
        </is>
      </c>
      <c r="F24" t="inlineStr">
        <is>
          <t>lintangaulianuraini@students.undip.ac.id</t>
        </is>
      </c>
      <c r="G24" t="n">
        <v>66.67</v>
      </c>
      <c r="H24" t="n">
        <v>95.45</v>
      </c>
      <c r="I24" t="n">
        <v>93.33</v>
      </c>
      <c r="J24" t="n">
        <v>91.67</v>
      </c>
      <c r="K24" t="n">
        <v>85</v>
      </c>
      <c r="L24">
        <f>(SUM(G24:K24))/5</f>
        <v/>
      </c>
    </row>
    <row r="25">
      <c r="A25" t="inlineStr">
        <is>
          <t>Laurensius Brian Prayoga</t>
        </is>
      </c>
      <c r="B25" t="n">
        <v>24060124130077</v>
      </c>
      <c r="C25" t="inlineStr">
        <is>
          <t>61e63fbc-e9d2-4c66-9c5b-c85cbefabf1a</t>
        </is>
      </c>
      <c r="F25" t="inlineStr">
        <is>
          <t>lbrianprayoga18@students.undip.ac.id</t>
        </is>
      </c>
      <c r="G25" t="n">
        <v>75</v>
      </c>
      <c r="H25" t="n">
        <v>78.79000000000001</v>
      </c>
      <c r="I25" t="n">
        <v>66.67</v>
      </c>
      <c r="J25" t="n">
        <v>96.67</v>
      </c>
      <c r="K25" t="n">
        <v>85</v>
      </c>
      <c r="L25">
        <f>(SUM(G25:K25))/5</f>
        <v/>
      </c>
    </row>
    <row r="26">
      <c r="A26" t="inlineStr">
        <is>
          <t>Moses Morell Yosefan</t>
        </is>
      </c>
      <c r="B26" t="n">
        <v>24060124130094</v>
      </c>
      <c r="C26" t="inlineStr">
        <is>
          <t>da3173cf-2b20-4de6-8e38-7d6981dd1b3a</t>
        </is>
      </c>
      <c r="F26" t="inlineStr">
        <is>
          <t>mosesmorell@students.undip.ac.id</t>
        </is>
      </c>
      <c r="G26" t="n">
        <v>66.67</v>
      </c>
      <c r="H26" t="n">
        <v>95.45</v>
      </c>
      <c r="I26" t="n">
        <v>60</v>
      </c>
      <c r="J26" t="n">
        <v>96.67</v>
      </c>
      <c r="K26" t="n">
        <v>95</v>
      </c>
      <c r="L26">
        <f>(SUM(G26:K26))/5</f>
        <v/>
      </c>
    </row>
    <row r="27">
      <c r="A27" t="inlineStr">
        <is>
          <t>Michael Stevano</t>
        </is>
      </c>
      <c r="B27" t="n">
        <v>24060124140187</v>
      </c>
      <c r="C27" t="inlineStr">
        <is>
          <t>3cf9233b-1519-40f7-aa76-466203df786f</t>
        </is>
      </c>
      <c r="F27" t="inlineStr">
        <is>
          <t>michaelstevano@students.undip.ac.id</t>
        </is>
      </c>
      <c r="G27" t="n">
        <v>66.67</v>
      </c>
      <c r="H27" t="n">
        <v>95.45</v>
      </c>
      <c r="I27" t="n">
        <v>33.33</v>
      </c>
      <c r="J27" t="inlineStr">
        <is>
          <t>-</t>
        </is>
      </c>
      <c r="K27" t="n">
        <v>70</v>
      </c>
      <c r="L27">
        <f>(SUM(G27:K27))/5</f>
        <v/>
      </c>
    </row>
    <row r="28">
      <c r="A28" t="inlineStr">
        <is>
          <t>Mohammad Banyuputra Eka Pramudhita</t>
        </is>
      </c>
      <c r="B28" t="n">
        <v>24060124140193</v>
      </c>
      <c r="C28" t="inlineStr">
        <is>
          <t>5cba7c74-8059-4161-a8e7-3bdf75cb641d</t>
        </is>
      </c>
      <c r="F28" t="inlineStr">
        <is>
          <t>banyuputraekap@students.undip.ac.id</t>
        </is>
      </c>
      <c r="G28" t="n">
        <v>75</v>
      </c>
      <c r="H28" t="n">
        <v>78.79000000000001</v>
      </c>
      <c r="I28" t="n">
        <v>50</v>
      </c>
      <c r="J28" t="n">
        <v>90</v>
      </c>
      <c r="K28" t="n">
        <v>95</v>
      </c>
      <c r="L28">
        <f>(SUM(G28:K28))/5</f>
        <v/>
      </c>
    </row>
    <row r="29">
      <c r="A29" t="inlineStr">
        <is>
          <t>Jordan Tenggara</t>
        </is>
      </c>
      <c r="B29" t="n">
        <v>24060124120044</v>
      </c>
      <c r="C29" t="inlineStr">
        <is>
          <t>e6b246f8-b6c4-4e85-bbbb-66b8c5f89c74</t>
        </is>
      </c>
      <c r="F29" t="inlineStr">
        <is>
          <t>jordantenggara@students.undip.ac.id</t>
        </is>
      </c>
      <c r="G29" t="n">
        <v>66.67</v>
      </c>
      <c r="H29" t="n">
        <v>92.42</v>
      </c>
      <c r="I29" t="n">
        <v>63.33</v>
      </c>
      <c r="J29" t="n">
        <v>93.33</v>
      </c>
      <c r="K29" t="n">
        <v>80</v>
      </c>
      <c r="L29">
        <f>(SUM(G29:K29))/5</f>
        <v/>
      </c>
    </row>
    <row r="30">
      <c r="A30" t="inlineStr">
        <is>
          <t>Hana Nafi'atul Haq</t>
        </is>
      </c>
      <c r="B30" t="n">
        <v>24060124130081</v>
      </c>
      <c r="C30" t="inlineStr">
        <is>
          <t>9f2605e9-8801-43d5-8dd2-3da4b05da32d</t>
        </is>
      </c>
      <c r="F30" t="inlineStr">
        <is>
          <t>hananafi@students.undip.ac.id</t>
        </is>
      </c>
      <c r="G30" t="n">
        <v>66.67</v>
      </c>
      <c r="H30" t="n">
        <v>87.88</v>
      </c>
      <c r="I30" t="n">
        <v>80</v>
      </c>
      <c r="J30" t="n">
        <v>93.33</v>
      </c>
      <c r="K30" t="n">
        <v>100</v>
      </c>
      <c r="L30">
        <f>(SUM(G30:K30))/5</f>
        <v/>
      </c>
    </row>
    <row r="31">
      <c r="A31" t="inlineStr">
        <is>
          <t>Ida Bagus Ngurah Yudistira Kemenuh</t>
        </is>
      </c>
      <c r="B31" t="n">
        <v>24060124140128</v>
      </c>
      <c r="C31" t="inlineStr">
        <is>
          <t>5fba966f-06a0-4636-b644-bcffd705eb35</t>
        </is>
      </c>
      <c r="F31" t="inlineStr">
        <is>
          <t>yudist@students.undip.ac.id</t>
        </is>
      </c>
      <c r="G31" t="n">
        <v>66.67</v>
      </c>
      <c r="H31" t="n">
        <v>83.33</v>
      </c>
      <c r="I31" t="n">
        <v>90</v>
      </c>
      <c r="J31" t="n">
        <v>86.67</v>
      </c>
      <c r="K31" t="n">
        <v>100</v>
      </c>
      <c r="L31">
        <f>(SUM(G31:K31))/5</f>
        <v/>
      </c>
    </row>
    <row r="32">
      <c r="A32" t="inlineStr">
        <is>
          <t>Iza Yunus Andhika</t>
        </is>
      </c>
      <c r="B32" t="n">
        <v>24060124140153</v>
      </c>
      <c r="C32" t="inlineStr">
        <is>
          <t>80f9312f-8258-49cb-9c59-297ebfed2ebc</t>
        </is>
      </c>
      <c r="F32" t="inlineStr">
        <is>
          <t>zandhika13@students.undip.ac.id</t>
        </is>
      </c>
      <c r="G32" t="n">
        <v>66.67</v>
      </c>
      <c r="H32" t="n">
        <v>95.45</v>
      </c>
      <c r="I32" t="n">
        <v>86.67</v>
      </c>
      <c r="J32" t="n">
        <v>96.67</v>
      </c>
      <c r="K32" t="n">
        <v>95</v>
      </c>
      <c r="L32">
        <f>(SUM(G32:K32))/5</f>
        <v/>
      </c>
    </row>
    <row r="33">
      <c r="A33" t="inlineStr">
        <is>
          <t>Muhammad Nauval Fadli</t>
        </is>
      </c>
      <c r="B33" t="n">
        <v>24060124120027</v>
      </c>
      <c r="C33" t="inlineStr">
        <is>
          <t>2e0407a8-5f1f-4b94-8112-a5ceb6906f5d</t>
        </is>
      </c>
      <c r="F33" t="inlineStr">
        <is>
          <t>val145@students.undip.ac.id</t>
        </is>
      </c>
      <c r="G33" t="n">
        <v>58.33</v>
      </c>
      <c r="H33" t="n">
        <v>77.27</v>
      </c>
      <c r="I33" t="n">
        <v>90</v>
      </c>
      <c r="J33" t="n">
        <v>100</v>
      </c>
      <c r="K33" t="n">
        <v>100</v>
      </c>
      <c r="L33">
        <f>(SUM(G33:K33))/5</f>
        <v/>
      </c>
    </row>
    <row r="34">
      <c r="A34" t="inlineStr">
        <is>
          <t>Muhammad Ibrahim Alghifari</t>
        </is>
      </c>
      <c r="B34" t="n">
        <v>24060124140140</v>
      </c>
      <c r="C34" t="inlineStr">
        <is>
          <t>58da7198-1741-437e-be28-dd32b9b77136</t>
        </is>
      </c>
      <c r="F34" t="inlineStr">
        <is>
          <t>ibrahimalghifari@students.undip.ac.id</t>
        </is>
      </c>
      <c r="G34" t="n">
        <v>75</v>
      </c>
      <c r="H34" t="n">
        <v>90.91</v>
      </c>
      <c r="I34" t="n">
        <v>70</v>
      </c>
      <c r="J34" t="n">
        <v>83.33</v>
      </c>
      <c r="K34" t="n">
        <v>90</v>
      </c>
      <c r="L34">
        <f>(SUM(G34:K34))/5</f>
        <v/>
      </c>
    </row>
    <row r="35">
      <c r="A35" t="inlineStr">
        <is>
          <t>Muchammad Rajib Tafrichan</t>
        </is>
      </c>
      <c r="B35" t="n">
        <v>24060124140141</v>
      </c>
      <c r="C35" t="inlineStr">
        <is>
          <t>9a4f396d-30bf-431c-9081-8ee443bfcd9b</t>
        </is>
      </c>
      <c r="F35" t="inlineStr">
        <is>
          <t>mrajibtafrichan@students.undip.ac.id</t>
        </is>
      </c>
      <c r="G35" t="n">
        <v>58.33</v>
      </c>
      <c r="H35" t="n">
        <v>84.09</v>
      </c>
      <c r="I35" t="n">
        <v>63.33</v>
      </c>
      <c r="J35" t="n">
        <v>80</v>
      </c>
      <c r="K35" t="n">
        <v>90</v>
      </c>
      <c r="L35">
        <f>(SUM(G35:K35))/5</f>
        <v/>
      </c>
    </row>
    <row r="36">
      <c r="A36" t="inlineStr">
        <is>
          <t>Alyssa Shane Kurniawan</t>
        </is>
      </c>
      <c r="B36" t="n">
        <v>24060124120038</v>
      </c>
      <c r="C36" t="inlineStr">
        <is>
          <t>c2c3d44a-c7d2-4dc6-af91-ef49b01c0c0f</t>
        </is>
      </c>
      <c r="F36" t="inlineStr">
        <is>
          <t>alyssashane@students.undip.ac.id</t>
        </is>
      </c>
      <c r="G36" t="n">
        <v>83.33</v>
      </c>
      <c r="H36" t="n">
        <v>86.36</v>
      </c>
      <c r="I36" t="n">
        <v>96.67</v>
      </c>
      <c r="J36" t="n">
        <v>100</v>
      </c>
      <c r="K36" t="n">
        <v>95</v>
      </c>
      <c r="L36">
        <f>(SUM(G36:K36))/5</f>
        <v/>
      </c>
    </row>
    <row r="37">
      <c r="A37" t="inlineStr">
        <is>
          <t>Adhyaksa Margandatua Banjar Nahor</t>
        </is>
      </c>
      <c r="B37" t="n">
        <v>24060124140152</v>
      </c>
      <c r="C37" t="inlineStr">
        <is>
          <t>f70e11a9-b5fb-4048-b4f1-b4bd22d01332</t>
        </is>
      </c>
      <c r="F37" t="inlineStr">
        <is>
          <t>mbnadhyaksa@students.undip.ac.id</t>
        </is>
      </c>
      <c r="G37" t="n">
        <v>58.33</v>
      </c>
      <c r="H37" t="n">
        <v>78.79000000000001</v>
      </c>
      <c r="I37" t="n">
        <v>96.67</v>
      </c>
      <c r="J37" t="n">
        <v>81.67</v>
      </c>
      <c r="K37" t="n">
        <v>90</v>
      </c>
      <c r="L37">
        <f>(SUM(G37:K37))/5</f>
        <v/>
      </c>
    </row>
    <row r="38">
      <c r="A38" t="inlineStr">
        <is>
          <t>Adam Mulya Rasyid</t>
        </is>
      </c>
      <c r="B38" t="n">
        <v>24060124140179</v>
      </c>
      <c r="C38" t="inlineStr">
        <is>
          <t>167cf67b-bce1-472d-b0d1-a2d0b41d72b0</t>
        </is>
      </c>
      <c r="F38" t="inlineStr">
        <is>
          <t>adamrasyid@students.undip.ac.id</t>
        </is>
      </c>
      <c r="G38" t="n">
        <v>83.33</v>
      </c>
      <c r="H38" t="n">
        <v>93.94</v>
      </c>
      <c r="I38" t="n">
        <v>96.67</v>
      </c>
      <c r="J38" t="n">
        <v>96.67</v>
      </c>
      <c r="K38" t="n">
        <v>100</v>
      </c>
      <c r="L38">
        <f>(SUM(G38:K38))/5</f>
        <v/>
      </c>
    </row>
    <row r="39">
      <c r="A39" t="inlineStr">
        <is>
          <t>Nawaal Hanif Mumtaz Arriye</t>
        </is>
      </c>
      <c r="B39" t="n">
        <v>24060124120041</v>
      </c>
      <c r="C39" t="inlineStr">
        <is>
          <t>f47148a3-6267-4f7a-a384-120d434a70ec</t>
        </is>
      </c>
      <c r="F39" t="inlineStr">
        <is>
          <t>nawaal123@students.undip.ac.id</t>
        </is>
      </c>
      <c r="G39" t="n">
        <v>83.33</v>
      </c>
      <c r="H39" t="n">
        <v>83.33</v>
      </c>
      <c r="I39" t="n">
        <v>56.67</v>
      </c>
      <c r="J39" t="n">
        <v>93.33</v>
      </c>
      <c r="K39" t="n">
        <v>95</v>
      </c>
      <c r="L39">
        <f>(SUM(G39:K39))/5</f>
        <v/>
      </c>
    </row>
    <row r="40">
      <c r="A40" t="inlineStr">
        <is>
          <t>Olivia Oktaviani</t>
        </is>
      </c>
      <c r="B40" t="n">
        <v>24060124120050</v>
      </c>
      <c r="C40" t="inlineStr">
        <is>
          <t>fac41eea-b385-44a8-9592-331bcecea80f</t>
        </is>
      </c>
      <c r="F40" t="inlineStr">
        <is>
          <t>oliviaoktaviani@students.undip.ac.id</t>
        </is>
      </c>
      <c r="G40" t="n">
        <v>83.33</v>
      </c>
      <c r="H40" t="n">
        <v>72.73</v>
      </c>
      <c r="I40" t="n">
        <v>90</v>
      </c>
      <c r="J40" t="n">
        <v>100</v>
      </c>
      <c r="K40" t="n">
        <v>90</v>
      </c>
      <c r="L40">
        <f>(SUM(G40:K40))/5</f>
        <v/>
      </c>
    </row>
    <row r="41">
      <c r="A41" t="inlineStr">
        <is>
          <t>Puti Shasta Khafiyani</t>
        </is>
      </c>
      <c r="B41" t="n">
        <v>24060124140132</v>
      </c>
      <c r="C41" t="inlineStr">
        <is>
          <t>17fb50d2-437c-443e-b0dd-c648fd526201</t>
        </is>
      </c>
      <c r="F41" t="inlineStr">
        <is>
          <t>putishasta@students.undip.ac.id</t>
        </is>
      </c>
      <c r="G41" t="n">
        <v>83.33</v>
      </c>
      <c r="H41" t="n">
        <v>87.88</v>
      </c>
      <c r="I41" t="n">
        <v>70</v>
      </c>
      <c r="J41" t="n">
        <v>93.33</v>
      </c>
      <c r="K41" t="n">
        <v>95</v>
      </c>
      <c r="L41">
        <f>(SUM(G41:K41))/5</f>
        <v/>
      </c>
    </row>
    <row r="42">
      <c r="A42" t="inlineStr">
        <is>
          <t>Birela Miadeta Purita</t>
        </is>
      </c>
      <c r="B42" t="n">
        <v>24060124120002</v>
      </c>
      <c r="C42" t="inlineStr">
        <is>
          <t>f70db285-5e78-448d-af71-00e59cbfebf7</t>
        </is>
      </c>
      <c r="F42" t="inlineStr">
        <is>
          <t>birelamiadeta@students.undip.ac.id</t>
        </is>
      </c>
      <c r="G42" t="n">
        <v>75</v>
      </c>
      <c r="H42" t="n">
        <v>95.45</v>
      </c>
      <c r="I42" t="n">
        <v>90</v>
      </c>
      <c r="J42" t="n">
        <v>96.67</v>
      </c>
      <c r="K42" t="n">
        <v>100</v>
      </c>
      <c r="L42">
        <f>(SUM(G42:K42))/5</f>
        <v/>
      </c>
    </row>
    <row r="43">
      <c r="A43" t="inlineStr">
        <is>
          <t>Diah Maulida Pratiwi</t>
        </is>
      </c>
      <c r="B43" t="n">
        <v>24060124120034</v>
      </c>
      <c r="C43" t="inlineStr">
        <is>
          <t>26674a22-3f22-4587-a7f8-0053b02acbbd</t>
        </is>
      </c>
      <c r="F43" t="inlineStr">
        <is>
          <t>diahmaulida555@students.undip.ac.id</t>
        </is>
      </c>
      <c r="G43" t="n">
        <v>50</v>
      </c>
      <c r="H43" t="n">
        <v>86.36</v>
      </c>
      <c r="I43" t="n">
        <v>63.33</v>
      </c>
      <c r="J43" t="n">
        <v>74.44</v>
      </c>
      <c r="K43" t="n">
        <v>60</v>
      </c>
      <c r="L43">
        <f>(SUM(G43:K43))/5</f>
        <v/>
      </c>
    </row>
    <row r="44">
      <c r="L44">
        <f>(SUM(G44:K44))/5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SIAP UNDIP</dc:creator>
  <dc:title>Office 2007 XLSX Test Document</dc:title>
  <dc:description>Test document for Office 2007 XLSX, generated using PHP classes.</dc:description>
  <dc:subject>Office 2007 XLSX Test Document</dc:subject>
  <dcterms:created xsi:type="dcterms:W3CDTF">2026-06-29T22:00:21Z</dcterms:created>
  <dcterms:modified xsi:type="dcterms:W3CDTF">2026-06-29T20:01:38Z</dcterms:modified>
  <cp:lastModifiedBy>HP OHS2021</cp:lastModifiedBy>
  <cp:category>Test result file</cp:category>
  <cp:keywords>office 2007 openxml php</cp:keywords>
</cp:coreProperties>
</file>