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nri/Downloads/OAK Nilai/"/>
    </mc:Choice>
  </mc:AlternateContent>
  <xr:revisionPtr revIDLastSave="0" documentId="13_ncr:1_{F3886A5B-95CA-BC49-8D93-510DB1332A5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1" r:id="rId1"/>
  </sheets>
  <definedNames>
    <definedName name="_xlnm._FilterDatabase" localSheetId="0" hidden="1">Worksheet!$A$7:$M$7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1" l="1"/>
  <c r="M46" i="1" s="1"/>
  <c r="K45" i="1"/>
  <c r="L45" i="1" s="1"/>
  <c r="K44" i="1"/>
  <c r="M44" i="1" s="1"/>
  <c r="K43" i="1"/>
  <c r="L43" i="1" s="1"/>
  <c r="K42" i="1"/>
  <c r="L42" i="1" s="1"/>
  <c r="K41" i="1"/>
  <c r="L41" i="1" s="1"/>
  <c r="K40" i="1"/>
  <c r="M40" i="1" s="1"/>
  <c r="K39" i="1"/>
  <c r="M39" i="1" s="1"/>
  <c r="K38" i="1"/>
  <c r="L38" i="1" s="1"/>
  <c r="K37" i="1"/>
  <c r="M37" i="1" s="1"/>
  <c r="K36" i="1"/>
  <c r="M36" i="1" s="1"/>
  <c r="K35" i="1"/>
  <c r="L35" i="1" s="1"/>
  <c r="K34" i="1"/>
  <c r="L34" i="1" s="1"/>
  <c r="K33" i="1"/>
  <c r="L33" i="1" s="1"/>
  <c r="K32" i="1"/>
  <c r="M32" i="1" s="1"/>
  <c r="K31" i="1"/>
  <c r="M31" i="1" s="1"/>
  <c r="K30" i="1"/>
  <c r="M30" i="1" s="1"/>
  <c r="K29" i="1"/>
  <c r="M29" i="1" s="1"/>
  <c r="K28" i="1"/>
  <c r="L28" i="1" s="1"/>
  <c r="K27" i="1"/>
  <c r="M27" i="1" s="1"/>
  <c r="K26" i="1"/>
  <c r="M26" i="1" s="1"/>
  <c r="K25" i="1"/>
  <c r="L25" i="1" s="1"/>
  <c r="K24" i="1"/>
  <c r="M24" i="1" s="1"/>
  <c r="K23" i="1"/>
  <c r="L23" i="1" s="1"/>
  <c r="K22" i="1"/>
  <c r="M22" i="1" s="1"/>
  <c r="K21" i="1"/>
  <c r="L21" i="1" s="1"/>
  <c r="K20" i="1"/>
  <c r="M20" i="1" s="1"/>
  <c r="K19" i="1"/>
  <c r="M19" i="1" s="1"/>
  <c r="K18" i="1"/>
  <c r="L18" i="1" s="1"/>
  <c r="K17" i="1"/>
  <c r="M17" i="1" s="1"/>
  <c r="K16" i="1"/>
  <c r="M16" i="1" s="1"/>
  <c r="K15" i="1"/>
  <c r="L15" i="1" s="1"/>
  <c r="K14" i="1"/>
  <c r="M14" i="1" s="1"/>
  <c r="K13" i="1"/>
  <c r="L13" i="1" s="1"/>
  <c r="K12" i="1"/>
  <c r="M12" i="1" s="1"/>
  <c r="K11" i="1"/>
  <c r="L11" i="1" s="1"/>
  <c r="K10" i="1"/>
  <c r="M10" i="1" s="1"/>
  <c r="K9" i="1"/>
  <c r="M9" i="1" s="1"/>
  <c r="K8" i="1"/>
  <c r="M8" i="1" s="1"/>
  <c r="L44" i="1" l="1"/>
  <c r="M43" i="1"/>
  <c r="L40" i="1"/>
  <c r="M33" i="1"/>
  <c r="L30" i="1"/>
  <c r="M23" i="1"/>
  <c r="L20" i="1"/>
  <c r="M13" i="1"/>
  <c r="L10" i="1"/>
  <c r="L37" i="1"/>
  <c r="L17" i="1"/>
  <c r="L27" i="1"/>
  <c r="M11" i="1"/>
  <c r="M21" i="1"/>
  <c r="M41" i="1"/>
  <c r="M28" i="1"/>
  <c r="M38" i="1"/>
  <c r="L12" i="1"/>
  <c r="M15" i="1"/>
  <c r="L22" i="1"/>
  <c r="M25" i="1"/>
  <c r="L32" i="1"/>
  <c r="M35" i="1"/>
  <c r="M45" i="1"/>
  <c r="L19" i="1"/>
  <c r="L29" i="1"/>
  <c r="L39" i="1"/>
  <c r="M42" i="1"/>
  <c r="L31" i="1"/>
  <c r="M34" i="1"/>
  <c r="L8" i="1"/>
  <c r="M18" i="1"/>
  <c r="L9" i="1"/>
  <c r="L16" i="1"/>
  <c r="L26" i="1"/>
  <c r="L36" i="1"/>
  <c r="L46" i="1"/>
  <c r="L14" i="1"/>
  <c r="L24" i="1"/>
</calcChain>
</file>

<file path=xl/sharedStrings.xml><?xml version="1.0" encoding="utf-8"?>
<sst xmlns="http://schemas.openxmlformats.org/spreadsheetml/2006/main" count="141" uniqueCount="103">
  <si>
    <t>Mata Kuliah</t>
  </si>
  <si>
    <t>: MIK1624201 - Organisasi dan Arsitektur Komputer</t>
  </si>
  <si>
    <t>Tahun Ajaran</t>
  </si>
  <si>
    <t>: 2025</t>
  </si>
  <si>
    <t>NDk4NzQx</t>
  </si>
  <si>
    <t>Semester</t>
  </si>
  <si>
    <t>: Genap</t>
  </si>
  <si>
    <t>Kelas</t>
  </si>
  <si>
    <t>: D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</si>
  <si>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</si>
  <si>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</si>
  <si>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</si>
  <si>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</si>
  <si>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</si>
  <si>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</si>
  <si>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</si>
  <si>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(10%)</t>
  </si>
  <si>
    <t>Nilai Quiz (0,00-100,00) (10%)</t>
  </si>
  <si>
    <t>Nilai UTS (0,00-100,00) (15%)</t>
  </si>
  <si>
    <t>Nilai UAS (0,00-100) (15%)</t>
  </si>
  <si>
    <t>Nilai Akhir Angka (0,00-100,00)</t>
  </si>
  <si>
    <t>Nilai Akhir Huruf (A/B/C/D/E)</t>
  </si>
  <si>
    <t>Nilai Bobot (0-4)</t>
  </si>
  <si>
    <t>24060125120039</t>
  </si>
  <si>
    <t>ARYA FATHDILLAH ADI SAPUTRA</t>
  </si>
  <si>
    <t>BARU</t>
  </si>
  <si>
    <t>24060125120050</t>
  </si>
  <si>
    <t>AHLA WARDA ANGGREINI</t>
  </si>
  <si>
    <t>24060125130055</t>
  </si>
  <si>
    <t>RASYID AHMAD RIZKI AL GHOZALI</t>
  </si>
  <si>
    <t>24060125130062</t>
  </si>
  <si>
    <t>SALSABIL NABILAH KHOIRUNNISA</t>
  </si>
  <si>
    <t>24060125130084</t>
  </si>
  <si>
    <t>MULYA RAH UTAMI</t>
  </si>
  <si>
    <t>24060125130096</t>
  </si>
  <si>
    <t>DARELL MALIK NUGRAHA</t>
  </si>
  <si>
    <t>24060125140126</t>
  </si>
  <si>
    <t>AMELIA DINI HANMARIZQI</t>
  </si>
  <si>
    <t>24060125140156</t>
  </si>
  <si>
    <t>ATHALLAH MUHAMMAD PASYA</t>
  </si>
  <si>
    <t>24060125140195</t>
  </si>
  <si>
    <t>KEVIN AL GUSTAFY (&lt; 75%)</t>
  </si>
  <si>
    <t>24060125140208</t>
  </si>
  <si>
    <t>DIVITRIO ATA MAHDAVIKIA</t>
  </si>
  <si>
    <t>24060125140222</t>
  </si>
  <si>
    <t>NAYLA DWI AFRILIA</t>
  </si>
  <si>
    <t>24060125140227</t>
  </si>
  <si>
    <t>RIFKY BINTANG BENVITO</t>
  </si>
  <si>
    <t>24060125140230</t>
  </si>
  <si>
    <t>SAVA AMELIA AL GANI</t>
  </si>
  <si>
    <t>24060125140234</t>
  </si>
  <si>
    <t>HAKEEMADA PHILADALA AR</t>
  </si>
  <si>
    <t>24060124130102</t>
  </si>
  <si>
    <t>MUHAMMAD ZAIDAN ALFARIZI</t>
  </si>
  <si>
    <t>PERBAIKAN</t>
  </si>
  <si>
    <t>24060125120002</t>
  </si>
  <si>
    <t>MUHAMMAD SIRRUL IRSYAD</t>
  </si>
  <si>
    <t>24060125120012</t>
  </si>
  <si>
    <t>RATULOSA KAREN KHEISSYA MULYADIE REPUTRI</t>
  </si>
  <si>
    <t>24060125120017</t>
  </si>
  <si>
    <t>DAVIN IHZA PRAMUDYA</t>
  </si>
  <si>
    <t>24060125120024</t>
  </si>
  <si>
    <t>FATHA SHAUMU MUHAMMAD ALIFTHA</t>
  </si>
  <si>
    <t>24060125130056</t>
  </si>
  <si>
    <t>FATHIN ARVA ALFAUSTA MARSETYO</t>
  </si>
  <si>
    <t>24060125130069</t>
  </si>
  <si>
    <t>VITO ALIFFIANO ROYYANDINOVA</t>
  </si>
  <si>
    <t>24060125130088</t>
  </si>
  <si>
    <t>DAFFA DHIYA ISLAMI</t>
  </si>
  <si>
    <t>24060125130093</t>
  </si>
  <si>
    <t>MUHAMMAD FATHI NUR SYAFFA</t>
  </si>
  <si>
    <t>24060125130108</t>
  </si>
  <si>
    <t>LANDO SUSILO WIBOWO</t>
  </si>
  <si>
    <t>24060125130109</t>
  </si>
  <si>
    <t>KHALILA RAMADHANI</t>
  </si>
  <si>
    <t>24060125130115</t>
  </si>
  <si>
    <t>PUTRI PERMATA SARI BUDIANTO</t>
  </si>
  <si>
    <t>24060125140129</t>
  </si>
  <si>
    <t>CAHYAWAN NOUDY AL GIFFARI</t>
  </si>
  <si>
    <t>24060125140137</t>
  </si>
  <si>
    <t>MUHAMMAD KENZIE PRADIPTA AINURRAHIM</t>
  </si>
  <si>
    <t>24060125140138</t>
  </si>
  <si>
    <t>PIERRE MARCELINO</t>
  </si>
  <si>
    <t>24060125140139</t>
  </si>
  <si>
    <t>NASYA AURYN BUNGA INDARYAN</t>
  </si>
  <si>
    <t>24060125140152</t>
  </si>
  <si>
    <t>ABYASA ARKABELVA</t>
  </si>
  <si>
    <t>24060125140154</t>
  </si>
  <si>
    <t>SHELMA CANTIKA PUTRI DOLENT MARBUN</t>
  </si>
  <si>
    <t>24060125140159</t>
  </si>
  <si>
    <t>MUHAMMAD FAHRI</t>
  </si>
  <si>
    <t>24060125140160</t>
  </si>
  <si>
    <t>AZKA HAMDA ABIDA</t>
  </si>
  <si>
    <t>24060125140164</t>
  </si>
  <si>
    <t>MUHAMMAD DAFFA AZMI DZIKRAKA</t>
  </si>
  <si>
    <t>24060125140185</t>
  </si>
  <si>
    <t>HASTANING UTARI</t>
  </si>
  <si>
    <t>24060125140199</t>
  </si>
  <si>
    <t>ILHAMI RIZQY ROMADZONI ASTIKO</t>
  </si>
  <si>
    <t>24060125140206</t>
  </si>
  <si>
    <t>MUHAMMAD ZAIDAN ILMI</t>
  </si>
  <si>
    <t>24060125140240</t>
  </si>
  <si>
    <t>ARDEN RAFA GANI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</si>
</sst>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Fill="1" applyAlignment="1">
      <alignment vertical="top"/>
    </xf>
    <xf numFmtId="2" fontId="0" fillId="0" borderId="0" xfId="0" applyNumberFormat="1" applyFill="1" applyProtection="1">
      <protection locked="0"/>
    </xf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5" workbookViewId="0">
      <selection activeCell="D15" sqref="D15"/>
    </sheetView>
  </sheetViews>
  <sheetFormatPr baseColWidth="10" defaultColWidth="8.83203125" defaultRowHeight="15" x14ac:dyDescent="0.2"/>
  <cols>
    <col min="1" max="1" width="17.5" bestFit="1" customWidth="1"/>
    <col min="2" max="2" width="58.83203125" bestFit="1" customWidth="1"/>
    <col min="3" max="3" width="10.5" bestFit="1" customWidth="1"/>
    <col min="4" max="4" width="11.6640625" bestFit="1" customWidth="1"/>
    <col min="5" max="5" width="38.83203125" bestFit="1" customWidth="1"/>
    <col min="6" max="6" width="32.6640625" bestFit="1" customWidth="1"/>
    <col min="7" max="7" width="27.5" bestFit="1" customWidth="1"/>
    <col min="8" max="8" width="26.6640625" bestFit="1" customWidth="1"/>
    <col min="9" max="9" width="23.6640625" bestFit="1" customWidth="1"/>
    <col min="10" max="10" width="31.6640625" bestFit="1" customWidth="1"/>
    <col min="11" max="11" width="37.6640625" bestFit="1" customWidth="1"/>
    <col min="12" max="12" width="35.33203125" bestFit="1" customWidth="1"/>
    <col min="13" max="13" width="21.1640625" bestFit="1" customWidth="1"/>
  </cols>
  <sheetData>
    <row r="1" spans="1:13" x14ac:dyDescent="0.2">
      <c r="A1" t="s">
        <v>0</v>
      </c>
      <c r="B1" t="s">
        <v>1</v>
      </c>
    </row>
    <row r="2" spans="1:13" x14ac:dyDescent="0.2">
      <c r="A2" t="s">
        <v>2</v>
      </c>
      <c r="B2" t="s">
        <v>3</v>
      </c>
      <c r="I2" s="1" t="s">
        <v>4</v>
      </c>
    </row>
    <row r="3" spans="1:13" x14ac:dyDescent="0.2">
      <c r="A3" t="s">
        <v>5</v>
      </c>
      <c r="B3" t="s">
        <v>6</v>
      </c>
    </row>
    <row r="4" spans="1:13" x14ac:dyDescent="0.2">
      <c r="A4" t="s">
        <v>7</v>
      </c>
      <c r="B4" t="s">
        <v>8</v>
      </c>
    </row>
    <row r="5" spans="1:13" x14ac:dyDescent="0.2">
      <c r="A5" t="s">
        <v>9</v>
      </c>
      <c r="B5" t="s">
        <v>10</v>
      </c>
    </row>
    <row r="7" spans="1:13" x14ac:dyDescent="0.2">
      <c r="A7" s="2" t="s">
        <v>11</v>
      </c>
      <c r="B7" s="2" t="s">
        <v>12</v>
      </c>
      <c r="C7" s="2" t="s">
        <v>5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2" t="s">
        <v>20</v>
      </c>
      <c r="L7" s="2" t="s">
        <v>21</v>
      </c>
      <c r="M7" s="2" t="s">
        <v>22</v>
      </c>
    </row>
    <row r="8" spans="1:13" x14ac:dyDescent="0.2">
      <c r="A8" s="2" t="s">
        <v>23</v>
      </c>
      <c r="B8" s="2" t="s">
        <v>24</v>
      </c>
      <c r="C8" s="2">
        <v>2</v>
      </c>
      <c r="D8" s="2" t="s">
        <v>25</v>
      </c>
      <c r="E8" s="3">
        <v>100</v>
      </c>
      <c r="F8" s="4">
        <v>86</v>
      </c>
      <c r="G8" s="4">
        <v>87</v>
      </c>
      <c r="H8" s="4">
        <v>91</v>
      </c>
      <c r="I8" s="4">
        <v>56</v>
      </c>
      <c r="J8" s="4">
        <v>70</v>
      </c>
      <c r="K8" s="5">
        <f t="shared" ref="K8:K46" si="0">ROUND( ((E8*10+F8*40+G8*10+H8*10+I8*15+J8*15) / 100), 2)</f>
        <v>81.099999999999994</v>
      </c>
      <c r="L8" s="5" t="str">
        <f t="shared" ref="L8:L46" si="1"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>AB</v>
      </c>
      <c r="M8" s="2" t="str">
        <f t="shared" ref="M8:M46" si="2"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>3.5</v>
      </c>
    </row>
    <row r="9" spans="1:13" x14ac:dyDescent="0.2">
      <c r="A9" s="2" t="s">
        <v>26</v>
      </c>
      <c r="B9" s="2" t="s">
        <v>27</v>
      </c>
      <c r="C9" s="2">
        <v>2</v>
      </c>
      <c r="D9" s="2" t="s">
        <v>25</v>
      </c>
      <c r="E9" s="3">
        <v>100</v>
      </c>
      <c r="F9" s="4">
        <v>80</v>
      </c>
      <c r="G9" s="4">
        <v>86</v>
      </c>
      <c r="H9" s="4">
        <v>92</v>
      </c>
      <c r="I9" s="4">
        <v>47</v>
      </c>
      <c r="J9" s="4">
        <v>75</v>
      </c>
      <c r="K9" s="5">
        <f t="shared" si="0"/>
        <v>78.099999999999994</v>
      </c>
      <c r="L9" s="5" t="str">
        <f t="shared" si="1"/>
        <v>B</v>
      </c>
      <c r="M9" s="2" t="str">
        <f t="shared" si="2"/>
        <v>3</v>
      </c>
    </row>
    <row r="10" spans="1:13" x14ac:dyDescent="0.2">
      <c r="A10" s="2" t="s">
        <v>28</v>
      </c>
      <c r="B10" s="2" t="s">
        <v>29</v>
      </c>
      <c r="C10" s="2">
        <v>2</v>
      </c>
      <c r="D10" s="2" t="s">
        <v>25</v>
      </c>
      <c r="E10" s="3">
        <v>100</v>
      </c>
      <c r="F10" s="4">
        <v>80</v>
      </c>
      <c r="G10" s="4">
        <v>88</v>
      </c>
      <c r="H10" s="4">
        <v>94</v>
      </c>
      <c r="I10" s="4">
        <v>45</v>
      </c>
      <c r="J10" s="4">
        <v>75</v>
      </c>
      <c r="K10" s="5">
        <f t="shared" si="0"/>
        <v>78.2</v>
      </c>
      <c r="L10" s="5" t="str">
        <f t="shared" si="1"/>
        <v>B</v>
      </c>
      <c r="M10" s="2" t="str">
        <f t="shared" si="2"/>
        <v>3</v>
      </c>
    </row>
    <row r="11" spans="1:13" x14ac:dyDescent="0.2">
      <c r="A11" s="2" t="s">
        <v>30</v>
      </c>
      <c r="B11" s="2" t="s">
        <v>31</v>
      </c>
      <c r="C11" s="2">
        <v>2</v>
      </c>
      <c r="D11" s="2" t="s">
        <v>25</v>
      </c>
      <c r="E11" s="3">
        <v>92.86</v>
      </c>
      <c r="F11" s="4">
        <v>82</v>
      </c>
      <c r="G11" s="4">
        <v>89</v>
      </c>
      <c r="H11" s="4">
        <v>93</v>
      </c>
      <c r="I11" s="4">
        <v>28</v>
      </c>
      <c r="J11" s="4">
        <v>60</v>
      </c>
      <c r="K11" s="5">
        <f t="shared" si="0"/>
        <v>73.489999999999995</v>
      </c>
      <c r="L11" s="5" t="str">
        <f t="shared" si="1"/>
        <v>BC</v>
      </c>
      <c r="M11" s="2" t="str">
        <f t="shared" si="2"/>
        <v>2.5</v>
      </c>
    </row>
    <row r="12" spans="1:13" x14ac:dyDescent="0.2">
      <c r="A12" s="2" t="s">
        <v>32</v>
      </c>
      <c r="B12" s="2" t="s">
        <v>33</v>
      </c>
      <c r="C12" s="2">
        <v>2</v>
      </c>
      <c r="D12" s="2" t="s">
        <v>25</v>
      </c>
      <c r="E12" s="3">
        <v>100</v>
      </c>
      <c r="F12" s="4">
        <v>80</v>
      </c>
      <c r="G12" s="4">
        <v>85</v>
      </c>
      <c r="H12" s="4">
        <v>92</v>
      </c>
      <c r="I12" s="4">
        <v>26</v>
      </c>
      <c r="J12" s="4">
        <v>60</v>
      </c>
      <c r="K12" s="5">
        <f t="shared" si="0"/>
        <v>72.599999999999994</v>
      </c>
      <c r="L12" s="5" t="str">
        <f t="shared" si="1"/>
        <v>BC</v>
      </c>
      <c r="M12" s="2" t="str">
        <f t="shared" si="2"/>
        <v>2.5</v>
      </c>
    </row>
    <row r="13" spans="1:13" x14ac:dyDescent="0.2">
      <c r="A13" s="2" t="s">
        <v>34</v>
      </c>
      <c r="B13" s="2" t="s">
        <v>35</v>
      </c>
      <c r="C13" s="2">
        <v>2</v>
      </c>
      <c r="D13" s="2" t="s">
        <v>25</v>
      </c>
      <c r="E13" s="3">
        <v>100</v>
      </c>
      <c r="F13" s="4">
        <v>85</v>
      </c>
      <c r="G13" s="4">
        <v>89</v>
      </c>
      <c r="H13" s="4">
        <v>92</v>
      </c>
      <c r="I13" s="4">
        <v>60</v>
      </c>
      <c r="J13" s="4">
        <v>85</v>
      </c>
      <c r="K13" s="5">
        <f t="shared" si="0"/>
        <v>83.85</v>
      </c>
      <c r="L13" s="5" t="str">
        <f t="shared" si="1"/>
        <v>AB</v>
      </c>
      <c r="M13" s="2" t="str">
        <f t="shared" si="2"/>
        <v>3.5</v>
      </c>
    </row>
    <row r="14" spans="1:13" x14ac:dyDescent="0.2">
      <c r="A14" s="2" t="s">
        <v>36</v>
      </c>
      <c r="B14" s="2" t="s">
        <v>37</v>
      </c>
      <c r="C14" s="2">
        <v>2</v>
      </c>
      <c r="D14" s="2" t="s">
        <v>25</v>
      </c>
      <c r="E14" s="3">
        <v>100</v>
      </c>
      <c r="F14" s="4">
        <v>80</v>
      </c>
      <c r="G14" s="4">
        <v>85</v>
      </c>
      <c r="H14" s="4">
        <v>90</v>
      </c>
      <c r="I14" s="4">
        <v>33</v>
      </c>
      <c r="J14" s="4">
        <v>50</v>
      </c>
      <c r="K14" s="5">
        <f t="shared" si="0"/>
        <v>71.95</v>
      </c>
      <c r="L14" s="5" t="str">
        <f t="shared" si="1"/>
        <v>BC</v>
      </c>
      <c r="M14" s="2" t="str">
        <f t="shared" si="2"/>
        <v>2.5</v>
      </c>
    </row>
    <row r="15" spans="1:13" x14ac:dyDescent="0.2">
      <c r="A15" s="2" t="s">
        <v>38</v>
      </c>
      <c r="B15" s="2" t="s">
        <v>39</v>
      </c>
      <c r="C15" s="2">
        <v>2</v>
      </c>
      <c r="D15" s="2" t="s">
        <v>25</v>
      </c>
      <c r="E15" s="3">
        <v>92.86</v>
      </c>
      <c r="F15" s="4">
        <v>86</v>
      </c>
      <c r="G15" s="4">
        <v>89</v>
      </c>
      <c r="H15" s="4">
        <v>95</v>
      </c>
      <c r="I15" s="4">
        <v>10</v>
      </c>
      <c r="J15" s="4">
        <v>30</v>
      </c>
      <c r="K15" s="5">
        <f t="shared" si="0"/>
        <v>68.09</v>
      </c>
      <c r="L15" s="5" t="str">
        <f t="shared" si="1"/>
        <v>C</v>
      </c>
      <c r="M15" s="2" t="str">
        <f t="shared" si="2"/>
        <v>2</v>
      </c>
    </row>
    <row r="16" spans="1:13" x14ac:dyDescent="0.2">
      <c r="A16" s="2" t="s">
        <v>40</v>
      </c>
      <c r="B16" s="2" t="s">
        <v>41</v>
      </c>
      <c r="C16" s="2">
        <v>2</v>
      </c>
      <c r="D16" s="2" t="s">
        <v>25</v>
      </c>
      <c r="E16" s="3">
        <v>57.14</v>
      </c>
      <c r="F16" s="4">
        <v>85</v>
      </c>
      <c r="G16" s="4">
        <v>87</v>
      </c>
      <c r="H16" s="4">
        <v>67</v>
      </c>
      <c r="I16" s="4">
        <v>1</v>
      </c>
      <c r="J16" s="5"/>
      <c r="K16" s="5">
        <f t="shared" si="0"/>
        <v>55.26</v>
      </c>
      <c r="L16" s="5" t="str">
        <f t="shared" si="1"/>
        <v>D</v>
      </c>
      <c r="M16" s="2" t="str">
        <f t="shared" si="2"/>
        <v>1</v>
      </c>
    </row>
    <row r="17" spans="1:13" x14ac:dyDescent="0.2">
      <c r="A17" s="2" t="s">
        <v>42</v>
      </c>
      <c r="B17" s="2" t="s">
        <v>43</v>
      </c>
      <c r="C17" s="2">
        <v>2</v>
      </c>
      <c r="D17" s="2" t="s">
        <v>25</v>
      </c>
      <c r="E17" s="3">
        <v>78.569999999999993</v>
      </c>
      <c r="F17" s="4">
        <v>84</v>
      </c>
      <c r="G17" s="4">
        <v>88</v>
      </c>
      <c r="H17" s="4">
        <v>91</v>
      </c>
      <c r="I17" s="4">
        <v>53</v>
      </c>
      <c r="J17" s="4">
        <v>80</v>
      </c>
      <c r="K17" s="5">
        <f t="shared" si="0"/>
        <v>79.31</v>
      </c>
      <c r="L17" s="5" t="str">
        <f t="shared" si="1"/>
        <v>B</v>
      </c>
      <c r="M17" s="2" t="str">
        <f t="shared" si="2"/>
        <v>3</v>
      </c>
    </row>
    <row r="18" spans="1:13" x14ac:dyDescent="0.2">
      <c r="A18" s="2" t="s">
        <v>44</v>
      </c>
      <c r="B18" s="2" t="s">
        <v>45</v>
      </c>
      <c r="C18" s="2">
        <v>2</v>
      </c>
      <c r="D18" s="2" t="s">
        <v>25</v>
      </c>
      <c r="E18" s="3">
        <v>100</v>
      </c>
      <c r="F18" s="4">
        <v>84</v>
      </c>
      <c r="G18" s="4">
        <v>85</v>
      </c>
      <c r="H18" s="4">
        <v>94</v>
      </c>
      <c r="I18" s="4">
        <v>30</v>
      </c>
      <c r="J18" s="4">
        <v>60</v>
      </c>
      <c r="K18" s="5">
        <f t="shared" si="0"/>
        <v>75</v>
      </c>
      <c r="L18" s="5" t="str">
        <f t="shared" si="1"/>
        <v>B</v>
      </c>
      <c r="M18" s="2" t="str">
        <f t="shared" si="2"/>
        <v>3</v>
      </c>
    </row>
    <row r="19" spans="1:13" x14ac:dyDescent="0.2">
      <c r="A19" s="2" t="s">
        <v>46</v>
      </c>
      <c r="B19" s="2" t="s">
        <v>47</v>
      </c>
      <c r="C19" s="2">
        <v>2</v>
      </c>
      <c r="D19" s="2" t="s">
        <v>25</v>
      </c>
      <c r="E19" s="3">
        <v>85.71</v>
      </c>
      <c r="F19" s="4">
        <v>80</v>
      </c>
      <c r="G19" s="4">
        <v>87</v>
      </c>
      <c r="H19" s="4">
        <v>95</v>
      </c>
      <c r="I19" s="4">
        <v>22</v>
      </c>
      <c r="J19" s="4">
        <v>75</v>
      </c>
      <c r="K19" s="5">
        <f t="shared" si="0"/>
        <v>73.319999999999993</v>
      </c>
      <c r="L19" s="5" t="str">
        <f t="shared" si="1"/>
        <v>BC</v>
      </c>
      <c r="M19" s="2" t="str">
        <f t="shared" si="2"/>
        <v>2.5</v>
      </c>
    </row>
    <row r="20" spans="1:13" x14ac:dyDescent="0.2">
      <c r="A20" s="2" t="s">
        <v>48</v>
      </c>
      <c r="B20" s="2" t="s">
        <v>49</v>
      </c>
      <c r="C20" s="2">
        <v>2</v>
      </c>
      <c r="D20" s="2" t="s">
        <v>25</v>
      </c>
      <c r="E20" s="3">
        <v>100</v>
      </c>
      <c r="F20" s="4">
        <v>85</v>
      </c>
      <c r="G20" s="4">
        <v>89</v>
      </c>
      <c r="H20" s="4">
        <v>88</v>
      </c>
      <c r="I20" s="4">
        <v>45</v>
      </c>
      <c r="J20" s="4">
        <v>50</v>
      </c>
      <c r="K20" s="5">
        <f t="shared" si="0"/>
        <v>75.95</v>
      </c>
      <c r="L20" s="5" t="str">
        <f t="shared" si="1"/>
        <v>B</v>
      </c>
      <c r="M20" s="2" t="str">
        <f t="shared" si="2"/>
        <v>3</v>
      </c>
    </row>
    <row r="21" spans="1:13" x14ac:dyDescent="0.2">
      <c r="A21" s="2" t="s">
        <v>50</v>
      </c>
      <c r="B21" s="2" t="s">
        <v>51</v>
      </c>
      <c r="C21" s="2">
        <v>2</v>
      </c>
      <c r="D21" s="2" t="s">
        <v>25</v>
      </c>
      <c r="E21" s="3">
        <v>100</v>
      </c>
      <c r="F21" s="4">
        <v>80</v>
      </c>
      <c r="G21" s="4">
        <v>85</v>
      </c>
      <c r="H21" s="4">
        <v>86</v>
      </c>
      <c r="I21" s="4">
        <v>16</v>
      </c>
      <c r="J21" s="4">
        <v>60</v>
      </c>
      <c r="K21" s="5">
        <f t="shared" si="0"/>
        <v>70.5</v>
      </c>
      <c r="L21" s="5" t="str">
        <f t="shared" si="1"/>
        <v>BC</v>
      </c>
      <c r="M21" s="2" t="str">
        <f t="shared" si="2"/>
        <v>2.5</v>
      </c>
    </row>
    <row r="22" spans="1:13" x14ac:dyDescent="0.2">
      <c r="A22" s="2" t="s">
        <v>52</v>
      </c>
      <c r="B22" s="2" t="s">
        <v>53</v>
      </c>
      <c r="C22" s="2">
        <v>4</v>
      </c>
      <c r="D22" s="2" t="s">
        <v>54</v>
      </c>
      <c r="E22" s="3">
        <v>85.71</v>
      </c>
      <c r="F22" s="4">
        <v>82</v>
      </c>
      <c r="G22" s="4">
        <v>86</v>
      </c>
      <c r="H22" s="4">
        <v>89</v>
      </c>
      <c r="I22" s="4">
        <v>27</v>
      </c>
      <c r="J22" s="4">
        <v>65</v>
      </c>
      <c r="K22" s="5">
        <f t="shared" si="0"/>
        <v>72.67</v>
      </c>
      <c r="L22" s="5" t="str">
        <f t="shared" si="1"/>
        <v>BC</v>
      </c>
      <c r="M22" s="2" t="str">
        <f t="shared" si="2"/>
        <v>2.5</v>
      </c>
    </row>
    <row r="23" spans="1:13" x14ac:dyDescent="0.2">
      <c r="A23" s="2" t="s">
        <v>55</v>
      </c>
      <c r="B23" s="2" t="s">
        <v>56</v>
      </c>
      <c r="C23" s="2">
        <v>2</v>
      </c>
      <c r="D23" s="2" t="s">
        <v>25</v>
      </c>
      <c r="E23" s="3">
        <v>100</v>
      </c>
      <c r="F23" s="4">
        <v>84</v>
      </c>
      <c r="G23" s="4">
        <v>88</v>
      </c>
      <c r="H23" s="4">
        <v>86</v>
      </c>
      <c r="I23" s="4">
        <v>56</v>
      </c>
      <c r="J23" s="4">
        <v>60</v>
      </c>
      <c r="K23" s="5">
        <f t="shared" si="0"/>
        <v>78.400000000000006</v>
      </c>
      <c r="L23" s="5" t="str">
        <f t="shared" si="1"/>
        <v>B</v>
      </c>
      <c r="M23" s="2" t="str">
        <f t="shared" si="2"/>
        <v>3</v>
      </c>
    </row>
    <row r="24" spans="1:13" x14ac:dyDescent="0.2">
      <c r="A24" s="2" t="s">
        <v>57</v>
      </c>
      <c r="B24" s="2" t="s">
        <v>58</v>
      </c>
      <c r="C24" s="2">
        <v>2</v>
      </c>
      <c r="D24" s="2" t="s">
        <v>25</v>
      </c>
      <c r="E24" s="3">
        <v>100</v>
      </c>
      <c r="F24" s="4">
        <v>80</v>
      </c>
      <c r="G24" s="4">
        <v>87</v>
      </c>
      <c r="H24" s="4">
        <v>91</v>
      </c>
      <c r="I24" s="4">
        <v>32</v>
      </c>
      <c r="J24" s="4">
        <v>85</v>
      </c>
      <c r="K24" s="5">
        <f t="shared" si="0"/>
        <v>77.349999999999994</v>
      </c>
      <c r="L24" s="5" t="str">
        <f t="shared" si="1"/>
        <v>B</v>
      </c>
      <c r="M24" s="2" t="str">
        <f t="shared" si="2"/>
        <v>3</v>
      </c>
    </row>
    <row r="25" spans="1:13" x14ac:dyDescent="0.2">
      <c r="A25" s="2" t="s">
        <v>59</v>
      </c>
      <c r="B25" s="2" t="s">
        <v>60</v>
      </c>
      <c r="C25" s="2">
        <v>2</v>
      </c>
      <c r="D25" s="2" t="s">
        <v>25</v>
      </c>
      <c r="E25" s="3">
        <v>100</v>
      </c>
      <c r="F25" s="4">
        <v>85</v>
      </c>
      <c r="G25" s="4">
        <v>86</v>
      </c>
      <c r="H25" s="4">
        <v>95</v>
      </c>
      <c r="I25" s="4">
        <v>58</v>
      </c>
      <c r="J25" s="4">
        <v>75</v>
      </c>
      <c r="K25" s="5">
        <f t="shared" si="0"/>
        <v>82.05</v>
      </c>
      <c r="L25" s="5" t="str">
        <f t="shared" si="1"/>
        <v>AB</v>
      </c>
      <c r="M25" s="2" t="str">
        <f t="shared" si="2"/>
        <v>3.5</v>
      </c>
    </row>
    <row r="26" spans="1:13" x14ac:dyDescent="0.2">
      <c r="A26" s="2" t="s">
        <v>61</v>
      </c>
      <c r="B26" s="2" t="s">
        <v>62</v>
      </c>
      <c r="C26" s="2">
        <v>2</v>
      </c>
      <c r="D26" s="2" t="s">
        <v>25</v>
      </c>
      <c r="E26" s="3">
        <v>100</v>
      </c>
      <c r="F26" s="4">
        <v>84</v>
      </c>
      <c r="G26" s="4">
        <v>85</v>
      </c>
      <c r="H26" s="4">
        <v>87</v>
      </c>
      <c r="I26" s="4">
        <v>56</v>
      </c>
      <c r="J26" s="4">
        <v>75</v>
      </c>
      <c r="K26" s="5">
        <f t="shared" si="0"/>
        <v>80.45</v>
      </c>
      <c r="L26" s="5" t="str">
        <f t="shared" si="1"/>
        <v>AB</v>
      </c>
      <c r="M26" s="2" t="str">
        <f t="shared" si="2"/>
        <v>3.5</v>
      </c>
    </row>
    <row r="27" spans="1:13" x14ac:dyDescent="0.2">
      <c r="A27" s="2" t="s">
        <v>63</v>
      </c>
      <c r="B27" s="2" t="s">
        <v>64</v>
      </c>
      <c r="C27" s="2">
        <v>2</v>
      </c>
      <c r="D27" s="2" t="s">
        <v>25</v>
      </c>
      <c r="E27" s="3">
        <v>100</v>
      </c>
      <c r="F27" s="4">
        <v>85</v>
      </c>
      <c r="G27" s="4">
        <v>87</v>
      </c>
      <c r="H27" s="4">
        <v>85</v>
      </c>
      <c r="I27" s="4">
        <v>46</v>
      </c>
      <c r="J27" s="4">
        <v>90</v>
      </c>
      <c r="K27" s="5">
        <f t="shared" si="0"/>
        <v>81.599999999999994</v>
      </c>
      <c r="L27" s="5" t="str">
        <f t="shared" si="1"/>
        <v>AB</v>
      </c>
      <c r="M27" s="2" t="str">
        <f t="shared" si="2"/>
        <v>3.5</v>
      </c>
    </row>
    <row r="28" spans="1:13" x14ac:dyDescent="0.2">
      <c r="A28" s="2" t="s">
        <v>65</v>
      </c>
      <c r="B28" s="2" t="s">
        <v>66</v>
      </c>
      <c r="C28" s="2">
        <v>2</v>
      </c>
      <c r="D28" s="2" t="s">
        <v>25</v>
      </c>
      <c r="E28" s="3">
        <v>100</v>
      </c>
      <c r="F28" s="4">
        <v>86</v>
      </c>
      <c r="G28" s="4">
        <v>88</v>
      </c>
      <c r="H28" s="4">
        <v>83</v>
      </c>
      <c r="I28" s="4">
        <v>45</v>
      </c>
      <c r="J28" s="4">
        <v>80</v>
      </c>
      <c r="K28" s="5">
        <f t="shared" si="0"/>
        <v>80.25</v>
      </c>
      <c r="L28" s="5" t="str">
        <f t="shared" si="1"/>
        <v>AB</v>
      </c>
      <c r="M28" s="2" t="str">
        <f t="shared" si="2"/>
        <v>3.5</v>
      </c>
    </row>
    <row r="29" spans="1:13" x14ac:dyDescent="0.2">
      <c r="A29" s="2" t="s">
        <v>67</v>
      </c>
      <c r="B29" s="2" t="s">
        <v>68</v>
      </c>
      <c r="C29" s="2">
        <v>2</v>
      </c>
      <c r="D29" s="2" t="s">
        <v>25</v>
      </c>
      <c r="E29" s="3">
        <v>100</v>
      </c>
      <c r="F29" s="4">
        <v>80</v>
      </c>
      <c r="G29" s="4">
        <v>86</v>
      </c>
      <c r="H29" s="4">
        <v>94</v>
      </c>
      <c r="I29" s="4">
        <v>8</v>
      </c>
      <c r="J29" s="4">
        <v>50</v>
      </c>
      <c r="K29" s="5">
        <f t="shared" si="0"/>
        <v>68.7</v>
      </c>
      <c r="L29" s="5" t="str">
        <f t="shared" si="1"/>
        <v>C</v>
      </c>
      <c r="M29" s="2" t="str">
        <f t="shared" si="2"/>
        <v>2</v>
      </c>
    </row>
    <row r="30" spans="1:13" x14ac:dyDescent="0.2">
      <c r="A30" s="2" t="s">
        <v>69</v>
      </c>
      <c r="B30" s="2" t="s">
        <v>70</v>
      </c>
      <c r="C30" s="2">
        <v>2</v>
      </c>
      <c r="D30" s="2" t="s">
        <v>25</v>
      </c>
      <c r="E30" s="3">
        <v>92.86</v>
      </c>
      <c r="F30" s="4">
        <v>82</v>
      </c>
      <c r="G30" s="4">
        <v>86</v>
      </c>
      <c r="H30" s="4">
        <v>94</v>
      </c>
      <c r="I30" s="4">
        <v>58</v>
      </c>
      <c r="J30" s="4">
        <v>80</v>
      </c>
      <c r="K30" s="5">
        <f t="shared" si="0"/>
        <v>80.790000000000006</v>
      </c>
      <c r="L30" s="5" t="str">
        <f t="shared" si="1"/>
        <v>AB</v>
      </c>
      <c r="M30" s="2" t="str">
        <f t="shared" si="2"/>
        <v>3.5</v>
      </c>
    </row>
    <row r="31" spans="1:13" x14ac:dyDescent="0.2">
      <c r="A31" s="2" t="s">
        <v>71</v>
      </c>
      <c r="B31" s="2" t="s">
        <v>72</v>
      </c>
      <c r="C31" s="2">
        <v>2</v>
      </c>
      <c r="D31" s="2" t="s">
        <v>25</v>
      </c>
      <c r="E31" s="3">
        <v>92.86</v>
      </c>
      <c r="F31" s="4">
        <v>80</v>
      </c>
      <c r="G31" s="4">
        <v>88</v>
      </c>
      <c r="H31" s="4">
        <v>95</v>
      </c>
      <c r="I31" s="4">
        <v>39</v>
      </c>
      <c r="J31" s="4">
        <v>70</v>
      </c>
      <c r="K31" s="5">
        <f t="shared" si="0"/>
        <v>75.94</v>
      </c>
      <c r="L31" s="5" t="str">
        <f t="shared" si="1"/>
        <v>B</v>
      </c>
      <c r="M31" s="2" t="str">
        <f t="shared" si="2"/>
        <v>3</v>
      </c>
    </row>
    <row r="32" spans="1:13" x14ac:dyDescent="0.2">
      <c r="A32" s="2" t="s">
        <v>73</v>
      </c>
      <c r="B32" s="2" t="s">
        <v>74</v>
      </c>
      <c r="C32" s="2">
        <v>2</v>
      </c>
      <c r="D32" s="2" t="s">
        <v>25</v>
      </c>
      <c r="E32" s="3">
        <v>78.569999999999993</v>
      </c>
      <c r="F32" s="4">
        <v>86</v>
      </c>
      <c r="G32" s="4">
        <v>89</v>
      </c>
      <c r="H32" s="4">
        <v>92</v>
      </c>
      <c r="I32" s="4">
        <v>28</v>
      </c>
      <c r="J32" s="4">
        <v>75</v>
      </c>
      <c r="K32" s="5">
        <f t="shared" si="0"/>
        <v>75.81</v>
      </c>
      <c r="L32" s="5" t="str">
        <f t="shared" si="1"/>
        <v>B</v>
      </c>
      <c r="M32" s="2" t="str">
        <f t="shared" si="2"/>
        <v>3</v>
      </c>
    </row>
    <row r="33" spans="1:13" x14ac:dyDescent="0.2">
      <c r="A33" s="2" t="s">
        <v>75</v>
      </c>
      <c r="B33" s="2" t="s">
        <v>76</v>
      </c>
      <c r="C33" s="2">
        <v>2</v>
      </c>
      <c r="D33" s="2" t="s">
        <v>25</v>
      </c>
      <c r="E33" s="3">
        <v>100</v>
      </c>
      <c r="F33" s="4">
        <v>82</v>
      </c>
      <c r="G33" s="4">
        <v>85</v>
      </c>
      <c r="H33" s="4">
        <v>93</v>
      </c>
      <c r="I33" s="4">
        <v>29</v>
      </c>
      <c r="J33" s="4">
        <v>80</v>
      </c>
      <c r="K33" s="5">
        <f t="shared" si="0"/>
        <v>76.95</v>
      </c>
      <c r="L33" s="5" t="str">
        <f t="shared" si="1"/>
        <v>B</v>
      </c>
      <c r="M33" s="2" t="str">
        <f t="shared" si="2"/>
        <v>3</v>
      </c>
    </row>
    <row r="34" spans="1:13" x14ac:dyDescent="0.2">
      <c r="A34" s="2" t="s">
        <v>77</v>
      </c>
      <c r="B34" s="2" t="s">
        <v>78</v>
      </c>
      <c r="C34" s="2">
        <v>2</v>
      </c>
      <c r="D34" s="2" t="s">
        <v>25</v>
      </c>
      <c r="E34" s="3">
        <v>78.569999999999993</v>
      </c>
      <c r="F34" s="4">
        <v>86</v>
      </c>
      <c r="G34" s="4">
        <v>88</v>
      </c>
      <c r="H34" s="4">
        <v>86</v>
      </c>
      <c r="I34" s="4">
        <v>25</v>
      </c>
      <c r="J34" s="4">
        <v>50</v>
      </c>
      <c r="K34" s="5">
        <f t="shared" si="0"/>
        <v>70.91</v>
      </c>
      <c r="L34" s="5" t="str">
        <f t="shared" si="1"/>
        <v>BC</v>
      </c>
      <c r="M34" s="2" t="str">
        <f t="shared" si="2"/>
        <v>2.5</v>
      </c>
    </row>
    <row r="35" spans="1:13" x14ac:dyDescent="0.2">
      <c r="A35" s="2" t="s">
        <v>79</v>
      </c>
      <c r="B35" s="2" t="s">
        <v>80</v>
      </c>
      <c r="C35" s="2">
        <v>2</v>
      </c>
      <c r="D35" s="2" t="s">
        <v>25</v>
      </c>
      <c r="E35" s="3">
        <v>78.569999999999993</v>
      </c>
      <c r="F35" s="4">
        <v>84</v>
      </c>
      <c r="G35" s="4">
        <v>87</v>
      </c>
      <c r="H35" s="4">
        <v>94</v>
      </c>
      <c r="I35" s="4">
        <v>18</v>
      </c>
      <c r="J35" s="4">
        <v>25</v>
      </c>
      <c r="K35" s="5">
        <f t="shared" si="0"/>
        <v>66.010000000000005</v>
      </c>
      <c r="L35" s="5" t="str">
        <f t="shared" si="1"/>
        <v>C</v>
      </c>
      <c r="M35" s="2" t="str">
        <f t="shared" si="2"/>
        <v>2</v>
      </c>
    </row>
    <row r="36" spans="1:13" x14ac:dyDescent="0.2">
      <c r="A36" s="2" t="s">
        <v>81</v>
      </c>
      <c r="B36" s="2" t="s">
        <v>82</v>
      </c>
      <c r="C36" s="2">
        <v>2</v>
      </c>
      <c r="D36" s="2" t="s">
        <v>25</v>
      </c>
      <c r="E36" s="3">
        <v>100</v>
      </c>
      <c r="F36" s="4">
        <v>84</v>
      </c>
      <c r="G36" s="4">
        <v>89</v>
      </c>
      <c r="H36" s="4">
        <v>96</v>
      </c>
      <c r="I36" s="4">
        <v>0</v>
      </c>
      <c r="J36" s="4"/>
      <c r="K36" s="5">
        <f t="shared" si="0"/>
        <v>62.1</v>
      </c>
      <c r="L36" s="5" t="str">
        <f t="shared" si="1"/>
        <v>C</v>
      </c>
      <c r="M36" s="2" t="str">
        <f t="shared" si="2"/>
        <v>2</v>
      </c>
    </row>
    <row r="37" spans="1:13" x14ac:dyDescent="0.2">
      <c r="A37" s="2" t="s">
        <v>83</v>
      </c>
      <c r="B37" s="2" t="s">
        <v>84</v>
      </c>
      <c r="C37" s="2">
        <v>2</v>
      </c>
      <c r="D37" s="2" t="s">
        <v>25</v>
      </c>
      <c r="E37" s="3">
        <v>85.71</v>
      </c>
      <c r="F37" s="4">
        <v>80</v>
      </c>
      <c r="G37" s="4">
        <v>85</v>
      </c>
      <c r="H37" s="4">
        <v>83</v>
      </c>
      <c r="I37" s="4">
        <v>22</v>
      </c>
      <c r="J37" s="4">
        <v>60</v>
      </c>
      <c r="K37" s="5">
        <f t="shared" si="0"/>
        <v>69.67</v>
      </c>
      <c r="L37" s="5" t="str">
        <f t="shared" si="1"/>
        <v>C</v>
      </c>
      <c r="M37" s="2" t="str">
        <f t="shared" si="2"/>
        <v>2</v>
      </c>
    </row>
    <row r="38" spans="1:13" x14ac:dyDescent="0.2">
      <c r="A38" s="2" t="s">
        <v>85</v>
      </c>
      <c r="B38" s="2" t="s">
        <v>86</v>
      </c>
      <c r="C38" s="2">
        <v>2</v>
      </c>
      <c r="D38" s="2" t="s">
        <v>25</v>
      </c>
      <c r="E38" s="3">
        <v>100</v>
      </c>
      <c r="F38" s="4">
        <v>80</v>
      </c>
      <c r="G38" s="4">
        <v>86</v>
      </c>
      <c r="H38" s="4">
        <v>86</v>
      </c>
      <c r="I38" s="4">
        <v>29</v>
      </c>
      <c r="J38" s="4">
        <v>60</v>
      </c>
      <c r="K38" s="5">
        <f t="shared" si="0"/>
        <v>72.55</v>
      </c>
      <c r="L38" s="5" t="str">
        <f t="shared" si="1"/>
        <v>BC</v>
      </c>
      <c r="M38" s="2" t="str">
        <f t="shared" si="2"/>
        <v>2.5</v>
      </c>
    </row>
    <row r="39" spans="1:13" x14ac:dyDescent="0.2">
      <c r="A39" s="2" t="s">
        <v>87</v>
      </c>
      <c r="B39" s="2" t="s">
        <v>88</v>
      </c>
      <c r="C39" s="2">
        <v>2</v>
      </c>
      <c r="D39" s="2" t="s">
        <v>25</v>
      </c>
      <c r="E39" s="3">
        <v>92.86</v>
      </c>
      <c r="F39" s="4">
        <v>84</v>
      </c>
      <c r="G39" s="4">
        <v>85</v>
      </c>
      <c r="H39" s="4">
        <v>95</v>
      </c>
      <c r="I39" s="4">
        <v>24</v>
      </c>
      <c r="J39" s="4">
        <v>60</v>
      </c>
      <c r="K39" s="5">
        <f t="shared" si="0"/>
        <v>73.489999999999995</v>
      </c>
      <c r="L39" s="5" t="str">
        <f t="shared" si="1"/>
        <v>BC</v>
      </c>
      <c r="M39" s="2" t="str">
        <f t="shared" si="2"/>
        <v>2.5</v>
      </c>
    </row>
    <row r="40" spans="1:13" x14ac:dyDescent="0.2">
      <c r="A40" s="2" t="s">
        <v>89</v>
      </c>
      <c r="B40" s="2" t="s">
        <v>90</v>
      </c>
      <c r="C40" s="2">
        <v>2</v>
      </c>
      <c r="D40" s="2" t="s">
        <v>25</v>
      </c>
      <c r="E40" s="3">
        <v>100</v>
      </c>
      <c r="F40" s="4">
        <v>84</v>
      </c>
      <c r="G40" s="4">
        <v>88</v>
      </c>
      <c r="H40" s="4">
        <v>93</v>
      </c>
      <c r="I40" s="4">
        <v>24</v>
      </c>
      <c r="J40" s="4">
        <v>30</v>
      </c>
      <c r="K40" s="5">
        <f t="shared" si="0"/>
        <v>69.8</v>
      </c>
      <c r="L40" s="5" t="str">
        <f t="shared" si="1"/>
        <v>C</v>
      </c>
      <c r="M40" s="2" t="str">
        <f t="shared" si="2"/>
        <v>2</v>
      </c>
    </row>
    <row r="41" spans="1:13" x14ac:dyDescent="0.2">
      <c r="A41" s="2" t="s">
        <v>91</v>
      </c>
      <c r="B41" s="2" t="s">
        <v>92</v>
      </c>
      <c r="C41" s="2">
        <v>2</v>
      </c>
      <c r="D41" s="2" t="s">
        <v>25</v>
      </c>
      <c r="E41" s="3">
        <v>100</v>
      </c>
      <c r="F41" s="4">
        <v>80</v>
      </c>
      <c r="G41" s="4">
        <v>85</v>
      </c>
      <c r="H41" s="4">
        <v>91</v>
      </c>
      <c r="I41" s="4">
        <v>32</v>
      </c>
      <c r="J41" s="4">
        <v>70</v>
      </c>
      <c r="K41" s="5">
        <f t="shared" si="0"/>
        <v>74.900000000000006</v>
      </c>
      <c r="L41" s="5" t="str">
        <f t="shared" si="1"/>
        <v>BC</v>
      </c>
      <c r="M41" s="2" t="str">
        <f t="shared" si="2"/>
        <v>2.5</v>
      </c>
    </row>
    <row r="42" spans="1:13" x14ac:dyDescent="0.2">
      <c r="A42" s="2" t="s">
        <v>93</v>
      </c>
      <c r="B42" s="2" t="s">
        <v>94</v>
      </c>
      <c r="C42" s="2">
        <v>2</v>
      </c>
      <c r="D42" s="2" t="s">
        <v>25</v>
      </c>
      <c r="E42" s="3">
        <v>78.569999999999993</v>
      </c>
      <c r="F42" s="4">
        <v>80</v>
      </c>
      <c r="G42" s="4">
        <v>88</v>
      </c>
      <c r="H42" s="4">
        <v>94</v>
      </c>
      <c r="I42" s="4">
        <v>26</v>
      </c>
      <c r="J42" s="4">
        <v>45</v>
      </c>
      <c r="K42" s="5">
        <f t="shared" si="0"/>
        <v>68.709999999999994</v>
      </c>
      <c r="L42" s="5" t="str">
        <f t="shared" si="1"/>
        <v>C</v>
      </c>
      <c r="M42" s="2" t="str">
        <f t="shared" si="2"/>
        <v>2</v>
      </c>
    </row>
    <row r="43" spans="1:13" x14ac:dyDescent="0.2">
      <c r="A43" s="2" t="s">
        <v>95</v>
      </c>
      <c r="B43" s="2" t="s">
        <v>96</v>
      </c>
      <c r="C43" s="2">
        <v>2</v>
      </c>
      <c r="D43" s="2" t="s">
        <v>25</v>
      </c>
      <c r="E43" s="3">
        <v>100</v>
      </c>
      <c r="F43" s="4">
        <v>80</v>
      </c>
      <c r="G43" s="4">
        <v>86</v>
      </c>
      <c r="H43" s="4">
        <v>93</v>
      </c>
      <c r="I43" s="4">
        <v>27</v>
      </c>
      <c r="J43" s="4">
        <v>50</v>
      </c>
      <c r="K43" s="5">
        <f t="shared" si="0"/>
        <v>71.45</v>
      </c>
      <c r="L43" s="5" t="str">
        <f t="shared" si="1"/>
        <v>BC</v>
      </c>
      <c r="M43" s="2" t="str">
        <f t="shared" si="2"/>
        <v>2.5</v>
      </c>
    </row>
    <row r="44" spans="1:13" x14ac:dyDescent="0.2">
      <c r="A44" s="2" t="s">
        <v>97</v>
      </c>
      <c r="B44" s="2" t="s">
        <v>98</v>
      </c>
      <c r="C44" s="2">
        <v>2</v>
      </c>
      <c r="D44" s="2" t="s">
        <v>25</v>
      </c>
      <c r="E44" s="3">
        <v>100</v>
      </c>
      <c r="F44" s="4">
        <v>84</v>
      </c>
      <c r="G44" s="4">
        <v>86</v>
      </c>
      <c r="H44" s="4">
        <v>95</v>
      </c>
      <c r="I44" s="4">
        <v>49</v>
      </c>
      <c r="J44" s="4">
        <v>85</v>
      </c>
      <c r="K44" s="5">
        <f t="shared" si="0"/>
        <v>81.8</v>
      </c>
      <c r="L44" s="5" t="str">
        <f t="shared" si="1"/>
        <v>AB</v>
      </c>
      <c r="M44" s="2" t="str">
        <f t="shared" si="2"/>
        <v>3.5</v>
      </c>
    </row>
    <row r="45" spans="1:13" x14ac:dyDescent="0.2">
      <c r="A45" s="2" t="s">
        <v>99</v>
      </c>
      <c r="B45" s="2" t="s">
        <v>100</v>
      </c>
      <c r="C45" s="2">
        <v>2</v>
      </c>
      <c r="D45" s="2" t="s">
        <v>25</v>
      </c>
      <c r="E45" s="3">
        <v>85.71</v>
      </c>
      <c r="F45" s="4">
        <v>84</v>
      </c>
      <c r="G45" s="4">
        <v>85</v>
      </c>
      <c r="H45" s="4">
        <v>94</v>
      </c>
      <c r="I45" s="4">
        <v>38</v>
      </c>
      <c r="J45" s="4">
        <v>60</v>
      </c>
      <c r="K45" s="5">
        <f t="shared" si="0"/>
        <v>74.77</v>
      </c>
      <c r="L45" s="5" t="str">
        <f t="shared" si="1"/>
        <v>BC</v>
      </c>
      <c r="M45" s="2" t="str">
        <f t="shared" si="2"/>
        <v>2.5</v>
      </c>
    </row>
    <row r="46" spans="1:13" x14ac:dyDescent="0.2">
      <c r="A46" s="2" t="s">
        <v>101</v>
      </c>
      <c r="B46" s="2" t="s">
        <v>102</v>
      </c>
      <c r="C46" s="2">
        <v>2</v>
      </c>
      <c r="D46" s="2" t="s">
        <v>25</v>
      </c>
      <c r="E46" s="3">
        <v>78.569999999999993</v>
      </c>
      <c r="F46" s="4">
        <v>82</v>
      </c>
      <c r="G46" s="4">
        <v>89</v>
      </c>
      <c r="H46" s="4">
        <v>95</v>
      </c>
      <c r="I46" s="4">
        <v>20</v>
      </c>
      <c r="J46" s="4">
        <v>45</v>
      </c>
      <c r="K46" s="5">
        <f t="shared" si="0"/>
        <v>68.81</v>
      </c>
      <c r="L46" s="5" t="str">
        <f t="shared" si="1"/>
        <v>C</v>
      </c>
      <c r="M46" s="2" t="str">
        <f t="shared" si="2"/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Henri Tantyoko</cp:lastModifiedBy>
  <dcterms:created xsi:type="dcterms:W3CDTF">2026-06-27T07:19:21Z</dcterms:created>
  <dcterms:modified xsi:type="dcterms:W3CDTF">2026-06-29T08:39:11Z</dcterms:modified>
  <cp:category>Test result file</cp:category>
</cp:coreProperties>
</file>