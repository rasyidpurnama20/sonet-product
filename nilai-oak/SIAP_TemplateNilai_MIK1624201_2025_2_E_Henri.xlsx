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nri/Downloads/OAK Nilai/"/>
    </mc:Choice>
  </mc:AlternateContent>
  <xr:revisionPtr revIDLastSave="0" documentId="13_ncr:1_{94C9C428-1D5B-1640-8877-DE5F45328C5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definedNames>
    <definedName name="_xlnm._FilterDatabase" localSheetId="0" hidden="1">Worksheet!$A$7:$P$7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/>
  <c r="M48" i="1" s="1"/>
  <c r="M47" i="1"/>
  <c r="K47" i="1"/>
  <c r="L47" i="1" s="1"/>
  <c r="M46" i="1"/>
  <c r="L46" i="1"/>
  <c r="K46" i="1"/>
  <c r="M45" i="1"/>
  <c r="K45" i="1"/>
  <c r="L45" i="1" s="1"/>
  <c r="K44" i="1"/>
  <c r="M44" i="1" s="1"/>
  <c r="K43" i="1"/>
  <c r="M43" i="1" s="1"/>
  <c r="M42" i="1"/>
  <c r="L42" i="1"/>
  <c r="K42" i="1"/>
  <c r="K41" i="1"/>
  <c r="M41" i="1" s="1"/>
  <c r="K40" i="1"/>
  <c r="L40" i="1" s="1"/>
  <c r="K39" i="1"/>
  <c r="M39" i="1" s="1"/>
  <c r="K38" i="1"/>
  <c r="M38" i="1" s="1"/>
  <c r="K37" i="1"/>
  <c r="L37" i="1" s="1"/>
  <c r="K36" i="1"/>
  <c r="L36" i="1" s="1"/>
  <c r="M35" i="1"/>
  <c r="K35" i="1"/>
  <c r="L35" i="1" s="1"/>
  <c r="K34" i="1"/>
  <c r="L34" i="1" s="1"/>
  <c r="K33" i="1"/>
  <c r="M33" i="1" s="1"/>
  <c r="M32" i="1"/>
  <c r="L32" i="1"/>
  <c r="K32" i="1"/>
  <c r="K31" i="1"/>
  <c r="M31" i="1" s="1"/>
  <c r="K30" i="1"/>
  <c r="M30" i="1" s="1"/>
  <c r="K29" i="1"/>
  <c r="L29" i="1" s="1"/>
  <c r="K28" i="1"/>
  <c r="M28" i="1" s="1"/>
  <c r="K27" i="1"/>
  <c r="M27" i="1" s="1"/>
  <c r="M26" i="1"/>
  <c r="K26" i="1"/>
  <c r="L26" i="1" s="1"/>
  <c r="M25" i="1"/>
  <c r="K25" i="1"/>
  <c r="L25" i="1" s="1"/>
  <c r="K24" i="1"/>
  <c r="L24" i="1" s="1"/>
  <c r="K23" i="1"/>
  <c r="M23" i="1" s="1"/>
  <c r="M22" i="1"/>
  <c r="L22" i="1"/>
  <c r="K22" i="1"/>
  <c r="K21" i="1"/>
  <c r="M21" i="1" s="1"/>
  <c r="K20" i="1"/>
  <c r="M20" i="1" s="1"/>
  <c r="K19" i="1"/>
  <c r="L19" i="1" s="1"/>
  <c r="K18" i="1"/>
  <c r="M18" i="1" s="1"/>
  <c r="K17" i="1"/>
  <c r="M17" i="1" s="1"/>
  <c r="K16" i="1"/>
  <c r="L16" i="1" s="1"/>
  <c r="M15" i="1"/>
  <c r="K15" i="1"/>
  <c r="L15" i="1" s="1"/>
  <c r="K14" i="1"/>
  <c r="M14" i="1" s="1"/>
  <c r="K13" i="1"/>
  <c r="M13" i="1" s="1"/>
  <c r="M12" i="1"/>
  <c r="L12" i="1"/>
  <c r="K12" i="1"/>
  <c r="K11" i="1"/>
  <c r="M11" i="1" s="1"/>
  <c r="K10" i="1"/>
  <c r="L10" i="1" s="1"/>
  <c r="K9" i="1"/>
  <c r="M9" i="1" s="1"/>
  <c r="K8" i="1"/>
  <c r="M8" i="1" s="1"/>
  <c r="L39" i="1" l="1"/>
  <c r="L13" i="1"/>
  <c r="M16" i="1"/>
  <c r="L33" i="1"/>
  <c r="M36" i="1"/>
  <c r="L43" i="1"/>
  <c r="M10" i="1"/>
  <c r="L17" i="1"/>
  <c r="L27" i="1"/>
  <c r="L14" i="1"/>
  <c r="L44" i="1"/>
  <c r="L11" i="1"/>
  <c r="L21" i="1"/>
  <c r="M24" i="1"/>
  <c r="L31" i="1"/>
  <c r="M34" i="1"/>
  <c r="L41" i="1"/>
  <c r="M19" i="1"/>
  <c r="M29" i="1"/>
  <c r="L20" i="1"/>
  <c r="M40" i="1"/>
  <c r="M37" i="1"/>
  <c r="L18" i="1"/>
  <c r="L28" i="1"/>
  <c r="L38" i="1"/>
  <c r="L48" i="1"/>
  <c r="L9" i="1"/>
  <c r="L23" i="1"/>
  <c r="L30" i="1"/>
  <c r="L8" i="1"/>
</calcChain>
</file>

<file path=xl/sharedStrings.xml><?xml version="1.0" encoding="utf-8"?>
<sst xmlns="http://schemas.openxmlformats.org/spreadsheetml/2006/main" count="147" uniqueCount="106">
  <si>
    <t>Mata Kuliah</t>
  </si>
  <si>
    <t>: MIK1624201 - Organisasi dan Arsitektur Komputer</t>
  </si>
  <si>
    <t>Tahun Ajaran</t>
  </si>
  <si>
    <t>: 2025</t>
  </si>
  <si>
    <t>NDk4NzQy</t>
  </si>
  <si>
    <t>Semester</t>
  </si>
  <si>
    <t>: Genap</t>
  </si>
  <si>
    <t>Kelas</t>
  </si>
  <si>
    <t>: E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</si>
  <si>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</si>
  <si>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</si>
  <si>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</si>
  <si>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</si>
  <si>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</si>
  <si>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</si>
  <si>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</si>
  <si>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(10%)</t>
  </si>
  <si>
    <t>Nilai Quiz (0,00-100,00) (10%)</t>
  </si>
  <si>
    <t>Nilai UTS (0,00-100,00) (15%)</t>
  </si>
  <si>
    <t>Nilai UAS (0,00-100) (15%)</t>
  </si>
  <si>
    <t>Nilai Akhir Angka (0,00-100,00)</t>
  </si>
  <si>
    <t>Nilai Akhir Huruf (A/B/C/D/E)</t>
  </si>
  <si>
    <t>Nilai Bobot (0-4)</t>
  </si>
  <si>
    <t>24060125120014</t>
  </si>
  <si>
    <t>BINTANG KRISNA YUDHA</t>
  </si>
  <si>
    <t>BARU</t>
  </si>
  <si>
    <t>24060125120016</t>
  </si>
  <si>
    <t>SYIFAURROHMAN</t>
  </si>
  <si>
    <t>24060125120031</t>
  </si>
  <si>
    <t>RAFA AKBAR SIDIARSYA</t>
  </si>
  <si>
    <t>24060125120044</t>
  </si>
  <si>
    <t>JIHAN ALMAS SYAKILA</t>
  </si>
  <si>
    <t>24060125130117</t>
  </si>
  <si>
    <t>FATIMAH AZ'ZAHRA JANNATUL MURSID</t>
  </si>
  <si>
    <t>24060125140125</t>
  </si>
  <si>
    <t>SATRIO HANIF IBRAHIM</t>
  </si>
  <si>
    <t>24060125140142</t>
  </si>
  <si>
    <t>MUHAMMAD ROBITH HAMMADA (&lt; 75%)</t>
  </si>
  <si>
    <t>24060125140157</t>
  </si>
  <si>
    <t>RIFKI AMIRUL MAJID</t>
  </si>
  <si>
    <t>24060125140214</t>
  </si>
  <si>
    <t>FERJA ARNANDA</t>
  </si>
  <si>
    <t>24060125130070</t>
  </si>
  <si>
    <t>RACHEL KEYLA NAFTALI</t>
  </si>
  <si>
    <t>24060125130079</t>
  </si>
  <si>
    <t>NADIA ARIELLA KALANI</t>
  </si>
  <si>
    <t>24060125140182</t>
  </si>
  <si>
    <t>NABILA ZONA ISLAMI</t>
  </si>
  <si>
    <t>24060125140191</t>
  </si>
  <si>
    <t>ARYO BIMO BAGASKORO</t>
  </si>
  <si>
    <t>24060125140204</t>
  </si>
  <si>
    <t>KEVIN LIEF SITORUS</t>
  </si>
  <si>
    <t>24060125140233</t>
  </si>
  <si>
    <t>M. NAUFAL SYUJA KURNIAWAN</t>
  </si>
  <si>
    <t>24060125140236</t>
  </si>
  <si>
    <t>ADELIA RAFALINA</t>
  </si>
  <si>
    <t>24060125120015</t>
  </si>
  <si>
    <t>MUHAMMAD RAFA ARKAZORA HIDAYAT</t>
  </si>
  <si>
    <t>24060125120028</t>
  </si>
  <si>
    <t>RANDRADINATA FAIQ PRAYOGO</t>
  </si>
  <si>
    <t>24060125120030</t>
  </si>
  <si>
    <t>MUHAMMAD HAMAM NURUL FIKRI</t>
  </si>
  <si>
    <t>24060125130057</t>
  </si>
  <si>
    <t>ATHA FAJAR SATYATAMA</t>
  </si>
  <si>
    <t>24060125130058</t>
  </si>
  <si>
    <t>MUHAMAD FAUZY BAHTIAR (&lt; 75%)</t>
  </si>
  <si>
    <t>24060125130067</t>
  </si>
  <si>
    <t>NABIL ZIDAN AFKARI</t>
  </si>
  <si>
    <t>24060125130068</t>
  </si>
  <si>
    <t>WILYAN PURBO BUWONO</t>
  </si>
  <si>
    <t>24060125130091</t>
  </si>
  <si>
    <t>ALBARTAR MAURAN SRIWIJAYA</t>
  </si>
  <si>
    <t>24060125130094</t>
  </si>
  <si>
    <t>TIMOTHY GRACE ARIEL PUTRANDA (&lt; 75%)</t>
  </si>
  <si>
    <t>24060125130095</t>
  </si>
  <si>
    <t>NABIL AL GAZASKA WARNO PUTRA</t>
  </si>
  <si>
    <t>24060125130103</t>
  </si>
  <si>
    <t>PRADHIPA ADITYA PRATAMA</t>
  </si>
  <si>
    <t>24060125140076</t>
  </si>
  <si>
    <t>KEYSHA AMANDA MAHARANI</t>
  </si>
  <si>
    <t>24060125140133</t>
  </si>
  <si>
    <t>LIONEL IVANNE SISWANTO</t>
  </si>
  <si>
    <t>24060125140145</t>
  </si>
  <si>
    <t>JOSEPH MARCO TANUWIDJAJA</t>
  </si>
  <si>
    <t>24060125140170</t>
  </si>
  <si>
    <t>FATHAN MUBINA</t>
  </si>
  <si>
    <t>24060125140176</t>
  </si>
  <si>
    <t>ZAHID ATHALLAH BALTHAZAR ANUGRAH</t>
  </si>
  <si>
    <t>24060125140179</t>
  </si>
  <si>
    <t>BENEDICTUS DAVID PURNOMO (&lt; 75%)</t>
  </si>
  <si>
    <t>24060125140181</t>
  </si>
  <si>
    <t>CHINTYA NUR RAHMAWATI PUTRI</t>
  </si>
  <si>
    <t>24060125140184</t>
  </si>
  <si>
    <t>LIDIA MAULIDA</t>
  </si>
  <si>
    <t>24060125140201</t>
  </si>
  <si>
    <t>MOHAMMAD RIZQI AKBAR</t>
  </si>
  <si>
    <t>24060125140209</t>
  </si>
  <si>
    <t>ZHAFARI RASYID</t>
  </si>
  <si>
    <t>24060125140216</t>
  </si>
  <si>
    <t>GRACE YOLANDA SIMATUPANG</t>
  </si>
  <si>
    <t>24060125140221</t>
  </si>
  <si>
    <t>MUHAMMAD AKBAR SURYAWAN</t>
  </si>
  <si>
    <t>24060125140229</t>
  </si>
  <si>
    <t>BAGUS JATMIKO</t>
  </si>
  <si>
    <t>24060125140242</t>
  </si>
  <si>
    <t>EUGENE NADYA SERAFHINA PURBA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</si>
</sst>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2" fontId="0" fillId="0" borderId="0" xfId="0" applyNumberFormat="1" applyProtection="1">
      <protection locked="0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topLeftCell="A28" workbookViewId="0">
      <selection activeCell="D16" sqref="D16"/>
    </sheetView>
  </sheetViews>
  <sheetFormatPr baseColWidth="10" defaultColWidth="8.83203125" defaultRowHeight="15" x14ac:dyDescent="0.2"/>
  <cols>
    <col min="1" max="1" width="17.5" bestFit="1" customWidth="1"/>
    <col min="2" max="2" width="58.83203125" bestFit="1" customWidth="1"/>
    <col min="3" max="3" width="10.5" bestFit="1" customWidth="1"/>
    <col min="4" max="4" width="8.33203125" bestFit="1" customWidth="1"/>
    <col min="5" max="5" width="38.83203125" bestFit="1" customWidth="1"/>
    <col min="6" max="6" width="32.6640625" bestFit="1" customWidth="1"/>
    <col min="7" max="7" width="27.5" bestFit="1" customWidth="1"/>
    <col min="8" max="8" width="26.6640625" bestFit="1" customWidth="1"/>
    <col min="9" max="9" width="26.1640625" bestFit="1" customWidth="1"/>
    <col min="10" max="10" width="21.1640625" bestFit="1" customWidth="1"/>
    <col min="11" max="11" width="37.6640625" bestFit="1" customWidth="1"/>
    <col min="12" max="12" width="35.33203125" bestFit="1" customWidth="1"/>
    <col min="13" max="13" width="21.16406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t="s">
        <v>3</v>
      </c>
      <c r="I2" s="1" t="s">
        <v>4</v>
      </c>
    </row>
    <row r="3" spans="1:13" x14ac:dyDescent="0.2">
      <c r="A3" t="s">
        <v>5</v>
      </c>
      <c r="B3" t="s">
        <v>6</v>
      </c>
    </row>
    <row r="4" spans="1:13" x14ac:dyDescent="0.2">
      <c r="A4" t="s">
        <v>7</v>
      </c>
      <c r="B4" t="s">
        <v>8</v>
      </c>
    </row>
    <row r="5" spans="1:13" x14ac:dyDescent="0.2">
      <c r="A5" t="s">
        <v>9</v>
      </c>
      <c r="B5" t="s">
        <v>10</v>
      </c>
    </row>
    <row r="7" spans="1:13" x14ac:dyDescent="0.2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</row>
    <row r="8" spans="1:13" x14ac:dyDescent="0.2">
      <c r="A8" t="s">
        <v>23</v>
      </c>
      <c r="B8" t="s">
        <v>24</v>
      </c>
      <c r="C8">
        <v>2</v>
      </c>
      <c r="D8" t="s">
        <v>25</v>
      </c>
      <c r="E8" s="2">
        <v>100</v>
      </c>
      <c r="F8" s="3">
        <v>90</v>
      </c>
      <c r="G8" s="3">
        <v>86</v>
      </c>
      <c r="H8" s="3">
        <v>78.569999999999993</v>
      </c>
      <c r="I8" s="3">
        <v>49</v>
      </c>
      <c r="J8" s="3">
        <v>95</v>
      </c>
      <c r="K8" s="4">
        <f>ROUND( ((E8*10+F8*40+G8*10+H8*10+I8*15+J8*15) / 100), 2)</f>
        <v>84.06</v>
      </c>
      <c r="L8" s="4" t="str">
        <f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AB</v>
      </c>
      <c r="M8" t="str">
        <f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3.5</v>
      </c>
    </row>
    <row r="9" spans="1:13" x14ac:dyDescent="0.2">
      <c r="A9" t="s">
        <v>26</v>
      </c>
      <c r="B9" t="s">
        <v>27</v>
      </c>
      <c r="C9">
        <v>2</v>
      </c>
      <c r="D9" t="s">
        <v>25</v>
      </c>
      <c r="E9" s="2">
        <v>100</v>
      </c>
      <c r="F9" s="3">
        <v>84</v>
      </c>
      <c r="G9" s="3">
        <v>89</v>
      </c>
      <c r="H9" s="3">
        <v>92.86</v>
      </c>
      <c r="I9" s="3">
        <v>60</v>
      </c>
      <c r="J9" s="3">
        <v>85</v>
      </c>
      <c r="K9" s="4">
        <f>ROUND( ((E9*10+F9*40+G9*10+H9*10+I9*15+J9*15) / 100), 2)</f>
        <v>83.54</v>
      </c>
      <c r="L9" s="4" t="str">
        <f>IF(AND(K9&gt;=85, K9&lt;=100), "A", IF(AND(K9&gt;=80, K9&lt;=84.999999999), "AB", IF(AND(K9&gt;=75, K9&lt;=79.999999999), "B", IF(AND(K9&gt;=70, K9&lt;=74.999999999), "BC", IF(AND(K9&gt;=60, K9&lt;=69.9999999999), "C", IF(AND(K9&gt;=40, K9&lt;=59.999999999), "D", IF(AND(K9&gt;=0, K9&lt;=39.999999999), "E",  "E"  )  )  )  )  )  )  )</f>
        <v>AB</v>
      </c>
      <c r="M9" t="str">
        <f>IF(AND(K9&gt;=85, K9&lt;=100), "4", IF(AND(K9&gt;=80, K9&lt;=84.999999999), "3.5", IF(AND(K9&gt;=75, K9&lt;=79.999999999), "3", IF(AND(K9&gt;=70, K9&lt;=74.999999999), "2.5", IF(AND(K9&gt;=60, K9&lt;=69.9999999999), "2", IF(AND(K9&gt;=40, K9&lt;=59.999999999), "1", IF(AND(K9&gt;=0, K9&lt;=39.999999999), "0",  "0"  )  )  )  )  )  )  )</f>
        <v>3.5</v>
      </c>
    </row>
    <row r="10" spans="1:13" x14ac:dyDescent="0.2">
      <c r="A10" t="s">
        <v>28</v>
      </c>
      <c r="B10" t="s">
        <v>29</v>
      </c>
      <c r="C10">
        <v>2</v>
      </c>
      <c r="D10" t="s">
        <v>25</v>
      </c>
      <c r="E10" s="2">
        <v>100</v>
      </c>
      <c r="F10" s="3">
        <v>87</v>
      </c>
      <c r="G10" s="3">
        <v>86</v>
      </c>
      <c r="H10" s="3">
        <v>92.86</v>
      </c>
      <c r="I10" s="3">
        <v>60</v>
      </c>
      <c r="J10" s="3">
        <v>95</v>
      </c>
      <c r="K10" s="4">
        <f>ROUND( ((E10*10+F10*40+G10*10+H10*10+I10*15+J10*15) / 100), 2)</f>
        <v>85.94</v>
      </c>
      <c r="L10" s="4" t="str">
        <f>IF(AND(K10&gt;=85, K10&lt;=100), "A", IF(AND(K10&gt;=80, K10&lt;=84.999999999), "AB", IF(AND(K10&gt;=75, K10&lt;=79.999999999), "B", IF(AND(K10&gt;=70, K10&lt;=74.999999999), "BC", IF(AND(K10&gt;=60, K10&lt;=69.9999999999), "C", IF(AND(K10&gt;=40, K10&lt;=59.999999999), "D", IF(AND(K10&gt;=0, K10&lt;=39.999999999), "E",  "E"  )  )  )  )  )  )  )</f>
        <v>A</v>
      </c>
      <c r="M10" t="str">
        <f>IF(AND(K10&gt;=85, K10&lt;=100), "4", IF(AND(K10&gt;=80, K10&lt;=84.999999999), "3.5", IF(AND(K10&gt;=75, K10&lt;=79.999999999), "3", IF(AND(K10&gt;=70, K10&lt;=74.999999999), "2.5", IF(AND(K10&gt;=60, K10&lt;=69.9999999999), "2", IF(AND(K10&gt;=40, K10&lt;=59.999999999), "1", IF(AND(K10&gt;=0, K10&lt;=39.999999999), "0",  "0"  )  )  )  )  )  )  )</f>
        <v>4</v>
      </c>
    </row>
    <row r="11" spans="1:13" x14ac:dyDescent="0.2">
      <c r="A11" t="s">
        <v>30</v>
      </c>
      <c r="B11" t="s">
        <v>31</v>
      </c>
      <c r="C11">
        <v>2</v>
      </c>
      <c r="D11" t="s">
        <v>25</v>
      </c>
      <c r="E11" s="2">
        <v>100</v>
      </c>
      <c r="F11" s="3">
        <v>85</v>
      </c>
      <c r="G11" s="3">
        <v>88</v>
      </c>
      <c r="H11" s="3">
        <v>69.05</v>
      </c>
      <c r="I11" s="3">
        <v>36</v>
      </c>
      <c r="J11" s="3">
        <v>95</v>
      </c>
      <c r="K11" s="4">
        <f>ROUND( ((E11*10+F11*40+G11*10+H11*10+I11*15+J11*15) / 100), 2)</f>
        <v>79.36</v>
      </c>
      <c r="L11" s="4" t="str">
        <f>IF(AND(K11&gt;=85, K11&lt;=100), "A", IF(AND(K11&gt;=80, K11&lt;=84.999999999), "AB", IF(AND(K11&gt;=75, K11&lt;=79.999999999), "B", IF(AND(K11&gt;=70, K11&lt;=74.999999999), "BC", IF(AND(K11&gt;=60, K11&lt;=69.9999999999), "C", IF(AND(K11&gt;=40, K11&lt;=59.999999999), "D", IF(AND(K11&gt;=0, K11&lt;=39.999999999), "E",  "E"  )  )  )  )  )  )  )</f>
        <v>B</v>
      </c>
      <c r="M11" t="str">
        <f>IF(AND(K11&gt;=85, K11&lt;=100), "4", IF(AND(K11&gt;=80, K11&lt;=84.999999999), "3.5", IF(AND(K11&gt;=75, K11&lt;=79.999999999), "3", IF(AND(K11&gt;=70, K11&lt;=74.999999999), "2.5", IF(AND(K11&gt;=60, K11&lt;=69.9999999999), "2", IF(AND(K11&gt;=40, K11&lt;=59.999999999), "1", IF(AND(K11&gt;=0, K11&lt;=39.999999999), "0",  "0"  )  )  )  )  )  )  )</f>
        <v>3</v>
      </c>
    </row>
    <row r="12" spans="1:13" x14ac:dyDescent="0.2">
      <c r="A12" t="s">
        <v>32</v>
      </c>
      <c r="B12" t="s">
        <v>33</v>
      </c>
      <c r="C12">
        <v>2</v>
      </c>
      <c r="D12" t="s">
        <v>25</v>
      </c>
      <c r="E12" s="2">
        <v>100</v>
      </c>
      <c r="F12" s="3">
        <v>85</v>
      </c>
      <c r="G12" s="3">
        <v>86</v>
      </c>
      <c r="H12" s="3">
        <v>92.86</v>
      </c>
      <c r="I12" s="3">
        <v>48</v>
      </c>
      <c r="J12" s="3">
        <v>95</v>
      </c>
      <c r="K12" s="4">
        <f>ROUND( ((E12*10+F12*40+G12*10+H12*10+I12*15+J12*15) / 100), 2)</f>
        <v>83.34</v>
      </c>
      <c r="L12" s="4" t="str">
        <f>IF(AND(K12&gt;=85, K12&lt;=100), "A", IF(AND(K12&gt;=80, K12&lt;=84.999999999), "AB", IF(AND(K12&gt;=75, K12&lt;=79.999999999), "B", IF(AND(K12&gt;=70, K12&lt;=74.999999999), "BC", IF(AND(K12&gt;=60, K12&lt;=69.9999999999), "C", IF(AND(K12&gt;=40, K12&lt;=59.999999999), "D", IF(AND(K12&gt;=0, K12&lt;=39.999999999), "E",  "E"  )  )  )  )  )  )  )</f>
        <v>AB</v>
      </c>
      <c r="M12" t="str">
        <f>IF(AND(K12&gt;=85, K12&lt;=100), "4", IF(AND(K12&gt;=80, K12&lt;=84.999999999), "3.5", IF(AND(K12&gt;=75, K12&lt;=79.999999999), "3", IF(AND(K12&gt;=70, K12&lt;=74.999999999), "2.5", IF(AND(K12&gt;=60, K12&lt;=69.9999999999), "2", IF(AND(K12&gt;=40, K12&lt;=59.999999999), "1", IF(AND(K12&gt;=0, K12&lt;=39.999999999), "0",  "0"  )  )  )  )  )  )  )</f>
        <v>3.5</v>
      </c>
    </row>
    <row r="13" spans="1:13" x14ac:dyDescent="0.2">
      <c r="A13" t="s">
        <v>34</v>
      </c>
      <c r="B13" t="s">
        <v>35</v>
      </c>
      <c r="C13">
        <v>2</v>
      </c>
      <c r="D13" t="s">
        <v>25</v>
      </c>
      <c r="E13" s="2">
        <v>92.86</v>
      </c>
      <c r="F13" s="3">
        <v>84</v>
      </c>
      <c r="G13" s="3">
        <v>87</v>
      </c>
      <c r="H13" s="3">
        <v>83.33</v>
      </c>
      <c r="I13" s="3">
        <v>58</v>
      </c>
      <c r="J13" s="3">
        <v>90</v>
      </c>
      <c r="K13" s="4">
        <f>ROUND( ((E13*10+F13*40+G13*10+H13*10+I13*15+J13*15) / 100), 2)</f>
        <v>82.12</v>
      </c>
      <c r="L13" s="4" t="str">
        <f>IF(AND(K13&gt;=85, K13&lt;=100), "A", IF(AND(K13&gt;=80, K13&lt;=84.999999999), "AB", IF(AND(K13&gt;=75, K13&lt;=79.999999999), "B", IF(AND(K13&gt;=70, K13&lt;=74.999999999), "BC", IF(AND(K13&gt;=60, K13&lt;=69.9999999999), "C", IF(AND(K13&gt;=40, K13&lt;=59.999999999), "D", IF(AND(K13&gt;=0, K13&lt;=39.999999999), "E",  "E"  )  )  )  )  )  )  )</f>
        <v>AB</v>
      </c>
      <c r="M13" t="str">
        <f>IF(AND(K13&gt;=85, K13&lt;=100), "4", IF(AND(K13&gt;=80, K13&lt;=84.999999999), "3.5", IF(AND(K13&gt;=75, K13&lt;=79.999999999), "3", IF(AND(K13&gt;=70, K13&lt;=74.999999999), "2.5", IF(AND(K13&gt;=60, K13&lt;=69.9999999999), "2", IF(AND(K13&gt;=40, K13&lt;=59.999999999), "1", IF(AND(K13&gt;=0, K13&lt;=39.999999999), "0",  "0"  )  )  )  )  )  )  )</f>
        <v>3.5</v>
      </c>
    </row>
    <row r="14" spans="1:13" x14ac:dyDescent="0.2">
      <c r="A14" t="s">
        <v>36</v>
      </c>
      <c r="B14" t="s">
        <v>37</v>
      </c>
      <c r="C14">
        <v>2</v>
      </c>
      <c r="D14" t="s">
        <v>25</v>
      </c>
      <c r="E14" s="2">
        <v>71.430000000000007</v>
      </c>
      <c r="F14" s="3">
        <v>80</v>
      </c>
      <c r="G14" s="3">
        <v>89</v>
      </c>
      <c r="H14" s="3">
        <v>90.48</v>
      </c>
      <c r="I14" s="3">
        <v>30</v>
      </c>
      <c r="J14" s="4"/>
      <c r="K14" s="4">
        <f>ROUND( ((E14*10+F14*40+G14*10+H14*10+I14*15+J14*15) / 100), 2)</f>
        <v>61.59</v>
      </c>
      <c r="L14" s="4" t="str">
        <f>IF(AND(K14&gt;=85, K14&lt;=100), "A", IF(AND(K14&gt;=80, K14&lt;=84.999999999), "AB", IF(AND(K14&gt;=75, K14&lt;=79.999999999), "B", IF(AND(K14&gt;=70, K14&lt;=74.999999999), "BC", IF(AND(K14&gt;=60, K14&lt;=69.9999999999), "C", IF(AND(K14&gt;=40, K14&lt;=59.999999999), "D", IF(AND(K14&gt;=0, K14&lt;=39.999999999), "E",  "E"  )  )  )  )  )  )  )</f>
        <v>C</v>
      </c>
      <c r="M14" t="str">
        <f>IF(AND(K14&gt;=85, K14&lt;=100), "4", IF(AND(K14&gt;=80, K14&lt;=84.999999999), "3.5", IF(AND(K14&gt;=75, K14&lt;=79.999999999), "3", IF(AND(K14&gt;=70, K14&lt;=74.999999999), "2.5", IF(AND(K14&gt;=60, K14&lt;=69.9999999999), "2", IF(AND(K14&gt;=40, K14&lt;=59.999999999), "1", IF(AND(K14&gt;=0, K14&lt;=39.999999999), "0",  "0"  )  )  )  )  )  )  )</f>
        <v>2</v>
      </c>
    </row>
    <row r="15" spans="1:13" x14ac:dyDescent="0.2">
      <c r="A15" t="s">
        <v>38</v>
      </c>
      <c r="B15" t="s">
        <v>39</v>
      </c>
      <c r="C15">
        <v>2</v>
      </c>
      <c r="D15" t="s">
        <v>25</v>
      </c>
      <c r="E15" s="2">
        <v>92.86</v>
      </c>
      <c r="F15" s="3">
        <v>88</v>
      </c>
      <c r="G15" s="3">
        <v>88</v>
      </c>
      <c r="H15" s="3">
        <v>95.24</v>
      </c>
      <c r="I15" s="3">
        <v>51</v>
      </c>
      <c r="J15" s="3">
        <v>50</v>
      </c>
      <c r="K15" s="4">
        <f>ROUND( ((E15*10+F15*40+G15*10+H15*10+I15*15+J15*15) / 100), 2)</f>
        <v>77.959999999999994</v>
      </c>
      <c r="L15" s="4" t="str">
        <f>IF(AND(K15&gt;=85, K15&lt;=100), "A", IF(AND(K15&gt;=80, K15&lt;=84.999999999), "AB", IF(AND(K15&gt;=75, K15&lt;=79.999999999), "B", IF(AND(K15&gt;=70, K15&lt;=74.999999999), "BC", IF(AND(K15&gt;=60, K15&lt;=69.9999999999), "C", IF(AND(K15&gt;=40, K15&lt;=59.999999999), "D", IF(AND(K15&gt;=0, K15&lt;=39.999999999), "E",  "E"  )  )  )  )  )  )  )</f>
        <v>B</v>
      </c>
      <c r="M15" t="str">
        <f>IF(AND(K15&gt;=85, K15&lt;=100), "4", IF(AND(K15&gt;=80, K15&lt;=84.999999999), "3.5", IF(AND(K15&gt;=75, K15&lt;=79.999999999), "3", IF(AND(K15&gt;=70, K15&lt;=74.999999999), "2.5", IF(AND(K15&gt;=60, K15&lt;=69.9999999999), "2", IF(AND(K15&gt;=40, K15&lt;=59.999999999), "1", IF(AND(K15&gt;=0, K15&lt;=39.999999999), "0",  "0"  )  )  )  )  )  )  )</f>
        <v>3</v>
      </c>
    </row>
    <row r="16" spans="1:13" x14ac:dyDescent="0.2">
      <c r="A16" t="s">
        <v>40</v>
      </c>
      <c r="B16" t="s">
        <v>41</v>
      </c>
      <c r="C16">
        <v>2</v>
      </c>
      <c r="D16" t="s">
        <v>25</v>
      </c>
      <c r="E16" s="2">
        <v>92.86</v>
      </c>
      <c r="F16" s="3">
        <v>87</v>
      </c>
      <c r="G16" s="3">
        <v>85</v>
      </c>
      <c r="H16" s="3">
        <v>85.71</v>
      </c>
      <c r="I16" s="3">
        <v>0</v>
      </c>
      <c r="J16" s="3">
        <v>45</v>
      </c>
      <c r="K16" s="4">
        <f>ROUND( ((E16*10+F16*40+G16*10+H16*10+I16*15+J16*15) / 100), 2)</f>
        <v>67.91</v>
      </c>
      <c r="L16" s="4" t="str">
        <f>IF(AND(K16&gt;=85, K16&lt;=100), "A", IF(AND(K16&gt;=80, K16&lt;=84.999999999), "AB", IF(AND(K16&gt;=75, K16&lt;=79.999999999), "B", IF(AND(K16&gt;=70, K16&lt;=74.999999999), "BC", IF(AND(K16&gt;=60, K16&lt;=69.9999999999), "C", IF(AND(K16&gt;=40, K16&lt;=59.999999999), "D", IF(AND(K16&gt;=0, K16&lt;=39.999999999), "E",  "E"  )  )  )  )  )  )  )</f>
        <v>C</v>
      </c>
      <c r="M16" t="str">
        <f>IF(AND(K16&gt;=85, K16&lt;=100), "4", IF(AND(K16&gt;=80, K16&lt;=84.999999999), "3.5", IF(AND(K16&gt;=75, K16&lt;=79.999999999), "3", IF(AND(K16&gt;=70, K16&lt;=74.999999999), "2.5", IF(AND(K16&gt;=60, K16&lt;=69.9999999999), "2", IF(AND(K16&gt;=40, K16&lt;=59.999999999), "1", IF(AND(K16&gt;=0, K16&lt;=39.999999999), "0",  "0"  )  )  )  )  )  )  )</f>
        <v>2</v>
      </c>
    </row>
    <row r="17" spans="1:13" x14ac:dyDescent="0.2">
      <c r="A17" t="s">
        <v>42</v>
      </c>
      <c r="B17" t="s">
        <v>43</v>
      </c>
      <c r="C17">
        <v>2</v>
      </c>
      <c r="D17" t="s">
        <v>25</v>
      </c>
      <c r="E17" s="2">
        <v>100</v>
      </c>
      <c r="F17" s="3">
        <v>85</v>
      </c>
      <c r="G17" s="3">
        <v>86</v>
      </c>
      <c r="H17" s="3">
        <v>95.24</v>
      </c>
      <c r="I17" s="3">
        <v>55</v>
      </c>
      <c r="J17" s="3">
        <v>95</v>
      </c>
      <c r="K17" s="4">
        <f>ROUND( ((E17*10+F17*40+G17*10+H17*10+I17*15+J17*15) / 100), 2)</f>
        <v>84.62</v>
      </c>
      <c r="L17" s="4" t="str">
        <f>IF(AND(K17&gt;=85, K17&lt;=100), "A", IF(AND(K17&gt;=80, K17&lt;=84.999999999), "AB", IF(AND(K17&gt;=75, K17&lt;=79.999999999), "B", IF(AND(K17&gt;=70, K17&lt;=74.999999999), "BC", IF(AND(K17&gt;=60, K17&lt;=69.9999999999), "C", IF(AND(K17&gt;=40, K17&lt;=59.999999999), "D", IF(AND(K17&gt;=0, K17&lt;=39.999999999), "E",  "E"  )  )  )  )  )  )  )</f>
        <v>AB</v>
      </c>
      <c r="M17" t="str">
        <f>IF(AND(K17&gt;=85, K17&lt;=100), "4", IF(AND(K17&gt;=80, K17&lt;=84.999999999), "3.5", IF(AND(K17&gt;=75, K17&lt;=79.999999999), "3", IF(AND(K17&gt;=70, K17&lt;=74.999999999), "2.5", IF(AND(K17&gt;=60, K17&lt;=69.9999999999), "2", IF(AND(K17&gt;=40, K17&lt;=59.999999999), "1", IF(AND(K17&gt;=0, K17&lt;=39.999999999), "0",  "0"  )  )  )  )  )  )  )</f>
        <v>3.5</v>
      </c>
    </row>
    <row r="18" spans="1:13" x14ac:dyDescent="0.2">
      <c r="A18" t="s">
        <v>44</v>
      </c>
      <c r="B18" t="s">
        <v>45</v>
      </c>
      <c r="C18">
        <v>2</v>
      </c>
      <c r="D18" t="s">
        <v>25</v>
      </c>
      <c r="E18" s="2">
        <v>100</v>
      </c>
      <c r="F18" s="3">
        <v>85</v>
      </c>
      <c r="G18" s="3">
        <v>85</v>
      </c>
      <c r="H18" s="3">
        <v>92.86</v>
      </c>
      <c r="I18" s="3">
        <v>43</v>
      </c>
      <c r="J18" s="3">
        <v>70</v>
      </c>
      <c r="K18" s="4">
        <f>ROUND( ((E18*10+F18*40+G18*10+H18*10+I18*15+J18*15) / 100), 2)</f>
        <v>78.739999999999995</v>
      </c>
      <c r="L18" s="4" t="str">
        <f>IF(AND(K18&gt;=85, K18&lt;=100), "A", IF(AND(K18&gt;=80, K18&lt;=84.999999999), "AB", IF(AND(K18&gt;=75, K18&lt;=79.999999999), "B", IF(AND(K18&gt;=70, K18&lt;=74.999999999), "BC", IF(AND(K18&gt;=60, K18&lt;=69.9999999999), "C", IF(AND(K18&gt;=40, K18&lt;=59.999999999), "D", IF(AND(K18&gt;=0, K18&lt;=39.999999999), "E",  "E"  )  )  )  )  )  )  )</f>
        <v>B</v>
      </c>
      <c r="M18" t="str">
        <f>IF(AND(K18&gt;=85, K18&lt;=100), "4", IF(AND(K18&gt;=80, K18&lt;=84.999999999), "3.5", IF(AND(K18&gt;=75, K18&lt;=79.999999999), "3", IF(AND(K18&gt;=70, K18&lt;=74.999999999), "2.5", IF(AND(K18&gt;=60, K18&lt;=69.9999999999), "2", IF(AND(K18&gt;=40, K18&lt;=59.999999999), "1", IF(AND(K18&gt;=0, K18&lt;=39.999999999), "0",  "0"  )  )  )  )  )  )  )</f>
        <v>3</v>
      </c>
    </row>
    <row r="19" spans="1:13" x14ac:dyDescent="0.2">
      <c r="A19" t="s">
        <v>46</v>
      </c>
      <c r="B19" t="s">
        <v>47</v>
      </c>
      <c r="C19">
        <v>2</v>
      </c>
      <c r="D19" t="s">
        <v>25</v>
      </c>
      <c r="E19" s="2">
        <v>92.86</v>
      </c>
      <c r="F19" s="3">
        <v>85</v>
      </c>
      <c r="G19" s="3">
        <v>88</v>
      </c>
      <c r="H19" s="3">
        <v>92.86</v>
      </c>
      <c r="I19" s="3">
        <v>60</v>
      </c>
      <c r="J19" s="3">
        <v>60</v>
      </c>
      <c r="K19" s="4">
        <f>ROUND( ((E19*10+F19*40+G19*10+H19*10+I19*15+J19*15) / 100), 2)</f>
        <v>79.37</v>
      </c>
      <c r="L19" s="4" t="str">
        <f>IF(AND(K19&gt;=85, K19&lt;=100), "A", IF(AND(K19&gt;=80, K19&lt;=84.999999999), "AB", IF(AND(K19&gt;=75, K19&lt;=79.999999999), "B", IF(AND(K19&gt;=70, K19&lt;=74.999999999), "BC", IF(AND(K19&gt;=60, K19&lt;=69.9999999999), "C", IF(AND(K19&gt;=40, K19&lt;=59.999999999), "D", IF(AND(K19&gt;=0, K19&lt;=39.999999999), "E",  "E"  )  )  )  )  )  )  )</f>
        <v>B</v>
      </c>
      <c r="M19" t="str">
        <f>IF(AND(K19&gt;=85, K19&lt;=100), "4", IF(AND(K19&gt;=80, K19&lt;=84.999999999), "3.5", IF(AND(K19&gt;=75, K19&lt;=79.999999999), "3", IF(AND(K19&gt;=70, K19&lt;=74.999999999), "2.5", IF(AND(K19&gt;=60, K19&lt;=69.9999999999), "2", IF(AND(K19&gt;=40, K19&lt;=59.999999999), "1", IF(AND(K19&gt;=0, K19&lt;=39.999999999), "0",  "0"  )  )  )  )  )  )  )</f>
        <v>3</v>
      </c>
    </row>
    <row r="20" spans="1:13" x14ac:dyDescent="0.2">
      <c r="A20" t="s">
        <v>48</v>
      </c>
      <c r="B20" t="s">
        <v>49</v>
      </c>
      <c r="C20">
        <v>2</v>
      </c>
      <c r="D20" t="s">
        <v>25</v>
      </c>
      <c r="E20" s="2">
        <v>85.71</v>
      </c>
      <c r="F20" s="3">
        <v>80</v>
      </c>
      <c r="G20" s="3">
        <v>88</v>
      </c>
      <c r="H20" s="3">
        <v>92.86</v>
      </c>
      <c r="I20" s="3">
        <v>60</v>
      </c>
      <c r="J20" s="3">
        <v>65</v>
      </c>
      <c r="K20" s="4">
        <f>ROUND( ((E20*10+F20*40+G20*10+H20*10+I20*15+J20*15) / 100), 2)</f>
        <v>77.41</v>
      </c>
      <c r="L20" s="4" t="str">
        <f>IF(AND(K20&gt;=85, K20&lt;=100), "A", IF(AND(K20&gt;=80, K20&lt;=84.999999999), "AB", IF(AND(K20&gt;=75, K20&lt;=79.999999999), "B", IF(AND(K20&gt;=70, K20&lt;=74.999999999), "BC", IF(AND(K20&gt;=60, K20&lt;=69.9999999999), "C", IF(AND(K20&gt;=40, K20&lt;=59.999999999), "D", IF(AND(K20&gt;=0, K20&lt;=39.999999999), "E",  "E"  )  )  )  )  )  )  )</f>
        <v>B</v>
      </c>
      <c r="M20" t="str">
        <f>IF(AND(K20&gt;=85, K20&lt;=100), "4", IF(AND(K20&gt;=80, K20&lt;=84.999999999), "3.5", IF(AND(K20&gt;=75, K20&lt;=79.999999999), "3", IF(AND(K20&gt;=70, K20&lt;=74.999999999), "2.5", IF(AND(K20&gt;=60, K20&lt;=69.9999999999), "2", IF(AND(K20&gt;=40, K20&lt;=59.999999999), "1", IF(AND(K20&gt;=0, K20&lt;=39.999999999), "0",  "0"  )  )  )  )  )  )  )</f>
        <v>3</v>
      </c>
    </row>
    <row r="21" spans="1:13" x14ac:dyDescent="0.2">
      <c r="A21" t="s">
        <v>50</v>
      </c>
      <c r="B21" t="s">
        <v>51</v>
      </c>
      <c r="C21">
        <v>2</v>
      </c>
      <c r="D21" t="s">
        <v>25</v>
      </c>
      <c r="E21" s="2">
        <v>100</v>
      </c>
      <c r="F21" s="3">
        <v>87</v>
      </c>
      <c r="G21" s="3">
        <v>86</v>
      </c>
      <c r="H21" s="3">
        <v>92.86</v>
      </c>
      <c r="I21" s="3">
        <v>23</v>
      </c>
      <c r="J21" s="3">
        <v>80</v>
      </c>
      <c r="K21" s="4">
        <f>ROUND( ((E21*10+F21*40+G21*10+H21*10+I21*15+J21*15) / 100), 2)</f>
        <v>78.14</v>
      </c>
      <c r="L21" s="4" t="str">
        <f>IF(AND(K21&gt;=85, K21&lt;=100), "A", IF(AND(K21&gt;=80, K21&lt;=84.999999999), "AB", IF(AND(K21&gt;=75, K21&lt;=79.999999999), "B", IF(AND(K21&gt;=70, K21&lt;=74.999999999), "BC", IF(AND(K21&gt;=60, K21&lt;=69.9999999999), "C", IF(AND(K21&gt;=40, K21&lt;=59.999999999), "D", IF(AND(K21&gt;=0, K21&lt;=39.999999999), "E",  "E"  )  )  )  )  )  )  )</f>
        <v>B</v>
      </c>
      <c r="M21" t="str">
        <f>IF(AND(K21&gt;=85, K21&lt;=100), "4", IF(AND(K21&gt;=80, K21&lt;=84.999999999), "3.5", IF(AND(K21&gt;=75, K21&lt;=79.999999999), "3", IF(AND(K21&gt;=70, K21&lt;=74.999999999), "2.5", IF(AND(K21&gt;=60, K21&lt;=69.9999999999), "2", IF(AND(K21&gt;=40, K21&lt;=59.999999999), "1", IF(AND(K21&gt;=0, K21&lt;=39.999999999), "0",  "0"  )  )  )  )  )  )  )</f>
        <v>3</v>
      </c>
    </row>
    <row r="22" spans="1:13" x14ac:dyDescent="0.2">
      <c r="A22" t="s">
        <v>52</v>
      </c>
      <c r="B22" t="s">
        <v>53</v>
      </c>
      <c r="C22">
        <v>2</v>
      </c>
      <c r="D22" t="s">
        <v>25</v>
      </c>
      <c r="E22" s="2">
        <v>100</v>
      </c>
      <c r="F22" s="3">
        <v>87</v>
      </c>
      <c r="G22" s="3">
        <v>86</v>
      </c>
      <c r="H22" s="3">
        <v>92.86</v>
      </c>
      <c r="I22" s="3">
        <v>21</v>
      </c>
      <c r="J22" s="3">
        <v>70</v>
      </c>
      <c r="K22" s="4">
        <f>ROUND( ((E22*10+F22*40+G22*10+H22*10+I22*15+J22*15) / 100), 2)</f>
        <v>76.34</v>
      </c>
      <c r="L22" s="4" t="str">
        <f>IF(AND(K22&gt;=85, K22&lt;=100), "A", IF(AND(K22&gt;=80, K22&lt;=84.999999999), "AB", IF(AND(K22&gt;=75, K22&lt;=79.999999999), "B", IF(AND(K22&gt;=70, K22&lt;=74.999999999), "BC", IF(AND(K22&gt;=60, K22&lt;=69.9999999999), "C", IF(AND(K22&gt;=40, K22&lt;=59.999999999), "D", IF(AND(K22&gt;=0, K22&lt;=39.999999999), "E",  "E"  )  )  )  )  )  )  )</f>
        <v>B</v>
      </c>
      <c r="M22" t="str">
        <f>IF(AND(K22&gt;=85, K22&lt;=100), "4", IF(AND(K22&gt;=80, K22&lt;=84.999999999), "3.5", IF(AND(K22&gt;=75, K22&lt;=79.999999999), "3", IF(AND(K22&gt;=70, K22&lt;=74.999999999), "2.5", IF(AND(K22&gt;=60, K22&lt;=69.9999999999), "2", IF(AND(K22&gt;=40, K22&lt;=59.999999999), "1", IF(AND(K22&gt;=0, K22&lt;=39.999999999), "0",  "0"  )  )  )  )  )  )  )</f>
        <v>3</v>
      </c>
    </row>
    <row r="23" spans="1:13" x14ac:dyDescent="0.2">
      <c r="A23" t="s">
        <v>54</v>
      </c>
      <c r="B23" t="s">
        <v>55</v>
      </c>
      <c r="C23">
        <v>2</v>
      </c>
      <c r="D23" t="s">
        <v>25</v>
      </c>
      <c r="E23" s="2">
        <v>100</v>
      </c>
      <c r="F23" s="3">
        <v>85</v>
      </c>
      <c r="G23" s="3">
        <v>89</v>
      </c>
      <c r="H23" s="3">
        <v>92.86</v>
      </c>
      <c r="I23" s="3">
        <v>35</v>
      </c>
      <c r="J23" s="3">
        <v>75</v>
      </c>
      <c r="K23" s="4">
        <f>ROUND( ((E23*10+F23*40+G23*10+H23*10+I23*15+J23*15) / 100), 2)</f>
        <v>78.69</v>
      </c>
      <c r="L23" s="4" t="str">
        <f>IF(AND(K23&gt;=85, K23&lt;=100), "A", IF(AND(K23&gt;=80, K23&lt;=84.999999999), "AB", IF(AND(K23&gt;=75, K23&lt;=79.999999999), "B", IF(AND(K23&gt;=70, K23&lt;=74.999999999), "BC", IF(AND(K23&gt;=60, K23&lt;=69.9999999999), "C", IF(AND(K23&gt;=40, K23&lt;=59.999999999), "D", IF(AND(K23&gt;=0, K23&lt;=39.999999999), "E",  "E"  )  )  )  )  )  )  )</f>
        <v>B</v>
      </c>
      <c r="M23" t="str">
        <f>IF(AND(K23&gt;=85, K23&lt;=100), "4", IF(AND(K23&gt;=80, K23&lt;=84.999999999), "3.5", IF(AND(K23&gt;=75, K23&lt;=79.999999999), "3", IF(AND(K23&gt;=70, K23&lt;=74.999999999), "2.5", IF(AND(K23&gt;=60, K23&lt;=69.9999999999), "2", IF(AND(K23&gt;=40, K23&lt;=59.999999999), "1", IF(AND(K23&gt;=0, K23&lt;=39.999999999), "0",  "0"  )  )  )  )  )  )  )</f>
        <v>3</v>
      </c>
    </row>
    <row r="24" spans="1:13" x14ac:dyDescent="0.2">
      <c r="A24" t="s">
        <v>56</v>
      </c>
      <c r="B24" t="s">
        <v>57</v>
      </c>
      <c r="C24">
        <v>2</v>
      </c>
      <c r="D24" t="s">
        <v>25</v>
      </c>
      <c r="E24" s="2">
        <v>100</v>
      </c>
      <c r="F24" s="3">
        <v>88</v>
      </c>
      <c r="G24" s="3">
        <v>87</v>
      </c>
      <c r="H24" s="3">
        <v>90.48</v>
      </c>
      <c r="I24" s="3">
        <v>58</v>
      </c>
      <c r="J24" s="3">
        <v>85</v>
      </c>
      <c r="K24" s="4">
        <f>ROUND( ((E24*10+F24*40+G24*10+H24*10+I24*15+J24*15) / 100), 2)</f>
        <v>84.4</v>
      </c>
      <c r="L24" s="4" t="str">
        <f>IF(AND(K24&gt;=85, K24&lt;=100), "A", IF(AND(K24&gt;=80, K24&lt;=84.999999999), "AB", IF(AND(K24&gt;=75, K24&lt;=79.999999999), "B", IF(AND(K24&gt;=70, K24&lt;=74.999999999), "BC", IF(AND(K24&gt;=60, K24&lt;=69.9999999999), "C", IF(AND(K24&gt;=40, K24&lt;=59.999999999), "D", IF(AND(K24&gt;=0, K24&lt;=39.999999999), "E",  "E"  )  )  )  )  )  )  )</f>
        <v>AB</v>
      </c>
      <c r="M24" t="str">
        <f>IF(AND(K24&gt;=85, K24&lt;=100), "4", IF(AND(K24&gt;=80, K24&lt;=84.999999999), "3.5", IF(AND(K24&gt;=75, K24&lt;=79.999999999), "3", IF(AND(K24&gt;=70, K24&lt;=74.999999999), "2.5", IF(AND(K24&gt;=60, K24&lt;=69.9999999999), "2", IF(AND(K24&gt;=40, K24&lt;=59.999999999), "1", IF(AND(K24&gt;=0, K24&lt;=39.999999999), "0",  "0"  )  )  )  )  )  )  )</f>
        <v>3.5</v>
      </c>
    </row>
    <row r="25" spans="1:13" x14ac:dyDescent="0.2">
      <c r="A25" t="s">
        <v>58</v>
      </c>
      <c r="B25" t="s">
        <v>59</v>
      </c>
      <c r="C25">
        <v>2</v>
      </c>
      <c r="D25" t="s">
        <v>25</v>
      </c>
      <c r="E25" s="2">
        <v>100</v>
      </c>
      <c r="F25" s="3">
        <v>88</v>
      </c>
      <c r="G25" s="3">
        <v>88</v>
      </c>
      <c r="H25" s="3">
        <v>92.86</v>
      </c>
      <c r="I25" s="3">
        <v>60</v>
      </c>
      <c r="J25" s="3">
        <v>95</v>
      </c>
      <c r="K25" s="4">
        <f>ROUND( ((E25*10+F25*40+G25*10+H25*10+I25*15+J25*15) / 100), 2)</f>
        <v>86.54</v>
      </c>
      <c r="L25" s="4" t="str">
        <f>IF(AND(K25&gt;=85, K25&lt;=100), "A", IF(AND(K25&gt;=80, K25&lt;=84.999999999), "AB", IF(AND(K25&gt;=75, K25&lt;=79.999999999), "B", IF(AND(K25&gt;=70, K25&lt;=74.999999999), "BC", IF(AND(K25&gt;=60, K25&lt;=69.9999999999), "C", IF(AND(K25&gt;=40, K25&lt;=59.999999999), "D", IF(AND(K25&gt;=0, K25&lt;=39.999999999), "E",  "E"  )  )  )  )  )  )  )</f>
        <v>A</v>
      </c>
      <c r="M25" t="str">
        <f>IF(AND(K25&gt;=85, K25&lt;=100), "4", IF(AND(K25&gt;=80, K25&lt;=84.999999999), "3.5", IF(AND(K25&gt;=75, K25&lt;=79.999999999), "3", IF(AND(K25&gt;=70, K25&lt;=74.999999999), "2.5", IF(AND(K25&gt;=60, K25&lt;=69.9999999999), "2", IF(AND(K25&gt;=40, K25&lt;=59.999999999), "1", IF(AND(K25&gt;=0, K25&lt;=39.999999999), "0",  "0"  )  )  )  )  )  )  )</f>
        <v>4</v>
      </c>
    </row>
    <row r="26" spans="1:13" x14ac:dyDescent="0.2">
      <c r="A26" t="s">
        <v>60</v>
      </c>
      <c r="B26" t="s">
        <v>61</v>
      </c>
      <c r="C26">
        <v>2</v>
      </c>
      <c r="D26" t="s">
        <v>25</v>
      </c>
      <c r="E26" s="2">
        <v>100</v>
      </c>
      <c r="F26" s="3">
        <v>88</v>
      </c>
      <c r="G26" s="3">
        <v>87</v>
      </c>
      <c r="H26" s="3">
        <v>95.24</v>
      </c>
      <c r="I26" s="3">
        <v>60</v>
      </c>
      <c r="J26" s="3">
        <v>95</v>
      </c>
      <c r="K26" s="4">
        <f>ROUND( ((E26*10+F26*40+G26*10+H26*10+I26*15+J26*15) / 100), 2)</f>
        <v>86.67</v>
      </c>
      <c r="L26" s="4" t="str">
        <f>IF(AND(K26&gt;=85, K26&lt;=100), "A", IF(AND(K26&gt;=80, K26&lt;=84.999999999), "AB", IF(AND(K26&gt;=75, K26&lt;=79.999999999), "B", IF(AND(K26&gt;=70, K26&lt;=74.999999999), "BC", IF(AND(K26&gt;=60, K26&lt;=69.9999999999), "C", IF(AND(K26&gt;=40, K26&lt;=59.999999999), "D", IF(AND(K26&gt;=0, K26&lt;=39.999999999), "E",  "E"  )  )  )  )  )  )  )</f>
        <v>A</v>
      </c>
      <c r="M26" t="str">
        <f>IF(AND(K26&gt;=85, K26&lt;=100), "4", IF(AND(K26&gt;=80, K26&lt;=84.999999999), "3.5", IF(AND(K26&gt;=75, K26&lt;=79.999999999), "3", IF(AND(K26&gt;=70, K26&lt;=74.999999999), "2.5", IF(AND(K26&gt;=60, K26&lt;=69.9999999999), "2", IF(AND(K26&gt;=40, K26&lt;=59.999999999), "1", IF(AND(K26&gt;=0, K26&lt;=39.999999999), "0",  "0"  )  )  )  )  )  )  )</f>
        <v>4</v>
      </c>
    </row>
    <row r="27" spans="1:13" x14ac:dyDescent="0.2">
      <c r="A27" t="s">
        <v>62</v>
      </c>
      <c r="B27" t="s">
        <v>63</v>
      </c>
      <c r="C27">
        <v>2</v>
      </c>
      <c r="D27" t="s">
        <v>25</v>
      </c>
      <c r="E27" s="2">
        <v>92.86</v>
      </c>
      <c r="F27" s="3">
        <v>84</v>
      </c>
      <c r="G27" s="3">
        <v>88</v>
      </c>
      <c r="H27" s="3">
        <v>85.71</v>
      </c>
      <c r="I27" s="3">
        <v>44</v>
      </c>
      <c r="J27" s="3">
        <v>85</v>
      </c>
      <c r="K27" s="4">
        <f>ROUND( ((E27*10+F27*40+G27*10+H27*10+I27*15+J27*15) / 100), 2)</f>
        <v>79.61</v>
      </c>
      <c r="L27" s="4" t="str">
        <f>IF(AND(K27&gt;=85, K27&lt;=100), "A", IF(AND(K27&gt;=80, K27&lt;=84.999999999), "AB", IF(AND(K27&gt;=75, K27&lt;=79.999999999), "B", IF(AND(K27&gt;=70, K27&lt;=74.999999999), "BC", IF(AND(K27&gt;=60, K27&lt;=69.9999999999), "C", IF(AND(K27&gt;=40, K27&lt;=59.999999999), "D", IF(AND(K27&gt;=0, K27&lt;=39.999999999), "E",  "E"  )  )  )  )  )  )  )</f>
        <v>B</v>
      </c>
      <c r="M27" t="str">
        <f>IF(AND(K27&gt;=85, K27&lt;=100), "4", IF(AND(K27&gt;=80, K27&lt;=84.999999999), "3.5", IF(AND(K27&gt;=75, K27&lt;=79.999999999), "3", IF(AND(K27&gt;=70, K27&lt;=74.999999999), "2.5", IF(AND(K27&gt;=60, K27&lt;=69.9999999999), "2", IF(AND(K27&gt;=40, K27&lt;=59.999999999), "1", IF(AND(K27&gt;=0, K27&lt;=39.999999999), "0",  "0"  )  )  )  )  )  )  )</f>
        <v>3</v>
      </c>
    </row>
    <row r="28" spans="1:13" x14ac:dyDescent="0.2">
      <c r="A28" t="s">
        <v>64</v>
      </c>
      <c r="B28" t="s">
        <v>65</v>
      </c>
      <c r="C28">
        <v>2</v>
      </c>
      <c r="D28" t="s">
        <v>25</v>
      </c>
      <c r="E28" s="2">
        <v>14.29</v>
      </c>
      <c r="F28" s="3"/>
      <c r="G28" s="3">
        <v>87</v>
      </c>
      <c r="H28" s="3"/>
      <c r="I28" s="3">
        <v>5</v>
      </c>
      <c r="J28" s="4"/>
      <c r="K28" s="4">
        <f>ROUND( ((E28*10+F28*40+G28*10+H28*10+I28*15+J28*15) / 100), 2)</f>
        <v>10.88</v>
      </c>
      <c r="L28" s="4" t="str">
        <f>IF(AND(K28&gt;=85, K28&lt;=100), "A", IF(AND(K28&gt;=80, K28&lt;=84.999999999), "AB", IF(AND(K28&gt;=75, K28&lt;=79.999999999), "B", IF(AND(K28&gt;=70, K28&lt;=74.999999999), "BC", IF(AND(K28&gt;=60, K28&lt;=69.9999999999), "C", IF(AND(K28&gt;=40, K28&lt;=59.999999999), "D", IF(AND(K28&gt;=0, K28&lt;=39.999999999), "E",  "E"  )  )  )  )  )  )  )</f>
        <v>E</v>
      </c>
      <c r="M28" t="str">
        <f>IF(AND(K28&gt;=85, K28&lt;=100), "4", IF(AND(K28&gt;=80, K28&lt;=84.999999999), "3.5", IF(AND(K28&gt;=75, K28&lt;=79.999999999), "3", IF(AND(K28&gt;=70, K28&lt;=74.999999999), "2.5", IF(AND(K28&gt;=60, K28&lt;=69.9999999999), "2", IF(AND(K28&gt;=40, K28&lt;=59.999999999), "1", IF(AND(K28&gt;=0, K28&lt;=39.999999999), "0",  "0"  )  )  )  )  )  )  )</f>
        <v>0</v>
      </c>
    </row>
    <row r="29" spans="1:13" x14ac:dyDescent="0.2">
      <c r="A29" t="s">
        <v>66</v>
      </c>
      <c r="B29" t="s">
        <v>67</v>
      </c>
      <c r="C29">
        <v>2</v>
      </c>
      <c r="D29" t="s">
        <v>25</v>
      </c>
      <c r="E29" s="2">
        <v>100</v>
      </c>
      <c r="F29" s="3">
        <v>84</v>
      </c>
      <c r="G29" s="3">
        <v>89</v>
      </c>
      <c r="H29" s="3">
        <v>90.48</v>
      </c>
      <c r="I29" s="3">
        <v>10</v>
      </c>
      <c r="J29" s="3">
        <v>95</v>
      </c>
      <c r="K29" s="4">
        <f>ROUND( ((E29*10+F29*40+G29*10+H29*10+I29*15+J29*15) / 100), 2)</f>
        <v>77.3</v>
      </c>
      <c r="L29" s="4" t="str">
        <f>IF(AND(K29&gt;=85, K29&lt;=100), "A", IF(AND(K29&gt;=80, K29&lt;=84.999999999), "AB", IF(AND(K29&gt;=75, K29&lt;=79.999999999), "B", IF(AND(K29&gt;=70, K29&lt;=74.999999999), "BC", IF(AND(K29&gt;=60, K29&lt;=69.9999999999), "C", IF(AND(K29&gt;=40, K29&lt;=59.999999999), "D", IF(AND(K29&gt;=0, K29&lt;=39.999999999), "E",  "E"  )  )  )  )  )  )  )</f>
        <v>B</v>
      </c>
      <c r="M29" t="str">
        <f>IF(AND(K29&gt;=85, K29&lt;=100), "4", IF(AND(K29&gt;=80, K29&lt;=84.999999999), "3.5", IF(AND(K29&gt;=75, K29&lt;=79.999999999), "3", IF(AND(K29&gt;=70, K29&lt;=74.999999999), "2.5", IF(AND(K29&gt;=60, K29&lt;=69.9999999999), "2", IF(AND(K29&gt;=40, K29&lt;=59.999999999), "1", IF(AND(K29&gt;=0, K29&lt;=39.999999999), "0",  "0"  )  )  )  )  )  )  )</f>
        <v>3</v>
      </c>
    </row>
    <row r="30" spans="1:13" x14ac:dyDescent="0.2">
      <c r="A30" t="s">
        <v>68</v>
      </c>
      <c r="B30" t="s">
        <v>69</v>
      </c>
      <c r="C30">
        <v>2</v>
      </c>
      <c r="D30" t="s">
        <v>25</v>
      </c>
      <c r="E30" s="2">
        <v>100</v>
      </c>
      <c r="F30" s="3">
        <v>88</v>
      </c>
      <c r="G30" s="3">
        <v>88</v>
      </c>
      <c r="H30" s="3">
        <v>88.1</v>
      </c>
      <c r="I30" s="3">
        <v>40</v>
      </c>
      <c r="J30" s="3">
        <v>95</v>
      </c>
      <c r="K30" s="4">
        <f>ROUND( ((E30*10+F30*40+G30*10+H30*10+I30*15+J30*15) / 100), 2)</f>
        <v>83.06</v>
      </c>
      <c r="L30" s="4" t="str">
        <f>IF(AND(K30&gt;=85, K30&lt;=100), "A", IF(AND(K30&gt;=80, K30&lt;=84.999999999), "AB", IF(AND(K30&gt;=75, K30&lt;=79.999999999), "B", IF(AND(K30&gt;=70, K30&lt;=74.999999999), "BC", IF(AND(K30&gt;=60, K30&lt;=69.9999999999), "C", IF(AND(K30&gt;=40, K30&lt;=59.999999999), "D", IF(AND(K30&gt;=0, K30&lt;=39.999999999), "E",  "E"  )  )  )  )  )  )  )</f>
        <v>AB</v>
      </c>
      <c r="M30" t="str">
        <f>IF(AND(K30&gt;=85, K30&lt;=100), "4", IF(AND(K30&gt;=80, K30&lt;=84.999999999), "3.5", IF(AND(K30&gt;=75, K30&lt;=79.999999999), "3", IF(AND(K30&gt;=70, K30&lt;=74.999999999), "2.5", IF(AND(K30&gt;=60, K30&lt;=69.9999999999), "2", IF(AND(K30&gt;=40, K30&lt;=59.999999999), "1", IF(AND(K30&gt;=0, K30&lt;=39.999999999), "0",  "0"  )  )  )  )  )  )  )</f>
        <v>3.5</v>
      </c>
    </row>
    <row r="31" spans="1:13" x14ac:dyDescent="0.2">
      <c r="A31" t="s">
        <v>70</v>
      </c>
      <c r="B31" t="s">
        <v>71</v>
      </c>
      <c r="C31">
        <v>2</v>
      </c>
      <c r="D31" t="s">
        <v>25</v>
      </c>
      <c r="E31" s="2">
        <v>100</v>
      </c>
      <c r="F31" s="3">
        <v>90</v>
      </c>
      <c r="G31" s="3">
        <v>86</v>
      </c>
      <c r="H31" s="3">
        <v>76.19</v>
      </c>
      <c r="I31" s="3">
        <v>25</v>
      </c>
      <c r="J31" s="3">
        <v>70</v>
      </c>
      <c r="K31" s="4">
        <f>ROUND( ((E31*10+F31*40+G31*10+H31*10+I31*15+J31*15) / 100), 2)</f>
        <v>76.47</v>
      </c>
      <c r="L31" s="4" t="str">
        <f>IF(AND(K31&gt;=85, K31&lt;=100), "A", IF(AND(K31&gt;=80, K31&lt;=84.999999999), "AB", IF(AND(K31&gt;=75, K31&lt;=79.999999999), "B", IF(AND(K31&gt;=70, K31&lt;=74.999999999), "BC", IF(AND(K31&gt;=60, K31&lt;=69.9999999999), "C", IF(AND(K31&gt;=40, K31&lt;=59.999999999), "D", IF(AND(K31&gt;=0, K31&lt;=39.999999999), "E",  "E"  )  )  )  )  )  )  )</f>
        <v>B</v>
      </c>
      <c r="M31" t="str">
        <f>IF(AND(K31&gt;=85, K31&lt;=100), "4", IF(AND(K31&gt;=80, K31&lt;=84.999999999), "3.5", IF(AND(K31&gt;=75, K31&lt;=79.999999999), "3", IF(AND(K31&gt;=70, K31&lt;=74.999999999), "2.5", IF(AND(K31&gt;=60, K31&lt;=69.9999999999), "2", IF(AND(K31&gt;=40, K31&lt;=59.999999999), "1", IF(AND(K31&gt;=0, K31&lt;=39.999999999), "0",  "0"  )  )  )  )  )  )  )</f>
        <v>3</v>
      </c>
    </row>
    <row r="32" spans="1:13" x14ac:dyDescent="0.2">
      <c r="A32" t="s">
        <v>72</v>
      </c>
      <c r="B32" t="s">
        <v>73</v>
      </c>
      <c r="C32">
        <v>2</v>
      </c>
      <c r="D32" t="s">
        <v>25</v>
      </c>
      <c r="E32" s="2">
        <v>35.71</v>
      </c>
      <c r="F32" s="3">
        <v>80</v>
      </c>
      <c r="G32" s="3">
        <v>87</v>
      </c>
      <c r="H32" s="3">
        <v>90.48</v>
      </c>
      <c r="I32" s="3">
        <v>43</v>
      </c>
      <c r="J32" s="4"/>
      <c r="K32" s="4">
        <f>ROUND( ((E32*10+F32*40+G32*10+H32*10+I32*15+J32*15) / 100), 2)</f>
        <v>59.77</v>
      </c>
      <c r="L32" s="4" t="str">
        <f>IF(AND(K32&gt;=85, K32&lt;=100), "A", IF(AND(K32&gt;=80, K32&lt;=84.999999999), "AB", IF(AND(K32&gt;=75, K32&lt;=79.999999999), "B", IF(AND(K32&gt;=70, K32&lt;=74.999999999), "BC", IF(AND(K32&gt;=60, K32&lt;=69.9999999999), "C", IF(AND(K32&gt;=40, K32&lt;=59.999999999), "D", IF(AND(K32&gt;=0, K32&lt;=39.999999999), "E",  "E"  )  )  )  )  )  )  )</f>
        <v>D</v>
      </c>
      <c r="M32" t="str">
        <f>IF(AND(K32&gt;=85, K32&lt;=100), "4", IF(AND(K32&gt;=80, K32&lt;=84.999999999), "3.5", IF(AND(K32&gt;=75, K32&lt;=79.999999999), "3", IF(AND(K32&gt;=70, K32&lt;=74.999999999), "2.5", IF(AND(K32&gt;=60, K32&lt;=69.9999999999), "2", IF(AND(K32&gt;=40, K32&lt;=59.999999999), "1", IF(AND(K32&gt;=0, K32&lt;=39.999999999), "0",  "0"  )  )  )  )  )  )  )</f>
        <v>1</v>
      </c>
    </row>
    <row r="33" spans="1:13" x14ac:dyDescent="0.2">
      <c r="A33" t="s">
        <v>74</v>
      </c>
      <c r="B33" t="s">
        <v>75</v>
      </c>
      <c r="C33">
        <v>2</v>
      </c>
      <c r="D33" t="s">
        <v>25</v>
      </c>
      <c r="E33" s="2">
        <v>100</v>
      </c>
      <c r="F33" s="3">
        <v>84</v>
      </c>
      <c r="G33" s="3">
        <v>86</v>
      </c>
      <c r="H33" s="3">
        <v>95.24</v>
      </c>
      <c r="I33" s="3">
        <v>33</v>
      </c>
      <c r="J33" s="3">
        <v>85</v>
      </c>
      <c r="K33" s="4">
        <f>ROUND( ((E33*10+F33*40+G33*10+H33*10+I33*15+J33*15) / 100), 2)</f>
        <v>79.42</v>
      </c>
      <c r="L33" s="4" t="str">
        <f>IF(AND(K33&gt;=85, K33&lt;=100), "A", IF(AND(K33&gt;=80, K33&lt;=84.999999999), "AB", IF(AND(K33&gt;=75, K33&lt;=79.999999999), "B", IF(AND(K33&gt;=70, K33&lt;=74.999999999), "BC", IF(AND(K33&gt;=60, K33&lt;=69.9999999999), "C", IF(AND(K33&gt;=40, K33&lt;=59.999999999), "D", IF(AND(K33&gt;=0, K33&lt;=39.999999999), "E",  "E"  )  )  )  )  )  )  )</f>
        <v>B</v>
      </c>
      <c r="M33" t="str">
        <f>IF(AND(K33&gt;=85, K33&lt;=100), "4", IF(AND(K33&gt;=80, K33&lt;=84.999999999), "3.5", IF(AND(K33&gt;=75, K33&lt;=79.999999999), "3", IF(AND(K33&gt;=70, K33&lt;=74.999999999), "2.5", IF(AND(K33&gt;=60, K33&lt;=69.9999999999), "2", IF(AND(K33&gt;=40, K33&lt;=59.999999999), "1", IF(AND(K33&gt;=0, K33&lt;=39.999999999), "0",  "0"  )  )  )  )  )  )  )</f>
        <v>3</v>
      </c>
    </row>
    <row r="34" spans="1:13" x14ac:dyDescent="0.2">
      <c r="A34" t="s">
        <v>76</v>
      </c>
      <c r="B34" t="s">
        <v>77</v>
      </c>
      <c r="C34">
        <v>2</v>
      </c>
      <c r="D34" t="s">
        <v>25</v>
      </c>
      <c r="E34" s="2">
        <v>100</v>
      </c>
      <c r="F34" s="3">
        <v>90</v>
      </c>
      <c r="G34" s="3">
        <v>88</v>
      </c>
      <c r="H34" s="3">
        <v>40</v>
      </c>
      <c r="I34" s="3">
        <v>31</v>
      </c>
      <c r="J34" s="3">
        <v>85</v>
      </c>
      <c r="K34" s="4">
        <f>ROUND( ((E34*10+F34*40+G34*10+H34*10+I34*15+J34*15) / 100), 2)</f>
        <v>76.2</v>
      </c>
      <c r="L34" s="4" t="str">
        <f>IF(AND(K34&gt;=85, K34&lt;=100), "A", IF(AND(K34&gt;=80, K34&lt;=84.999999999), "AB", IF(AND(K34&gt;=75, K34&lt;=79.999999999), "B", IF(AND(K34&gt;=70, K34&lt;=74.999999999), "BC", IF(AND(K34&gt;=60, K34&lt;=69.9999999999), "C", IF(AND(K34&gt;=40, K34&lt;=59.999999999), "D", IF(AND(K34&gt;=0, K34&lt;=39.999999999), "E",  "E"  )  )  )  )  )  )  )</f>
        <v>B</v>
      </c>
      <c r="M34" t="str">
        <f>IF(AND(K34&gt;=85, K34&lt;=100), "4", IF(AND(K34&gt;=80, K34&lt;=84.999999999), "3.5", IF(AND(K34&gt;=75, K34&lt;=79.999999999), "3", IF(AND(K34&gt;=70, K34&lt;=74.999999999), "2.5", IF(AND(K34&gt;=60, K34&lt;=69.9999999999), "2", IF(AND(K34&gt;=40, K34&lt;=59.999999999), "1", IF(AND(K34&gt;=0, K34&lt;=39.999999999), "0",  "0"  )  )  )  )  )  )  )</f>
        <v>3</v>
      </c>
    </row>
    <row r="35" spans="1:13" x14ac:dyDescent="0.2">
      <c r="A35" t="s">
        <v>78</v>
      </c>
      <c r="B35" t="s">
        <v>79</v>
      </c>
      <c r="C35">
        <v>2</v>
      </c>
      <c r="D35" t="s">
        <v>25</v>
      </c>
      <c r="E35" s="2">
        <v>100</v>
      </c>
      <c r="F35" s="3">
        <v>85</v>
      </c>
      <c r="G35" s="3">
        <v>87</v>
      </c>
      <c r="H35" s="3">
        <v>76.19</v>
      </c>
      <c r="I35" s="3">
        <v>43</v>
      </c>
      <c r="J35" s="3">
        <v>95</v>
      </c>
      <c r="K35" s="4">
        <f>ROUND( ((E35*10+F35*40+G35*10+H35*10+I35*15+J35*15) / 100), 2)</f>
        <v>81.02</v>
      </c>
      <c r="L35" s="4" t="str">
        <f>IF(AND(K35&gt;=85, K35&lt;=100), "A", IF(AND(K35&gt;=80, K35&lt;=84.999999999), "AB", IF(AND(K35&gt;=75, K35&lt;=79.999999999), "B", IF(AND(K35&gt;=70, K35&lt;=74.999999999), "BC", IF(AND(K35&gt;=60, K35&lt;=69.9999999999), "C", IF(AND(K35&gt;=40, K35&lt;=59.999999999), "D", IF(AND(K35&gt;=0, K35&lt;=39.999999999), "E",  "E"  )  )  )  )  )  )  )</f>
        <v>AB</v>
      </c>
      <c r="M35" t="str">
        <f>IF(AND(K35&gt;=85, K35&lt;=100), "4", IF(AND(K35&gt;=80, K35&lt;=84.999999999), "3.5", IF(AND(K35&gt;=75, K35&lt;=79.999999999), "3", IF(AND(K35&gt;=70, K35&lt;=74.999999999), "2.5", IF(AND(K35&gt;=60, K35&lt;=69.9999999999), "2", IF(AND(K35&gt;=40, K35&lt;=59.999999999), "1", IF(AND(K35&gt;=0, K35&lt;=39.999999999), "0",  "0"  )  )  )  )  )  )  )</f>
        <v>3.5</v>
      </c>
    </row>
    <row r="36" spans="1:13" x14ac:dyDescent="0.2">
      <c r="A36" t="s">
        <v>80</v>
      </c>
      <c r="B36" t="s">
        <v>81</v>
      </c>
      <c r="C36">
        <v>2</v>
      </c>
      <c r="D36" t="s">
        <v>25</v>
      </c>
      <c r="E36" s="2">
        <v>92.86</v>
      </c>
      <c r="F36" s="3">
        <v>84</v>
      </c>
      <c r="G36" s="3">
        <v>88</v>
      </c>
      <c r="H36" s="3">
        <v>40</v>
      </c>
      <c r="I36" s="3">
        <v>37</v>
      </c>
      <c r="J36" s="3">
        <v>55</v>
      </c>
      <c r="K36" s="4">
        <f>ROUND( ((E36*10+F36*40+G36*10+H36*10+I36*15+J36*15) / 100), 2)</f>
        <v>69.489999999999995</v>
      </c>
      <c r="L36" s="4" t="str">
        <f>IF(AND(K36&gt;=85, K36&lt;=100), "A", IF(AND(K36&gt;=80, K36&lt;=84.999999999), "AB", IF(AND(K36&gt;=75, K36&lt;=79.999999999), "B", IF(AND(K36&gt;=70, K36&lt;=74.999999999), "BC", IF(AND(K36&gt;=60, K36&lt;=69.9999999999), "C", IF(AND(K36&gt;=40, K36&lt;=59.999999999), "D", IF(AND(K36&gt;=0, K36&lt;=39.999999999), "E",  "E"  )  )  )  )  )  )  )</f>
        <v>C</v>
      </c>
      <c r="M36" t="str">
        <f>IF(AND(K36&gt;=85, K36&lt;=100), "4", IF(AND(K36&gt;=80, K36&lt;=84.999999999), "3.5", IF(AND(K36&gt;=75, K36&lt;=79.999999999), "3", IF(AND(K36&gt;=70, K36&lt;=74.999999999), "2.5", IF(AND(K36&gt;=60, K36&lt;=69.9999999999), "2", IF(AND(K36&gt;=40, K36&lt;=59.999999999), "1", IF(AND(K36&gt;=0, K36&lt;=39.999999999), "0",  "0"  )  )  )  )  )  )  )</f>
        <v>2</v>
      </c>
    </row>
    <row r="37" spans="1:13" x14ac:dyDescent="0.2">
      <c r="A37" t="s">
        <v>82</v>
      </c>
      <c r="B37" t="s">
        <v>83</v>
      </c>
      <c r="C37">
        <v>2</v>
      </c>
      <c r="D37" t="s">
        <v>25</v>
      </c>
      <c r="E37" s="2">
        <v>100</v>
      </c>
      <c r="F37" s="3">
        <v>90</v>
      </c>
      <c r="G37" s="3">
        <v>87</v>
      </c>
      <c r="H37" s="3">
        <v>85.71</v>
      </c>
      <c r="I37" s="3">
        <v>43</v>
      </c>
      <c r="J37" s="3">
        <v>85</v>
      </c>
      <c r="K37" s="4">
        <f>ROUND( ((E37*10+F37*40+G37*10+H37*10+I37*15+J37*15) / 100), 2)</f>
        <v>82.47</v>
      </c>
      <c r="L37" s="4" t="str">
        <f>IF(AND(K37&gt;=85, K37&lt;=100), "A", IF(AND(K37&gt;=80, K37&lt;=84.999999999), "AB", IF(AND(K37&gt;=75, K37&lt;=79.999999999), "B", IF(AND(K37&gt;=70, K37&lt;=74.999999999), "BC", IF(AND(K37&gt;=60, K37&lt;=69.9999999999), "C", IF(AND(K37&gt;=40, K37&lt;=59.999999999), "D", IF(AND(K37&gt;=0, K37&lt;=39.999999999), "E",  "E"  )  )  )  )  )  )  )</f>
        <v>AB</v>
      </c>
      <c r="M37" t="str">
        <f>IF(AND(K37&gt;=85, K37&lt;=100), "4", IF(AND(K37&gt;=80, K37&lt;=84.999999999), "3.5", IF(AND(K37&gt;=75, K37&lt;=79.999999999), "3", IF(AND(K37&gt;=70, K37&lt;=74.999999999), "2.5", IF(AND(K37&gt;=60, K37&lt;=69.9999999999), "2", IF(AND(K37&gt;=40, K37&lt;=59.999999999), "1", IF(AND(K37&gt;=0, K37&lt;=39.999999999), "0",  "0"  )  )  )  )  )  )  )</f>
        <v>3.5</v>
      </c>
    </row>
    <row r="38" spans="1:13" x14ac:dyDescent="0.2">
      <c r="A38" t="s">
        <v>84</v>
      </c>
      <c r="B38" t="s">
        <v>85</v>
      </c>
      <c r="C38">
        <v>2</v>
      </c>
      <c r="D38" t="s">
        <v>25</v>
      </c>
      <c r="E38" s="2">
        <v>92.86</v>
      </c>
      <c r="F38" s="3">
        <v>84</v>
      </c>
      <c r="G38" s="3">
        <v>89</v>
      </c>
      <c r="H38" s="3">
        <v>92.86</v>
      </c>
      <c r="I38" s="3">
        <v>44</v>
      </c>
      <c r="J38" s="3">
        <v>85</v>
      </c>
      <c r="K38" s="4">
        <f>ROUND( ((E38*10+F38*40+G38*10+H38*10+I38*15+J38*15) / 100), 2)</f>
        <v>80.42</v>
      </c>
      <c r="L38" s="4" t="str">
        <f>IF(AND(K38&gt;=85, K38&lt;=100), "A", IF(AND(K38&gt;=80, K38&lt;=84.999999999), "AB", IF(AND(K38&gt;=75, K38&lt;=79.999999999), "B", IF(AND(K38&gt;=70, K38&lt;=74.999999999), "BC", IF(AND(K38&gt;=60, K38&lt;=69.9999999999), "C", IF(AND(K38&gt;=40, K38&lt;=59.999999999), "D", IF(AND(K38&gt;=0, K38&lt;=39.999999999), "E",  "E"  )  )  )  )  )  )  )</f>
        <v>AB</v>
      </c>
      <c r="M38" t="str">
        <f>IF(AND(K38&gt;=85, K38&lt;=100), "4", IF(AND(K38&gt;=80, K38&lt;=84.999999999), "3.5", IF(AND(K38&gt;=75, K38&lt;=79.999999999), "3", IF(AND(K38&gt;=70, K38&lt;=74.999999999), "2.5", IF(AND(K38&gt;=60, K38&lt;=69.9999999999), "2", IF(AND(K38&gt;=40, K38&lt;=59.999999999), "1", IF(AND(K38&gt;=0, K38&lt;=39.999999999), "0",  "0"  )  )  )  )  )  )  )</f>
        <v>3.5</v>
      </c>
    </row>
    <row r="39" spans="1:13" x14ac:dyDescent="0.2">
      <c r="A39" t="s">
        <v>86</v>
      </c>
      <c r="B39" t="s">
        <v>87</v>
      </c>
      <c r="C39">
        <v>2</v>
      </c>
      <c r="D39" t="s">
        <v>25</v>
      </c>
      <c r="E39" s="2">
        <v>85.71</v>
      </c>
      <c r="F39" s="3">
        <v>80</v>
      </c>
      <c r="G39" s="3">
        <v>85</v>
      </c>
      <c r="H39" s="3">
        <v>88.1</v>
      </c>
      <c r="I39" s="3">
        <v>58</v>
      </c>
      <c r="J39" s="3">
        <v>75</v>
      </c>
      <c r="K39" s="4">
        <f>ROUND( ((E39*10+F39*40+G39*10+H39*10+I39*15+J39*15) / 100), 2)</f>
        <v>77.83</v>
      </c>
      <c r="L39" s="4" t="str">
        <f>IF(AND(K39&gt;=85, K39&lt;=100), "A", IF(AND(K39&gt;=80, K39&lt;=84.999999999), "AB", IF(AND(K39&gt;=75, K39&lt;=79.999999999), "B", IF(AND(K39&gt;=70, K39&lt;=74.999999999), "BC", IF(AND(K39&gt;=60, K39&lt;=69.9999999999), "C", IF(AND(K39&gt;=40, K39&lt;=59.999999999), "D", IF(AND(K39&gt;=0, K39&lt;=39.999999999), "E",  "E"  )  )  )  )  )  )  )</f>
        <v>B</v>
      </c>
      <c r="M39" t="str">
        <f>IF(AND(K39&gt;=85, K39&lt;=100), "4", IF(AND(K39&gt;=80, K39&lt;=84.999999999), "3.5", IF(AND(K39&gt;=75, K39&lt;=79.999999999), "3", IF(AND(K39&gt;=70, K39&lt;=74.999999999), "2.5", IF(AND(K39&gt;=60, K39&lt;=69.9999999999), "2", IF(AND(K39&gt;=40, K39&lt;=59.999999999), "1", IF(AND(K39&gt;=0, K39&lt;=39.999999999), "0",  "0"  )  )  )  )  )  )  )</f>
        <v>3</v>
      </c>
    </row>
    <row r="40" spans="1:13" x14ac:dyDescent="0.2">
      <c r="A40" t="s">
        <v>88</v>
      </c>
      <c r="B40" t="s">
        <v>89</v>
      </c>
      <c r="C40">
        <v>2</v>
      </c>
      <c r="D40" t="s">
        <v>25</v>
      </c>
      <c r="E40" s="2">
        <v>57.14</v>
      </c>
      <c r="F40" s="3">
        <v>80</v>
      </c>
      <c r="G40" s="3">
        <v>86</v>
      </c>
      <c r="H40" s="3"/>
      <c r="I40" s="3">
        <v>30</v>
      </c>
      <c r="J40" s="4"/>
      <c r="K40" s="4">
        <f>ROUND( ((E40*10+F40*40+G40*10+H40*10+I40*15+J40*15) / 100), 2)</f>
        <v>50.81</v>
      </c>
      <c r="L40" s="4" t="str">
        <f>IF(AND(K40&gt;=85, K40&lt;=100), "A", IF(AND(K40&gt;=80, K40&lt;=84.999999999), "AB", IF(AND(K40&gt;=75, K40&lt;=79.999999999), "B", IF(AND(K40&gt;=70, K40&lt;=74.999999999), "BC", IF(AND(K40&gt;=60, K40&lt;=69.9999999999), "C", IF(AND(K40&gt;=40, K40&lt;=59.999999999), "D", IF(AND(K40&gt;=0, K40&lt;=39.999999999), "E",  "E"  )  )  )  )  )  )  )</f>
        <v>D</v>
      </c>
      <c r="M40" t="str">
        <f>IF(AND(K40&gt;=85, K40&lt;=100), "4", IF(AND(K40&gt;=80, K40&lt;=84.999999999), "3.5", IF(AND(K40&gt;=75, K40&lt;=79.999999999), "3", IF(AND(K40&gt;=70, K40&lt;=74.999999999), "2.5", IF(AND(K40&gt;=60, K40&lt;=69.9999999999), "2", IF(AND(K40&gt;=40, K40&lt;=59.999999999), "1", IF(AND(K40&gt;=0, K40&lt;=39.999999999), "0",  "0"  )  )  )  )  )  )  )</f>
        <v>1</v>
      </c>
    </row>
    <row r="41" spans="1:13" x14ac:dyDescent="0.2">
      <c r="A41" t="s">
        <v>90</v>
      </c>
      <c r="B41" t="s">
        <v>91</v>
      </c>
      <c r="C41">
        <v>2</v>
      </c>
      <c r="D41" t="s">
        <v>25</v>
      </c>
      <c r="E41" s="2">
        <v>100</v>
      </c>
      <c r="F41" s="3">
        <v>85</v>
      </c>
      <c r="G41" s="3">
        <v>85</v>
      </c>
      <c r="H41" s="3">
        <v>90.48</v>
      </c>
      <c r="I41" s="3">
        <v>49</v>
      </c>
      <c r="J41" s="3">
        <v>60</v>
      </c>
      <c r="K41" s="4">
        <f>ROUND( ((E41*10+F41*40+G41*10+H41*10+I41*15+J41*15) / 100), 2)</f>
        <v>77.900000000000006</v>
      </c>
      <c r="L41" s="4" t="str">
        <f>IF(AND(K41&gt;=85, K41&lt;=100), "A", IF(AND(K41&gt;=80, K41&lt;=84.999999999), "AB", IF(AND(K41&gt;=75, K41&lt;=79.999999999), "B", IF(AND(K41&gt;=70, K41&lt;=74.999999999), "BC", IF(AND(K41&gt;=60, K41&lt;=69.9999999999), "C", IF(AND(K41&gt;=40, K41&lt;=59.999999999), "D", IF(AND(K41&gt;=0, K41&lt;=39.999999999), "E",  "E"  )  )  )  )  )  )  )</f>
        <v>B</v>
      </c>
      <c r="M41" t="str">
        <f>IF(AND(K41&gt;=85, K41&lt;=100), "4", IF(AND(K41&gt;=80, K41&lt;=84.999999999), "3.5", IF(AND(K41&gt;=75, K41&lt;=79.999999999), "3", IF(AND(K41&gt;=70, K41&lt;=74.999999999), "2.5", IF(AND(K41&gt;=60, K41&lt;=69.9999999999), "2", IF(AND(K41&gt;=40, K41&lt;=59.999999999), "1", IF(AND(K41&gt;=0, K41&lt;=39.999999999), "0",  "0"  )  )  )  )  )  )  )</f>
        <v>3</v>
      </c>
    </row>
    <row r="42" spans="1:13" x14ac:dyDescent="0.2">
      <c r="A42" t="s">
        <v>92</v>
      </c>
      <c r="B42" t="s">
        <v>93</v>
      </c>
      <c r="C42">
        <v>2</v>
      </c>
      <c r="D42" t="s">
        <v>25</v>
      </c>
      <c r="E42" s="2">
        <v>100</v>
      </c>
      <c r="F42" s="3">
        <v>85</v>
      </c>
      <c r="G42" s="3">
        <v>88</v>
      </c>
      <c r="H42" s="3">
        <v>92.86</v>
      </c>
      <c r="I42" s="3">
        <v>57</v>
      </c>
      <c r="J42" s="3">
        <v>55</v>
      </c>
      <c r="K42" s="4">
        <f>ROUND( ((E42*10+F42*40+G42*10+H42*10+I42*15+J42*15) / 100), 2)</f>
        <v>78.89</v>
      </c>
      <c r="L42" s="4" t="str">
        <f>IF(AND(K42&gt;=85, K42&lt;=100), "A", IF(AND(K42&gt;=80, K42&lt;=84.999999999), "AB", IF(AND(K42&gt;=75, K42&lt;=79.999999999), "B", IF(AND(K42&gt;=70, K42&lt;=74.999999999), "BC", IF(AND(K42&gt;=60, K42&lt;=69.9999999999), "C", IF(AND(K42&gt;=40, K42&lt;=59.999999999), "D", IF(AND(K42&gt;=0, K42&lt;=39.999999999), "E",  "E"  )  )  )  )  )  )  )</f>
        <v>B</v>
      </c>
      <c r="M42" t="str">
        <f>IF(AND(K42&gt;=85, K42&lt;=100), "4", IF(AND(K42&gt;=80, K42&lt;=84.999999999), "3.5", IF(AND(K42&gt;=75, K42&lt;=79.999999999), "3", IF(AND(K42&gt;=70, K42&lt;=74.999999999), "2.5", IF(AND(K42&gt;=60, K42&lt;=69.9999999999), "2", IF(AND(K42&gt;=40, K42&lt;=59.999999999), "1", IF(AND(K42&gt;=0, K42&lt;=39.999999999), "0",  "0"  )  )  )  )  )  )  )</f>
        <v>3</v>
      </c>
    </row>
    <row r="43" spans="1:13" x14ac:dyDescent="0.2">
      <c r="A43" t="s">
        <v>94</v>
      </c>
      <c r="B43" t="s">
        <v>95</v>
      </c>
      <c r="C43">
        <v>2</v>
      </c>
      <c r="D43" t="s">
        <v>25</v>
      </c>
      <c r="E43" s="2">
        <v>78.569999999999993</v>
      </c>
      <c r="F43" s="3">
        <v>90</v>
      </c>
      <c r="G43" s="3">
        <v>88</v>
      </c>
      <c r="H43" s="3">
        <v>30</v>
      </c>
      <c r="I43" s="3">
        <v>57</v>
      </c>
      <c r="J43" s="3">
        <v>55</v>
      </c>
      <c r="K43" s="4">
        <f>ROUND( ((E43*10+F43*40+G43*10+H43*10+I43*15+J43*15) / 100), 2)</f>
        <v>72.459999999999994</v>
      </c>
      <c r="L43" s="4" t="str">
        <f>IF(AND(K43&gt;=85, K43&lt;=100), "A", IF(AND(K43&gt;=80, K43&lt;=84.999999999), "AB", IF(AND(K43&gt;=75, K43&lt;=79.999999999), "B", IF(AND(K43&gt;=70, K43&lt;=74.999999999), "BC", IF(AND(K43&gt;=60, K43&lt;=69.9999999999), "C", IF(AND(K43&gt;=40, K43&lt;=59.999999999), "D", IF(AND(K43&gt;=0, K43&lt;=39.999999999), "E",  "E"  )  )  )  )  )  )  )</f>
        <v>BC</v>
      </c>
      <c r="M43" t="str">
        <f>IF(AND(K43&gt;=85, K43&lt;=100), "4", IF(AND(K43&gt;=80, K43&lt;=84.999999999), "3.5", IF(AND(K43&gt;=75, K43&lt;=79.999999999), "3", IF(AND(K43&gt;=70, K43&lt;=74.999999999), "2.5", IF(AND(K43&gt;=60, K43&lt;=69.9999999999), "2", IF(AND(K43&gt;=40, K43&lt;=59.999999999), "1", IF(AND(K43&gt;=0, K43&lt;=39.999999999), "0",  "0"  )  )  )  )  )  )  )</f>
        <v>2.5</v>
      </c>
    </row>
    <row r="44" spans="1:13" x14ac:dyDescent="0.2">
      <c r="A44" t="s">
        <v>96</v>
      </c>
      <c r="B44" t="s">
        <v>97</v>
      </c>
      <c r="C44">
        <v>2</v>
      </c>
      <c r="D44" t="s">
        <v>25</v>
      </c>
      <c r="E44" s="2">
        <v>78.569999999999993</v>
      </c>
      <c r="F44" s="3">
        <v>87</v>
      </c>
      <c r="G44" s="3">
        <v>87</v>
      </c>
      <c r="H44" s="3">
        <v>80.95</v>
      </c>
      <c r="I44" s="3">
        <v>60</v>
      </c>
      <c r="J44" s="3">
        <v>90</v>
      </c>
      <c r="K44" s="4">
        <f>ROUND( ((E44*10+F44*40+G44*10+H44*10+I44*15+J44*15) / 100), 2)</f>
        <v>81.95</v>
      </c>
      <c r="L44" s="4" t="str">
        <f>IF(AND(K44&gt;=85, K44&lt;=100), "A", IF(AND(K44&gt;=80, K44&lt;=84.999999999), "AB", IF(AND(K44&gt;=75, K44&lt;=79.999999999), "B", IF(AND(K44&gt;=70, K44&lt;=74.999999999), "BC", IF(AND(K44&gt;=60, K44&lt;=69.9999999999), "C", IF(AND(K44&gt;=40, K44&lt;=59.999999999), "D", IF(AND(K44&gt;=0, K44&lt;=39.999999999), "E",  "E"  )  )  )  )  )  )  )</f>
        <v>AB</v>
      </c>
      <c r="M44" t="str">
        <f>IF(AND(K44&gt;=85, K44&lt;=100), "4", IF(AND(K44&gt;=80, K44&lt;=84.999999999), "3.5", IF(AND(K44&gt;=75, K44&lt;=79.999999999), "3", IF(AND(K44&gt;=70, K44&lt;=74.999999999), "2.5", IF(AND(K44&gt;=60, K44&lt;=69.9999999999), "2", IF(AND(K44&gt;=40, K44&lt;=59.999999999), "1", IF(AND(K44&gt;=0, K44&lt;=39.999999999), "0",  "0"  )  )  )  )  )  )  )</f>
        <v>3.5</v>
      </c>
    </row>
    <row r="45" spans="1:13" x14ac:dyDescent="0.2">
      <c r="A45" t="s">
        <v>98</v>
      </c>
      <c r="B45" t="s">
        <v>99</v>
      </c>
      <c r="C45">
        <v>2</v>
      </c>
      <c r="D45" t="s">
        <v>25</v>
      </c>
      <c r="E45" s="2">
        <v>100</v>
      </c>
      <c r="F45" s="3">
        <v>85</v>
      </c>
      <c r="G45" s="3">
        <v>87</v>
      </c>
      <c r="H45" s="3">
        <v>90.48</v>
      </c>
      <c r="I45" s="3">
        <v>58</v>
      </c>
      <c r="J45" s="3">
        <v>75</v>
      </c>
      <c r="K45" s="4">
        <f>ROUND( ((E45*10+F45*40+G45*10+H45*10+I45*15+J45*15) / 100), 2)</f>
        <v>81.7</v>
      </c>
      <c r="L45" s="4" t="str">
        <f>IF(AND(K45&gt;=85, K45&lt;=100), "A", IF(AND(K45&gt;=80, K45&lt;=84.999999999), "AB", IF(AND(K45&gt;=75, K45&lt;=79.999999999), "B", IF(AND(K45&gt;=70, K45&lt;=74.999999999), "BC", IF(AND(K45&gt;=60, K45&lt;=69.9999999999), "C", IF(AND(K45&gt;=40, K45&lt;=59.999999999), "D", IF(AND(K45&gt;=0, K45&lt;=39.999999999), "E",  "E"  )  )  )  )  )  )  )</f>
        <v>AB</v>
      </c>
      <c r="M45" t="str">
        <f>IF(AND(K45&gt;=85, K45&lt;=100), "4", IF(AND(K45&gt;=80, K45&lt;=84.999999999), "3.5", IF(AND(K45&gt;=75, K45&lt;=79.999999999), "3", IF(AND(K45&gt;=70, K45&lt;=74.999999999), "2.5", IF(AND(K45&gt;=60, K45&lt;=69.9999999999), "2", IF(AND(K45&gt;=40, K45&lt;=59.999999999), "1", IF(AND(K45&gt;=0, K45&lt;=39.999999999), "0",  "0"  )  )  )  )  )  )  )</f>
        <v>3.5</v>
      </c>
    </row>
    <row r="46" spans="1:13" x14ac:dyDescent="0.2">
      <c r="A46" t="s">
        <v>100</v>
      </c>
      <c r="B46" t="s">
        <v>101</v>
      </c>
      <c r="C46">
        <v>2</v>
      </c>
      <c r="D46" t="s">
        <v>25</v>
      </c>
      <c r="E46" s="2">
        <v>92.86</v>
      </c>
      <c r="F46" s="3">
        <v>84</v>
      </c>
      <c r="G46" s="3">
        <v>87</v>
      </c>
      <c r="H46" s="3">
        <v>90.48</v>
      </c>
      <c r="I46" s="3">
        <v>50</v>
      </c>
      <c r="J46" s="3">
        <v>95</v>
      </c>
      <c r="K46" s="4">
        <f>ROUND( ((E46*10+F46*40+G46*10+H46*10+I46*15+J46*15) / 100), 2)</f>
        <v>82.38</v>
      </c>
      <c r="L46" s="4" t="str">
        <f>IF(AND(K46&gt;=85, K46&lt;=100), "A", IF(AND(K46&gt;=80, K46&lt;=84.999999999), "AB", IF(AND(K46&gt;=75, K46&lt;=79.999999999), "B", IF(AND(K46&gt;=70, K46&lt;=74.999999999), "BC", IF(AND(K46&gt;=60, K46&lt;=69.9999999999), "C", IF(AND(K46&gt;=40, K46&lt;=59.999999999), "D", IF(AND(K46&gt;=0, K46&lt;=39.999999999), "E",  "E"  )  )  )  )  )  )  )</f>
        <v>AB</v>
      </c>
      <c r="M46" t="str">
        <f>IF(AND(K46&gt;=85, K46&lt;=100), "4", IF(AND(K46&gt;=80, K46&lt;=84.999999999), "3.5", IF(AND(K46&gt;=75, K46&lt;=79.999999999), "3", IF(AND(K46&gt;=70, K46&lt;=74.999999999), "2.5", IF(AND(K46&gt;=60, K46&lt;=69.9999999999), "2", IF(AND(K46&gt;=40, K46&lt;=59.999999999), "1", IF(AND(K46&gt;=0, K46&lt;=39.999999999), "0",  "0"  )  )  )  )  )  )  )</f>
        <v>3.5</v>
      </c>
    </row>
    <row r="47" spans="1:13" x14ac:dyDescent="0.2">
      <c r="A47" t="s">
        <v>102</v>
      </c>
      <c r="B47" t="s">
        <v>103</v>
      </c>
      <c r="C47">
        <v>2</v>
      </c>
      <c r="D47" t="s">
        <v>25</v>
      </c>
      <c r="E47" s="2">
        <v>100</v>
      </c>
      <c r="F47" s="3">
        <v>84</v>
      </c>
      <c r="G47" s="3">
        <v>88</v>
      </c>
      <c r="H47" s="3">
        <v>85.71</v>
      </c>
      <c r="I47" s="3">
        <v>51</v>
      </c>
      <c r="J47" s="3">
        <v>70</v>
      </c>
      <c r="K47" s="4">
        <f>ROUND( ((E47*10+F47*40+G47*10+H47*10+I47*15+J47*15) / 100), 2)</f>
        <v>79.12</v>
      </c>
      <c r="L47" s="4" t="str">
        <f>IF(AND(K47&gt;=85, K47&lt;=100), "A", IF(AND(K47&gt;=80, K47&lt;=84.999999999), "AB", IF(AND(K47&gt;=75, K47&lt;=79.999999999), "B", IF(AND(K47&gt;=70, K47&lt;=74.999999999), "BC", IF(AND(K47&gt;=60, K47&lt;=69.9999999999), "C", IF(AND(K47&gt;=40, K47&lt;=59.999999999), "D", IF(AND(K47&gt;=0, K47&lt;=39.999999999), "E",  "E"  )  )  )  )  )  )  )</f>
        <v>B</v>
      </c>
      <c r="M47" t="str">
        <f>IF(AND(K47&gt;=85, K47&lt;=100), "4", IF(AND(K47&gt;=80, K47&lt;=84.999999999), "3.5", IF(AND(K47&gt;=75, K47&lt;=79.999999999), "3", IF(AND(K47&gt;=70, K47&lt;=74.999999999), "2.5", IF(AND(K47&gt;=60, K47&lt;=69.9999999999), "2", IF(AND(K47&gt;=40, K47&lt;=59.999999999), "1", IF(AND(K47&gt;=0, K47&lt;=39.999999999), "0",  "0"  )  )  )  )  )  )  )</f>
        <v>3</v>
      </c>
    </row>
    <row r="48" spans="1:13" x14ac:dyDescent="0.2">
      <c r="A48" t="s">
        <v>104</v>
      </c>
      <c r="B48" t="s">
        <v>105</v>
      </c>
      <c r="C48">
        <v>2</v>
      </c>
      <c r="D48" t="s">
        <v>25</v>
      </c>
      <c r="E48" s="2">
        <v>100</v>
      </c>
      <c r="F48" s="3">
        <v>85</v>
      </c>
      <c r="G48" s="3">
        <v>87</v>
      </c>
      <c r="H48" s="3">
        <v>85.71</v>
      </c>
      <c r="I48" s="3">
        <v>43</v>
      </c>
      <c r="J48" s="3">
        <v>80</v>
      </c>
      <c r="K48" s="4">
        <f>ROUND( ((E48*10+F48*40+G48*10+H48*10+I48*15+J48*15) / 100), 2)</f>
        <v>79.72</v>
      </c>
      <c r="L48" s="4" t="str">
        <f>IF(AND(K48&gt;=85, K48&lt;=100), "A", IF(AND(K48&gt;=80, K48&lt;=84.999999999), "AB", IF(AND(K48&gt;=75, K48&lt;=79.999999999), "B", IF(AND(K48&gt;=70, K48&lt;=74.999999999), "BC", IF(AND(K48&gt;=60, K48&lt;=69.9999999999), "C", IF(AND(K48&gt;=40, K48&lt;=59.999999999), "D", IF(AND(K48&gt;=0, K48&lt;=39.999999999), "E",  "E"  )  )  )  )  )  )  )</f>
        <v>B</v>
      </c>
      <c r="M48" t="str">
        <f>IF(AND(K48&gt;=85, K48&lt;=100), "4", IF(AND(K48&gt;=80, K48&lt;=84.999999999), "3.5", IF(AND(K48&gt;=75, K48&lt;=79.999999999), "3", IF(AND(K48&gt;=70, K48&lt;=74.999999999), "2.5", IF(AND(K48&gt;=60, K48&lt;=69.9999999999), "2", IF(AND(K48&gt;=40, K48&lt;=59.999999999), "1", IF(AND(K48&gt;=0, K48&lt;=39.999999999), "0",  "0"  )  )  )  )  )  )  )</f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Henri Tantyoko</cp:lastModifiedBy>
  <dcterms:created xsi:type="dcterms:W3CDTF">2026-06-27T07:19:25Z</dcterms:created>
  <dcterms:modified xsi:type="dcterms:W3CDTF">2026-06-29T08:53:07Z</dcterms:modified>
  <cp:category>Test result file</cp:category>
</cp:coreProperties>
</file>