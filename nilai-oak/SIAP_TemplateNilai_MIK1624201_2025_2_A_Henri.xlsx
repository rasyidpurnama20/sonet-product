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21"/>
  <workbookPr codeName="ThisWorkbook"/>
  <mc:AlternateContent xmlns:mc="http://schemas.openxmlformats.org/markup-compatibility/2006">
    <mc:Choice Requires="x15">
      <x15ac:absPath xmlns:x15ac="http://schemas.microsoft.com/office/spreadsheetml/2010/11/ac" url="/Users/henri/Downloads/OAK Nilai/"/>
    </mc:Choice>
  </mc:AlternateContent>
  <xr:revisionPtr revIDLastSave="0" documentId="13_ncr:1_{4DDEE9CE-26D8-6F4B-8800-B6746C04A7DC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Worksheet" sheetId="1" r:id="rId1"/>
  </sheets>
  <definedNames>
    <definedName name="_xlnm._FilterDatabase" localSheetId="0" hidden="1">Worksheet!$A$7:$M$7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6" i="1" l="1"/>
  <c r="M46" i="1" s="1"/>
  <c r="K45" i="1"/>
  <c r="M45" i="1" s="1"/>
  <c r="K44" i="1"/>
  <c r="M44" i="1" s="1"/>
  <c r="K43" i="1"/>
  <c r="L43" i="1" s="1"/>
  <c r="K42" i="1"/>
  <c r="M42" i="1" s="1"/>
  <c r="K41" i="1"/>
  <c r="M41" i="1" s="1"/>
  <c r="K40" i="1"/>
  <c r="M40" i="1" s="1"/>
  <c r="K39" i="1"/>
  <c r="M39" i="1" s="1"/>
  <c r="K38" i="1"/>
  <c r="M38" i="1" s="1"/>
  <c r="K37" i="1"/>
  <c r="M37" i="1" s="1"/>
  <c r="K36" i="1"/>
  <c r="M36" i="1" s="1"/>
  <c r="K35" i="1"/>
  <c r="M35" i="1" s="1"/>
  <c r="K34" i="1"/>
  <c r="L34" i="1" s="1"/>
  <c r="K33" i="1"/>
  <c r="L33" i="1" s="1"/>
  <c r="K32" i="1"/>
  <c r="L32" i="1" s="1"/>
  <c r="K31" i="1"/>
  <c r="M31" i="1" s="1"/>
  <c r="K30" i="1"/>
  <c r="M30" i="1" s="1"/>
  <c r="K29" i="1"/>
  <c r="M29" i="1" s="1"/>
  <c r="K28" i="1"/>
  <c r="M28" i="1" s="1"/>
  <c r="K27" i="1"/>
  <c r="L27" i="1" s="1"/>
  <c r="K26" i="1"/>
  <c r="M26" i="1" s="1"/>
  <c r="K25" i="1"/>
  <c r="M25" i="1" s="1"/>
  <c r="K24" i="1"/>
  <c r="M24" i="1" s="1"/>
  <c r="K23" i="1"/>
  <c r="L23" i="1" s="1"/>
  <c r="K22" i="1"/>
  <c r="L22" i="1" s="1"/>
  <c r="K21" i="1"/>
  <c r="M21" i="1" s="1"/>
  <c r="K20" i="1"/>
  <c r="M20" i="1" s="1"/>
  <c r="K19" i="1"/>
  <c r="M19" i="1" s="1"/>
  <c r="K18" i="1"/>
  <c r="M18" i="1" s="1"/>
  <c r="K17" i="1"/>
  <c r="M17" i="1" s="1"/>
  <c r="K16" i="1"/>
  <c r="L16" i="1" s="1"/>
  <c r="K15" i="1"/>
  <c r="M15" i="1" s="1"/>
  <c r="K14" i="1"/>
  <c r="M14" i="1" s="1"/>
  <c r="K13" i="1"/>
  <c r="M13" i="1" s="1"/>
  <c r="K12" i="1"/>
  <c r="M12" i="1" s="1"/>
  <c r="K11" i="1"/>
  <c r="M11" i="1" s="1"/>
  <c r="K10" i="1"/>
  <c r="M10" i="1" s="1"/>
  <c r="K9" i="1"/>
  <c r="M9" i="1" s="1"/>
  <c r="K8" i="1"/>
  <c r="M8" i="1" s="1"/>
  <c r="M43" i="1" l="1"/>
  <c r="L40" i="1"/>
  <c r="M33" i="1"/>
  <c r="L30" i="1"/>
  <c r="M23" i="1"/>
  <c r="L20" i="1"/>
  <c r="M16" i="1"/>
  <c r="L13" i="1"/>
  <c r="L10" i="1"/>
  <c r="L17" i="1"/>
  <c r="L37" i="1"/>
  <c r="L14" i="1"/>
  <c r="L24" i="1"/>
  <c r="M27" i="1"/>
  <c r="L11" i="1"/>
  <c r="L21" i="1"/>
  <c r="L31" i="1"/>
  <c r="M34" i="1"/>
  <c r="L41" i="1"/>
  <c r="L18" i="1"/>
  <c r="L38" i="1"/>
  <c r="L15" i="1"/>
  <c r="L35" i="1"/>
  <c r="L42" i="1"/>
  <c r="L9" i="1"/>
  <c r="L19" i="1"/>
  <c r="M22" i="1"/>
  <c r="L29" i="1"/>
  <c r="M32" i="1"/>
  <c r="L39" i="1"/>
  <c r="L44" i="1"/>
  <c r="L8" i="1"/>
  <c r="L28" i="1"/>
  <c r="L25" i="1"/>
  <c r="L45" i="1"/>
  <c r="L12" i="1"/>
  <c r="L26" i="1"/>
  <c r="L36" i="1"/>
  <c r="L46" i="1"/>
</calcChain>
</file>

<file path=xl/sharedStrings.xml><?xml version="1.0" encoding="utf-8"?>
<sst xmlns="http://schemas.openxmlformats.org/spreadsheetml/2006/main" count="141" uniqueCount="102">
  <si>
    <t>Mata Kuliah</t>
  </si>
  <si>
    <t>: MIK1624201 - Organisasi dan Arsitektur Komputer</t>
  </si>
  <si>
    <t>Tahun Ajaran</t>
  </si>
  <si>
    <t>: 2025</t>
  </si>
  <si>
    <t>NDk4NzM4</t>
  </si>
  <si>
    <t>Semester</t>
  </si>
  <si>
    <t>: Genap</t>
  </si>
  <si>
    <t>Kelas</t>
  </si>
  <si>
    <t>: A</t>
  </si>
  <si>
    <t>Prodi</t>
  </si>
  <si>
    <t>: S1-TEKNIK INFORMATIKA</t>
  </si>
  <si>
    <t>NIM</t>
  </si>
  <si>
    <t>Nama Mahasiswa</t>
  </si>
  <si>
    <t>Status</t>
  </si>
  <si>
    <t>Nilai Aktivitas Partisipatif (0,00-100,00) (10%)</t>
  </si>
  <si>
    <t>Nilai Hasil Proyek (0,00-100,00) (40%)</t>
  </si>
  <si>
    <t>Nilai Tugas (0,00-100,00) (10%)</t>
  </si>
  <si>
    <t>Nilai Quiz (0,00-100,00) (10%)</t>
  </si>
  <si>
    <t>Nilai UTS (0,00-100,00) (15%)</t>
  </si>
  <si>
    <t>Nilai UAS (0,00-100) (15%)</t>
  </si>
  <si>
    <t>Nilai Akhir Angka (0,00-100,00)</t>
  </si>
  <si>
    <t>Nilai Akhir Huruf (A/B/C/D/E)</t>
  </si>
  <si>
    <t>Nilai Bobot (0-4)</t>
  </si>
  <si>
    <t>24060125120007</t>
  </si>
  <si>
    <t>AUFAADHANI AGISTA RAIHAANA</t>
  </si>
  <si>
    <t>BARU</t>
  </si>
  <si>
    <t>24060125120010</t>
  </si>
  <si>
    <t>FATIMAH AZZAKIYAH</t>
  </si>
  <si>
    <t>24060125120019</t>
  </si>
  <si>
    <t>ADJIE AKBAR PAIZAL</t>
  </si>
  <si>
    <t>24060125120022</t>
  </si>
  <si>
    <t>IBNU FARREL ATHAILLAH FIRDAUS</t>
  </si>
  <si>
    <t>24060125120026</t>
  </si>
  <si>
    <t>HOSIANNA A SIMANGUNSONG</t>
  </si>
  <si>
    <t>24060125120040</t>
  </si>
  <si>
    <t>AZQYA SADIDATUN NISA</t>
  </si>
  <si>
    <t>24060125120042</t>
  </si>
  <si>
    <t>IBRAHIM NAUFALTSAQIF HANDOKO</t>
  </si>
  <si>
    <t>24060125120046</t>
  </si>
  <si>
    <t>TALITA ELVINA PUTRI KUSUMA</t>
  </si>
  <si>
    <t>24060125120049</t>
  </si>
  <si>
    <t>CINDY CLAUDIA SIHOTANG</t>
  </si>
  <si>
    <t>24060125130072</t>
  </si>
  <si>
    <t>MIKAIL FARRAS FAIRUZZABAD</t>
  </si>
  <si>
    <t>24060125130083</t>
  </si>
  <si>
    <t>MUHAMMAD HANIF</t>
  </si>
  <si>
    <t>24060125130085</t>
  </si>
  <si>
    <t>JOHANSEN BELTSAZAR SIAHAAN</t>
  </si>
  <si>
    <t>24060125130086</t>
  </si>
  <si>
    <t>NAILA AYU FARRAS HANUN</t>
  </si>
  <si>
    <t>24060125130100</t>
  </si>
  <si>
    <t>REIHAN REMIGIA RIHI</t>
  </si>
  <si>
    <t>24060125130101</t>
  </si>
  <si>
    <t>JUSTIN CHRISTIAN LUMBANTOBING</t>
  </si>
  <si>
    <t>24060125130107</t>
  </si>
  <si>
    <t>MUHAMAD DIAR MADONNY</t>
  </si>
  <si>
    <t>24060125130113</t>
  </si>
  <si>
    <t>GAMMA ABDILLAH MUQORROBIN</t>
  </si>
  <si>
    <t>24060125130119</t>
  </si>
  <si>
    <t>HILMI LAUDZA AT HALLAH</t>
  </si>
  <si>
    <t>24060125140122</t>
  </si>
  <si>
    <t>RAJENDRA NABIL HUTOMO</t>
  </si>
  <si>
    <t>24060125140127</t>
  </si>
  <si>
    <t>FRISKA AMALIA PUTRI</t>
  </si>
  <si>
    <t>24060125140151</t>
  </si>
  <si>
    <t>MUHAMMAD NAWFAL PASHA IMANDRIKA</t>
  </si>
  <si>
    <t>24060125140155</t>
  </si>
  <si>
    <t>MUHAMMAD RADHIN AGHFIAR</t>
  </si>
  <si>
    <t>24060125140161</t>
  </si>
  <si>
    <t>MOCHAMAD FARREL ABYANTARA</t>
  </si>
  <si>
    <t>24060125140167</t>
  </si>
  <si>
    <t>FACHRILLAH FAUZANUDDIN</t>
  </si>
  <si>
    <t>24060125140168</t>
  </si>
  <si>
    <t>ADAM ARDHINATA PAMUNGKAS</t>
  </si>
  <si>
    <t>24060125140171</t>
  </si>
  <si>
    <t>RIZQI RAMADHAN</t>
  </si>
  <si>
    <t>24060125140178</t>
  </si>
  <si>
    <t>MUHAMMAD ZIDAN ZEIN PURWADI</t>
  </si>
  <si>
    <t>24060125140183</t>
  </si>
  <si>
    <t>VARES DYON TYAS KUSUMA</t>
  </si>
  <si>
    <t>24060125140194</t>
  </si>
  <si>
    <t>MUHAMMAD FAZA SALAM</t>
  </si>
  <si>
    <t>24060125140196</t>
  </si>
  <si>
    <t>TORIBIO DESMOND DONOVAN</t>
  </si>
  <si>
    <t>24060125140203</t>
  </si>
  <si>
    <t>UMMU DIANA MAGHFIROH</t>
  </si>
  <si>
    <t>24060125140212</t>
  </si>
  <si>
    <t>AGITHA SELY JEFAYONA BANGUN</t>
  </si>
  <si>
    <t>24060125140213</t>
  </si>
  <si>
    <t>MUHAMMAD RAVILINO PRASETYO</t>
  </si>
  <si>
    <t>24060125140215</t>
  </si>
  <si>
    <t>LAILI ANGGITA NASOKA</t>
  </si>
  <si>
    <t>24060125140223</t>
  </si>
  <si>
    <t>MUHAMAD GEGESYAWA SENJAYA</t>
  </si>
  <si>
    <t>24060125140225</t>
  </si>
  <si>
    <t>HAFIZH ARRASYID</t>
  </si>
  <si>
    <t>24060125140231</t>
  </si>
  <si>
    <t>MUHAMMAD ROFIF ZUHDI</t>
  </si>
  <si>
    <t>24060125140235</t>
  </si>
  <si>
    <t>DIMAS ANGGA SAPUTRA</t>
  </si>
  <si>
    <t>24060125140244</t>
  </si>
  <si>
    <t>M. RAIHAN NAJMUDDIN FAWWAZ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</si>
</sst>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11"/>
      <color rgb="FFFFFF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Fill="1"/>
    <xf numFmtId="0" fontId="1" fillId="0" borderId="0" xfId="0" applyFont="1" applyFill="1"/>
    <xf numFmtId="0" fontId="0" fillId="0" borderId="0" xfId="0" applyFill="1" applyAlignment="1">
      <alignment vertical="top"/>
    </xf>
    <xf numFmtId="2" fontId="0" fillId="0" borderId="0" xfId="0" applyNumberFormat="1" applyFill="1" applyProtection="1">
      <protection locked="0"/>
    </xf>
    <xf numFmtId="2" fontId="0" fillId="0" borderId="0" xfId="0" applyNumberFormat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6"/>
  <sheetViews>
    <sheetView tabSelected="1" topLeftCell="A5" workbookViewId="0">
      <selection activeCell="A8" sqref="A8:B46"/>
    </sheetView>
  </sheetViews>
  <sheetFormatPr baseColWidth="10" defaultColWidth="8.83203125" defaultRowHeight="15" x14ac:dyDescent="0.2"/>
  <cols>
    <col min="1" max="1" width="17.5" style="1" bestFit="1" customWidth="1"/>
    <col min="2" max="2" width="58.83203125" style="1" bestFit="1" customWidth="1"/>
    <col min="3" max="3" width="10.5" style="1" bestFit="1" customWidth="1"/>
    <col min="4" max="4" width="8.1640625" style="1" bestFit="1" customWidth="1"/>
    <col min="5" max="5" width="36.33203125" style="1" bestFit="1" customWidth="1"/>
    <col min="6" max="6" width="30.1640625" style="1" bestFit="1" customWidth="1"/>
    <col min="7" max="7" width="37.6640625" style="1" customWidth="1"/>
    <col min="8" max="8" width="26.6640625" style="1" bestFit="1" customWidth="1"/>
    <col min="9" max="9" width="23.6640625" style="1" bestFit="1" customWidth="1"/>
    <col min="10" max="10" width="31.6640625" style="1" bestFit="1" customWidth="1"/>
    <col min="11" max="11" width="37.6640625" style="1" bestFit="1" customWidth="1"/>
    <col min="12" max="12" width="35.33203125" style="1" bestFit="1" customWidth="1"/>
    <col min="13" max="13" width="21.1640625" style="1" bestFit="1" customWidth="1"/>
    <col min="14" max="16384" width="8.83203125" style="1"/>
  </cols>
  <sheetData>
    <row r="1" spans="1:13" x14ac:dyDescent="0.2">
      <c r="A1" s="1" t="s">
        <v>0</v>
      </c>
      <c r="B1" s="1" t="s">
        <v>1</v>
      </c>
    </row>
    <row r="2" spans="1:13" x14ac:dyDescent="0.2">
      <c r="A2" s="1" t="s">
        <v>2</v>
      </c>
      <c r="B2" s="1" t="s">
        <v>3</v>
      </c>
      <c r="I2" s="2" t="s">
        <v>4</v>
      </c>
    </row>
    <row r="3" spans="1:13" x14ac:dyDescent="0.2">
      <c r="A3" s="1" t="s">
        <v>5</v>
      </c>
      <c r="B3" s="1" t="s">
        <v>6</v>
      </c>
    </row>
    <row r="4" spans="1:13" x14ac:dyDescent="0.2">
      <c r="A4" s="1" t="s">
        <v>7</v>
      </c>
      <c r="B4" s="1" t="s">
        <v>8</v>
      </c>
    </row>
    <row r="5" spans="1:13" x14ac:dyDescent="0.2">
      <c r="A5" s="1" t="s">
        <v>9</v>
      </c>
      <c r="B5" s="1" t="s">
        <v>10</v>
      </c>
    </row>
    <row r="7" spans="1:13" x14ac:dyDescent="0.2">
      <c r="A7" s="1" t="s">
        <v>11</v>
      </c>
      <c r="B7" s="1" t="s">
        <v>12</v>
      </c>
      <c r="C7" s="1" t="s">
        <v>5</v>
      </c>
      <c r="D7" s="1" t="s">
        <v>13</v>
      </c>
      <c r="E7" s="1" t="s">
        <v>14</v>
      </c>
      <c r="F7" s="1" t="s">
        <v>15</v>
      </c>
      <c r="G7" s="1" t="s">
        <v>16</v>
      </c>
      <c r="H7" s="1" t="s">
        <v>17</v>
      </c>
      <c r="I7" s="1" t="s">
        <v>18</v>
      </c>
      <c r="J7" s="1" t="s">
        <v>19</v>
      </c>
      <c r="K7" s="1" t="s">
        <v>20</v>
      </c>
      <c r="L7" s="1" t="s">
        <v>21</v>
      </c>
      <c r="M7" s="1" t="s">
        <v>22</v>
      </c>
    </row>
    <row r="8" spans="1:13" x14ac:dyDescent="0.2">
      <c r="A8" s="1" t="s">
        <v>23</v>
      </c>
      <c r="B8" s="1" t="s">
        <v>24</v>
      </c>
      <c r="C8" s="1">
        <v>2</v>
      </c>
      <c r="D8" s="1" t="s">
        <v>25</v>
      </c>
      <c r="E8" s="3">
        <v>100</v>
      </c>
      <c r="F8" s="4">
        <v>83</v>
      </c>
      <c r="G8" s="4">
        <v>88</v>
      </c>
      <c r="H8" s="4">
        <v>89</v>
      </c>
      <c r="I8" s="4">
        <v>54</v>
      </c>
      <c r="J8" s="4">
        <v>85</v>
      </c>
      <c r="K8" s="5">
        <f t="shared" ref="K8:K46" si="0">ROUND( ((E8*10+F8*40+G8*10+H8*10+I8*15+J8*15) / 100), 2)</f>
        <v>81.75</v>
      </c>
      <c r="L8" s="5" t="str">
        <f t="shared" ref="L8:L46" si="1">IF(AND(K8&gt;=85, K8&lt;=100), "A", IF(AND(K8&gt;=80, K8&lt;=84.999999999), "AB", IF(AND(K8&gt;=75, K8&lt;=79.999999999), "B", IF(AND(K8&gt;=70, K8&lt;=74.999999999), "BC", IF(AND(K8&gt;=60, K8&lt;=69.9999999999), "C", IF(AND(K8&gt;=40, K8&lt;=59.999999999), "D", IF(AND(K8&gt;=0, K8&lt;=39.999999999), "E",  "E"  )  )  )  )  )  )  )</f>
        <v>AB</v>
      </c>
      <c r="M8" s="1" t="str">
        <f t="shared" ref="M8:M46" si="2">IF(AND(K8&gt;=85, K8&lt;=100), "4", IF(AND(K8&gt;=80, K8&lt;=84.999999999), "3.5", IF(AND(K8&gt;=75, K8&lt;=79.999999999), "3", IF(AND(K8&gt;=70, K8&lt;=74.999999999), "2.5", IF(AND(K8&gt;=60, K8&lt;=69.9999999999), "2", IF(AND(K8&gt;=40, K8&lt;=59.999999999), "1", IF(AND(K8&gt;=0, K8&lt;=39.999999999), "0",  "0"  )  )  )  )  )  )  )</f>
        <v>3.5</v>
      </c>
    </row>
    <row r="9" spans="1:13" x14ac:dyDescent="0.2">
      <c r="A9" s="1" t="s">
        <v>26</v>
      </c>
      <c r="B9" s="1" t="s">
        <v>27</v>
      </c>
      <c r="C9" s="1">
        <v>2</v>
      </c>
      <c r="D9" s="1" t="s">
        <v>25</v>
      </c>
      <c r="E9" s="3">
        <v>100</v>
      </c>
      <c r="F9" s="4">
        <v>86</v>
      </c>
      <c r="G9" s="4">
        <v>85</v>
      </c>
      <c r="H9" s="4">
        <v>84</v>
      </c>
      <c r="I9" s="4">
        <v>35</v>
      </c>
      <c r="J9" s="4">
        <v>70</v>
      </c>
      <c r="K9" s="5">
        <f t="shared" si="0"/>
        <v>77.05</v>
      </c>
      <c r="L9" s="5" t="str">
        <f t="shared" si="1"/>
        <v>B</v>
      </c>
      <c r="M9" s="1" t="str">
        <f t="shared" si="2"/>
        <v>3</v>
      </c>
    </row>
    <row r="10" spans="1:13" x14ac:dyDescent="0.2">
      <c r="A10" s="1" t="s">
        <v>28</v>
      </c>
      <c r="B10" s="1" t="s">
        <v>29</v>
      </c>
      <c r="C10" s="1">
        <v>2</v>
      </c>
      <c r="D10" s="1" t="s">
        <v>25</v>
      </c>
      <c r="E10" s="3">
        <v>100</v>
      </c>
      <c r="F10" s="4">
        <v>83</v>
      </c>
      <c r="G10" s="4">
        <v>88</v>
      </c>
      <c r="H10" s="4">
        <v>93</v>
      </c>
      <c r="I10" s="4">
        <v>58</v>
      </c>
      <c r="J10" s="4">
        <v>95</v>
      </c>
      <c r="K10" s="5">
        <f t="shared" si="0"/>
        <v>84.25</v>
      </c>
      <c r="L10" s="5" t="str">
        <f t="shared" si="1"/>
        <v>AB</v>
      </c>
      <c r="M10" s="1" t="str">
        <f t="shared" si="2"/>
        <v>3.5</v>
      </c>
    </row>
    <row r="11" spans="1:13" x14ac:dyDescent="0.2">
      <c r="A11" s="1" t="s">
        <v>30</v>
      </c>
      <c r="B11" s="1" t="s">
        <v>31</v>
      </c>
      <c r="C11" s="1">
        <v>2</v>
      </c>
      <c r="D11" s="1" t="s">
        <v>25</v>
      </c>
      <c r="E11" s="3">
        <v>100</v>
      </c>
      <c r="F11" s="4">
        <v>83</v>
      </c>
      <c r="G11" s="4">
        <v>87</v>
      </c>
      <c r="H11" s="4">
        <v>95</v>
      </c>
      <c r="I11" s="4">
        <v>56</v>
      </c>
      <c r="J11" s="4">
        <v>90</v>
      </c>
      <c r="K11" s="5">
        <f t="shared" si="0"/>
        <v>83.3</v>
      </c>
      <c r="L11" s="5" t="str">
        <f t="shared" si="1"/>
        <v>AB</v>
      </c>
      <c r="M11" s="1" t="str">
        <f t="shared" si="2"/>
        <v>3.5</v>
      </c>
    </row>
    <row r="12" spans="1:13" x14ac:dyDescent="0.2">
      <c r="A12" s="1" t="s">
        <v>32</v>
      </c>
      <c r="B12" s="1" t="s">
        <v>33</v>
      </c>
      <c r="C12" s="1">
        <v>2</v>
      </c>
      <c r="D12" s="1" t="s">
        <v>25</v>
      </c>
      <c r="E12" s="3">
        <v>100</v>
      </c>
      <c r="F12" s="4">
        <v>83</v>
      </c>
      <c r="G12" s="4">
        <v>89</v>
      </c>
      <c r="H12" s="4">
        <v>93</v>
      </c>
      <c r="I12" s="4">
        <v>39</v>
      </c>
      <c r="J12" s="4">
        <v>55</v>
      </c>
      <c r="K12" s="5">
        <f t="shared" si="0"/>
        <v>75.5</v>
      </c>
      <c r="L12" s="5" t="str">
        <f t="shared" si="1"/>
        <v>B</v>
      </c>
      <c r="M12" s="1" t="str">
        <f t="shared" si="2"/>
        <v>3</v>
      </c>
    </row>
    <row r="13" spans="1:13" x14ac:dyDescent="0.2">
      <c r="A13" s="1" t="s">
        <v>34</v>
      </c>
      <c r="B13" s="1" t="s">
        <v>35</v>
      </c>
      <c r="C13" s="1">
        <v>2</v>
      </c>
      <c r="D13" s="1" t="s">
        <v>25</v>
      </c>
      <c r="E13" s="3">
        <v>100</v>
      </c>
      <c r="F13" s="4">
        <v>80</v>
      </c>
      <c r="G13" s="4">
        <v>88</v>
      </c>
      <c r="H13" s="4">
        <v>95</v>
      </c>
      <c r="I13" s="4">
        <v>40</v>
      </c>
      <c r="J13" s="4">
        <v>65</v>
      </c>
      <c r="K13" s="5">
        <f t="shared" si="0"/>
        <v>76.05</v>
      </c>
      <c r="L13" s="5" t="str">
        <f t="shared" si="1"/>
        <v>B</v>
      </c>
      <c r="M13" s="1" t="str">
        <f t="shared" si="2"/>
        <v>3</v>
      </c>
    </row>
    <row r="14" spans="1:13" x14ac:dyDescent="0.2">
      <c r="A14" s="1" t="s">
        <v>36</v>
      </c>
      <c r="B14" s="1" t="s">
        <v>37</v>
      </c>
      <c r="C14" s="1">
        <v>2</v>
      </c>
      <c r="D14" s="1" t="s">
        <v>25</v>
      </c>
      <c r="E14" s="3">
        <v>100</v>
      </c>
      <c r="F14" s="4">
        <v>83</v>
      </c>
      <c r="G14" s="4">
        <v>89</v>
      </c>
      <c r="H14" s="4">
        <v>97</v>
      </c>
      <c r="I14" s="4">
        <v>57</v>
      </c>
      <c r="J14" s="4">
        <v>85</v>
      </c>
      <c r="K14" s="5">
        <f t="shared" si="0"/>
        <v>83.1</v>
      </c>
      <c r="L14" s="5" t="str">
        <f t="shared" si="1"/>
        <v>AB</v>
      </c>
      <c r="M14" s="1" t="str">
        <f t="shared" si="2"/>
        <v>3.5</v>
      </c>
    </row>
    <row r="15" spans="1:13" x14ac:dyDescent="0.2">
      <c r="A15" s="1" t="s">
        <v>38</v>
      </c>
      <c r="B15" s="1" t="s">
        <v>39</v>
      </c>
      <c r="C15" s="1">
        <v>2</v>
      </c>
      <c r="D15" s="1" t="s">
        <v>25</v>
      </c>
      <c r="E15" s="3">
        <v>100</v>
      </c>
      <c r="F15" s="4">
        <v>80</v>
      </c>
      <c r="G15" s="4">
        <v>89</v>
      </c>
      <c r="H15" s="4">
        <v>88</v>
      </c>
      <c r="I15" s="4">
        <v>58</v>
      </c>
      <c r="J15" s="4">
        <v>90</v>
      </c>
      <c r="K15" s="5">
        <f t="shared" si="0"/>
        <v>81.900000000000006</v>
      </c>
      <c r="L15" s="5" t="str">
        <f t="shared" si="1"/>
        <v>AB</v>
      </c>
      <c r="M15" s="1" t="str">
        <f t="shared" si="2"/>
        <v>3.5</v>
      </c>
    </row>
    <row r="16" spans="1:13" x14ac:dyDescent="0.2">
      <c r="A16" s="1" t="s">
        <v>40</v>
      </c>
      <c r="B16" s="1" t="s">
        <v>41</v>
      </c>
      <c r="C16" s="1">
        <v>2</v>
      </c>
      <c r="D16" s="1" t="s">
        <v>25</v>
      </c>
      <c r="E16" s="3">
        <v>100</v>
      </c>
      <c r="F16" s="4">
        <v>83</v>
      </c>
      <c r="G16" s="4">
        <v>85</v>
      </c>
      <c r="H16" s="4">
        <v>91</v>
      </c>
      <c r="I16" s="4">
        <v>58</v>
      </c>
      <c r="J16" s="4">
        <v>80</v>
      </c>
      <c r="K16" s="5">
        <f t="shared" si="0"/>
        <v>81.5</v>
      </c>
      <c r="L16" s="5" t="str">
        <f t="shared" si="1"/>
        <v>AB</v>
      </c>
      <c r="M16" s="1" t="str">
        <f t="shared" si="2"/>
        <v>3.5</v>
      </c>
    </row>
    <row r="17" spans="1:13" x14ac:dyDescent="0.2">
      <c r="A17" s="1" t="s">
        <v>42</v>
      </c>
      <c r="B17" s="1" t="s">
        <v>43</v>
      </c>
      <c r="C17" s="1">
        <v>2</v>
      </c>
      <c r="D17" s="1" t="s">
        <v>25</v>
      </c>
      <c r="E17" s="3">
        <v>92.86</v>
      </c>
      <c r="F17" s="4">
        <v>96</v>
      </c>
      <c r="G17" s="4">
        <v>88</v>
      </c>
      <c r="H17" s="4">
        <v>85</v>
      </c>
      <c r="I17" s="4">
        <v>60</v>
      </c>
      <c r="J17" s="4"/>
      <c r="K17" s="5">
        <f t="shared" si="0"/>
        <v>73.989999999999995</v>
      </c>
      <c r="L17" s="5" t="str">
        <f t="shared" si="1"/>
        <v>BC</v>
      </c>
      <c r="M17" s="1" t="str">
        <f t="shared" si="2"/>
        <v>2.5</v>
      </c>
    </row>
    <row r="18" spans="1:13" x14ac:dyDescent="0.2">
      <c r="A18" s="1" t="s">
        <v>44</v>
      </c>
      <c r="B18" s="1" t="s">
        <v>45</v>
      </c>
      <c r="C18" s="1">
        <v>2</v>
      </c>
      <c r="D18" s="1" t="s">
        <v>25</v>
      </c>
      <c r="E18" s="3">
        <v>100</v>
      </c>
      <c r="F18" s="4">
        <v>96</v>
      </c>
      <c r="G18" s="4">
        <v>85</v>
      </c>
      <c r="H18" s="4">
        <v>91</v>
      </c>
      <c r="I18" s="4">
        <v>57</v>
      </c>
      <c r="J18" s="4">
        <v>90</v>
      </c>
      <c r="K18" s="5">
        <f t="shared" si="0"/>
        <v>88.05</v>
      </c>
      <c r="L18" s="5" t="str">
        <f t="shared" si="1"/>
        <v>A</v>
      </c>
      <c r="M18" s="1" t="str">
        <f t="shared" si="2"/>
        <v>4</v>
      </c>
    </row>
    <row r="19" spans="1:13" x14ac:dyDescent="0.2">
      <c r="A19" s="1" t="s">
        <v>46</v>
      </c>
      <c r="B19" s="1" t="s">
        <v>47</v>
      </c>
      <c r="C19" s="1">
        <v>2</v>
      </c>
      <c r="D19" s="1" t="s">
        <v>25</v>
      </c>
      <c r="E19" s="3">
        <v>100</v>
      </c>
      <c r="F19" s="4">
        <v>90</v>
      </c>
      <c r="G19" s="4">
        <v>89</v>
      </c>
      <c r="H19" s="4">
        <v>89</v>
      </c>
      <c r="I19" s="4">
        <v>58</v>
      </c>
      <c r="J19" s="4">
        <v>65</v>
      </c>
      <c r="K19" s="5">
        <f t="shared" si="0"/>
        <v>82.25</v>
      </c>
      <c r="L19" s="5" t="str">
        <f t="shared" si="1"/>
        <v>AB</v>
      </c>
      <c r="M19" s="1" t="str">
        <f t="shared" si="2"/>
        <v>3.5</v>
      </c>
    </row>
    <row r="20" spans="1:13" x14ac:dyDescent="0.2">
      <c r="A20" s="1" t="s">
        <v>48</v>
      </c>
      <c r="B20" s="1" t="s">
        <v>49</v>
      </c>
      <c r="C20" s="1">
        <v>2</v>
      </c>
      <c r="D20" s="1" t="s">
        <v>25</v>
      </c>
      <c r="E20" s="3">
        <v>100</v>
      </c>
      <c r="F20" s="4">
        <v>83</v>
      </c>
      <c r="G20" s="4">
        <v>87</v>
      </c>
      <c r="H20" s="4">
        <v>93</v>
      </c>
      <c r="I20" s="4">
        <v>53</v>
      </c>
      <c r="J20" s="4">
        <v>90</v>
      </c>
      <c r="K20" s="5">
        <f t="shared" si="0"/>
        <v>82.65</v>
      </c>
      <c r="L20" s="5" t="str">
        <f t="shared" si="1"/>
        <v>AB</v>
      </c>
      <c r="M20" s="1" t="str">
        <f t="shared" si="2"/>
        <v>3.5</v>
      </c>
    </row>
    <row r="21" spans="1:13" x14ac:dyDescent="0.2">
      <c r="A21" s="1" t="s">
        <v>50</v>
      </c>
      <c r="B21" s="1" t="s">
        <v>51</v>
      </c>
      <c r="C21" s="1">
        <v>2</v>
      </c>
      <c r="D21" s="1" t="s">
        <v>25</v>
      </c>
      <c r="E21" s="3">
        <v>100</v>
      </c>
      <c r="F21" s="4">
        <v>90</v>
      </c>
      <c r="G21" s="4">
        <v>86</v>
      </c>
      <c r="H21" s="4">
        <v>94</v>
      </c>
      <c r="I21" s="4">
        <v>36</v>
      </c>
      <c r="J21" s="4">
        <v>70</v>
      </c>
      <c r="K21" s="5">
        <f t="shared" si="0"/>
        <v>79.900000000000006</v>
      </c>
      <c r="L21" s="5" t="str">
        <f t="shared" si="1"/>
        <v>B</v>
      </c>
      <c r="M21" s="1" t="str">
        <f t="shared" si="2"/>
        <v>3</v>
      </c>
    </row>
    <row r="22" spans="1:13" x14ac:dyDescent="0.2">
      <c r="A22" s="1" t="s">
        <v>52</v>
      </c>
      <c r="B22" s="1" t="s">
        <v>53</v>
      </c>
      <c r="C22" s="1">
        <v>2</v>
      </c>
      <c r="D22" s="1" t="s">
        <v>25</v>
      </c>
      <c r="E22" s="3">
        <v>100</v>
      </c>
      <c r="F22" s="4">
        <v>87</v>
      </c>
      <c r="G22" s="4">
        <v>89</v>
      </c>
      <c r="H22" s="4">
        <v>95</v>
      </c>
      <c r="I22" s="4">
        <v>57</v>
      </c>
      <c r="J22" s="4">
        <v>65</v>
      </c>
      <c r="K22" s="5">
        <f t="shared" si="0"/>
        <v>81.5</v>
      </c>
      <c r="L22" s="5" t="str">
        <f t="shared" si="1"/>
        <v>AB</v>
      </c>
      <c r="M22" s="1" t="str">
        <f t="shared" si="2"/>
        <v>3.5</v>
      </c>
    </row>
    <row r="23" spans="1:13" x14ac:dyDescent="0.2">
      <c r="A23" s="1" t="s">
        <v>54</v>
      </c>
      <c r="B23" s="1" t="s">
        <v>55</v>
      </c>
      <c r="C23" s="1">
        <v>2</v>
      </c>
      <c r="D23" s="1" t="s">
        <v>25</v>
      </c>
      <c r="E23" s="3">
        <v>100</v>
      </c>
      <c r="F23" s="4">
        <v>87</v>
      </c>
      <c r="G23" s="4">
        <v>89</v>
      </c>
      <c r="H23" s="4">
        <v>94</v>
      </c>
      <c r="I23" s="4">
        <v>57</v>
      </c>
      <c r="J23" s="4">
        <v>90</v>
      </c>
      <c r="K23" s="5">
        <f t="shared" si="0"/>
        <v>85.15</v>
      </c>
      <c r="L23" s="5" t="str">
        <f t="shared" si="1"/>
        <v>A</v>
      </c>
      <c r="M23" s="1" t="str">
        <f t="shared" si="2"/>
        <v>4</v>
      </c>
    </row>
    <row r="24" spans="1:13" x14ac:dyDescent="0.2">
      <c r="A24" s="1" t="s">
        <v>56</v>
      </c>
      <c r="B24" s="1" t="s">
        <v>57</v>
      </c>
      <c r="C24" s="1">
        <v>2</v>
      </c>
      <c r="D24" s="1" t="s">
        <v>25</v>
      </c>
      <c r="E24" s="3">
        <v>92.86</v>
      </c>
      <c r="F24" s="4">
        <v>86</v>
      </c>
      <c r="G24" s="4">
        <v>87</v>
      </c>
      <c r="H24" s="4">
        <v>82</v>
      </c>
      <c r="I24" s="4">
        <v>57</v>
      </c>
      <c r="J24" s="4">
        <v>60</v>
      </c>
      <c r="K24" s="5">
        <f t="shared" si="0"/>
        <v>78.14</v>
      </c>
      <c r="L24" s="5" t="str">
        <f t="shared" si="1"/>
        <v>B</v>
      </c>
      <c r="M24" s="1" t="str">
        <f t="shared" si="2"/>
        <v>3</v>
      </c>
    </row>
    <row r="25" spans="1:13" x14ac:dyDescent="0.2">
      <c r="A25" s="1" t="s">
        <v>58</v>
      </c>
      <c r="B25" s="1" t="s">
        <v>59</v>
      </c>
      <c r="C25" s="1">
        <v>2</v>
      </c>
      <c r="D25" s="1" t="s">
        <v>25</v>
      </c>
      <c r="E25" s="3">
        <v>100</v>
      </c>
      <c r="F25" s="4">
        <v>80</v>
      </c>
      <c r="G25" s="4">
        <v>89</v>
      </c>
      <c r="H25" s="4">
        <v>94</v>
      </c>
      <c r="I25" s="4">
        <v>34</v>
      </c>
      <c r="J25" s="4">
        <v>80</v>
      </c>
      <c r="K25" s="5">
        <f t="shared" si="0"/>
        <v>77.400000000000006</v>
      </c>
      <c r="L25" s="5" t="str">
        <f t="shared" si="1"/>
        <v>B</v>
      </c>
      <c r="M25" s="1" t="str">
        <f t="shared" si="2"/>
        <v>3</v>
      </c>
    </row>
    <row r="26" spans="1:13" x14ac:dyDescent="0.2">
      <c r="A26" s="1" t="s">
        <v>60</v>
      </c>
      <c r="B26" s="1" t="s">
        <v>61</v>
      </c>
      <c r="C26" s="1">
        <v>2</v>
      </c>
      <c r="D26" s="1" t="s">
        <v>25</v>
      </c>
      <c r="E26" s="3">
        <v>100</v>
      </c>
      <c r="F26" s="4">
        <v>90</v>
      </c>
      <c r="G26" s="4">
        <v>87</v>
      </c>
      <c r="H26" s="4">
        <v>78</v>
      </c>
      <c r="I26" s="4">
        <v>22</v>
      </c>
      <c r="J26" s="4">
        <v>35</v>
      </c>
      <c r="K26" s="5">
        <f t="shared" si="0"/>
        <v>71.05</v>
      </c>
      <c r="L26" s="5" t="str">
        <f t="shared" si="1"/>
        <v>BC</v>
      </c>
      <c r="M26" s="1" t="str">
        <f t="shared" si="2"/>
        <v>2.5</v>
      </c>
    </row>
    <row r="27" spans="1:13" x14ac:dyDescent="0.2">
      <c r="A27" s="1" t="s">
        <v>62</v>
      </c>
      <c r="B27" s="1" t="s">
        <v>63</v>
      </c>
      <c r="C27" s="1">
        <v>2</v>
      </c>
      <c r="D27" s="1" t="s">
        <v>25</v>
      </c>
      <c r="E27" s="3">
        <v>100</v>
      </c>
      <c r="F27" s="4">
        <v>83</v>
      </c>
      <c r="G27" s="4">
        <v>85</v>
      </c>
      <c r="H27" s="4">
        <v>92</v>
      </c>
      <c r="I27" s="4">
        <v>40</v>
      </c>
      <c r="J27" s="4">
        <v>80</v>
      </c>
      <c r="K27" s="5">
        <f t="shared" si="0"/>
        <v>78.900000000000006</v>
      </c>
      <c r="L27" s="5" t="str">
        <f t="shared" si="1"/>
        <v>B</v>
      </c>
      <c r="M27" s="1" t="str">
        <f t="shared" si="2"/>
        <v>3</v>
      </c>
    </row>
    <row r="28" spans="1:13" x14ac:dyDescent="0.2">
      <c r="A28" s="1" t="s">
        <v>64</v>
      </c>
      <c r="B28" s="1" t="s">
        <v>65</v>
      </c>
      <c r="C28" s="1">
        <v>2</v>
      </c>
      <c r="D28" s="1" t="s">
        <v>25</v>
      </c>
      <c r="E28" s="3">
        <v>92.86</v>
      </c>
      <c r="F28" s="4">
        <v>90</v>
      </c>
      <c r="G28" s="4">
        <v>89</v>
      </c>
      <c r="H28" s="4">
        <v>84</v>
      </c>
      <c r="I28" s="4">
        <v>34</v>
      </c>
      <c r="J28" s="4">
        <v>85</v>
      </c>
      <c r="K28" s="5">
        <f t="shared" si="0"/>
        <v>80.44</v>
      </c>
      <c r="L28" s="5" t="str">
        <f t="shared" si="1"/>
        <v>AB</v>
      </c>
      <c r="M28" s="1" t="str">
        <f t="shared" si="2"/>
        <v>3.5</v>
      </c>
    </row>
    <row r="29" spans="1:13" x14ac:dyDescent="0.2">
      <c r="A29" s="1" t="s">
        <v>66</v>
      </c>
      <c r="B29" s="1" t="s">
        <v>67</v>
      </c>
      <c r="C29" s="1">
        <v>2</v>
      </c>
      <c r="D29" s="1" t="s">
        <v>25</v>
      </c>
      <c r="E29" s="3">
        <v>78.569999999999993</v>
      </c>
      <c r="F29" s="4">
        <v>85</v>
      </c>
      <c r="G29" s="4">
        <v>86</v>
      </c>
      <c r="H29" s="4">
        <v>92</v>
      </c>
      <c r="I29" s="4">
        <v>2</v>
      </c>
      <c r="J29" s="4">
        <v>40</v>
      </c>
      <c r="K29" s="5">
        <f t="shared" si="0"/>
        <v>65.959999999999994</v>
      </c>
      <c r="L29" s="5" t="str">
        <f t="shared" si="1"/>
        <v>C</v>
      </c>
      <c r="M29" s="1" t="str">
        <f t="shared" si="2"/>
        <v>2</v>
      </c>
    </row>
    <row r="30" spans="1:13" x14ac:dyDescent="0.2">
      <c r="A30" s="1" t="s">
        <v>68</v>
      </c>
      <c r="B30" s="1" t="s">
        <v>69</v>
      </c>
      <c r="C30" s="1">
        <v>2</v>
      </c>
      <c r="D30" s="1" t="s">
        <v>25</v>
      </c>
      <c r="E30" s="3">
        <v>100</v>
      </c>
      <c r="F30" s="4">
        <v>96</v>
      </c>
      <c r="G30" s="4">
        <v>87</v>
      </c>
      <c r="H30" s="4">
        <v>88</v>
      </c>
      <c r="I30" s="4">
        <v>56</v>
      </c>
      <c r="J30" s="4">
        <v>90</v>
      </c>
      <c r="K30" s="5">
        <f t="shared" si="0"/>
        <v>87.8</v>
      </c>
      <c r="L30" s="5" t="str">
        <f t="shared" si="1"/>
        <v>A</v>
      </c>
      <c r="M30" s="1" t="str">
        <f t="shared" si="2"/>
        <v>4</v>
      </c>
    </row>
    <row r="31" spans="1:13" x14ac:dyDescent="0.2">
      <c r="A31" s="1" t="s">
        <v>70</v>
      </c>
      <c r="B31" s="1" t="s">
        <v>71</v>
      </c>
      <c r="C31" s="1">
        <v>2</v>
      </c>
      <c r="D31" s="1" t="s">
        <v>25</v>
      </c>
      <c r="E31" s="3">
        <v>85.71</v>
      </c>
      <c r="F31" s="4">
        <v>87</v>
      </c>
      <c r="G31" s="4">
        <v>89</v>
      </c>
      <c r="H31" s="4">
        <v>94</v>
      </c>
      <c r="I31" s="4">
        <v>31</v>
      </c>
      <c r="J31" s="4">
        <v>55</v>
      </c>
      <c r="K31" s="5">
        <f t="shared" si="0"/>
        <v>74.569999999999993</v>
      </c>
      <c r="L31" s="5" t="str">
        <f t="shared" si="1"/>
        <v>BC</v>
      </c>
      <c r="M31" s="1" t="str">
        <f t="shared" si="2"/>
        <v>2.5</v>
      </c>
    </row>
    <row r="32" spans="1:13" x14ac:dyDescent="0.2">
      <c r="A32" s="1" t="s">
        <v>72</v>
      </c>
      <c r="B32" s="1" t="s">
        <v>73</v>
      </c>
      <c r="C32" s="1">
        <v>2</v>
      </c>
      <c r="D32" s="1" t="s">
        <v>25</v>
      </c>
      <c r="E32" s="3">
        <v>85.71</v>
      </c>
      <c r="F32" s="4">
        <v>85</v>
      </c>
      <c r="G32" s="4">
        <v>87</v>
      </c>
      <c r="H32" s="4">
        <v>93</v>
      </c>
      <c r="I32" s="4">
        <v>36</v>
      </c>
      <c r="J32" s="4">
        <v>20</v>
      </c>
      <c r="K32" s="5">
        <f t="shared" si="0"/>
        <v>68.97</v>
      </c>
      <c r="L32" s="5" t="str">
        <f t="shared" si="1"/>
        <v>C</v>
      </c>
      <c r="M32" s="1" t="str">
        <f t="shared" si="2"/>
        <v>2</v>
      </c>
    </row>
    <row r="33" spans="1:13" x14ac:dyDescent="0.2">
      <c r="A33" s="1" t="s">
        <v>74</v>
      </c>
      <c r="B33" s="1" t="s">
        <v>75</v>
      </c>
      <c r="C33" s="1">
        <v>2</v>
      </c>
      <c r="D33" s="1" t="s">
        <v>25</v>
      </c>
      <c r="E33" s="3">
        <v>100</v>
      </c>
      <c r="F33" s="4">
        <v>96</v>
      </c>
      <c r="G33" s="4">
        <v>88</v>
      </c>
      <c r="H33" s="4">
        <v>90</v>
      </c>
      <c r="I33" s="4">
        <v>50</v>
      </c>
      <c r="J33" s="4">
        <v>95</v>
      </c>
      <c r="K33" s="5">
        <f t="shared" si="0"/>
        <v>87.95</v>
      </c>
      <c r="L33" s="5" t="str">
        <f t="shared" si="1"/>
        <v>A</v>
      </c>
      <c r="M33" s="1" t="str">
        <f t="shared" si="2"/>
        <v>4</v>
      </c>
    </row>
    <row r="34" spans="1:13" x14ac:dyDescent="0.2">
      <c r="A34" s="1" t="s">
        <v>76</v>
      </c>
      <c r="B34" s="1" t="s">
        <v>77</v>
      </c>
      <c r="C34" s="1">
        <v>2</v>
      </c>
      <c r="D34" s="1" t="s">
        <v>25</v>
      </c>
      <c r="E34" s="3">
        <v>85.71</v>
      </c>
      <c r="F34" s="4"/>
      <c r="G34" s="4">
        <v>85</v>
      </c>
      <c r="H34" s="4">
        <v>94</v>
      </c>
      <c r="I34" s="4">
        <v>29</v>
      </c>
      <c r="J34" s="4">
        <v>0</v>
      </c>
      <c r="K34" s="5">
        <f t="shared" si="0"/>
        <v>30.82</v>
      </c>
      <c r="L34" s="5" t="str">
        <f t="shared" si="1"/>
        <v>E</v>
      </c>
      <c r="M34" s="1" t="str">
        <f t="shared" si="2"/>
        <v>0</v>
      </c>
    </row>
    <row r="35" spans="1:13" x14ac:dyDescent="0.2">
      <c r="A35" s="1" t="s">
        <v>78</v>
      </c>
      <c r="B35" s="1" t="s">
        <v>79</v>
      </c>
      <c r="C35" s="1">
        <v>2</v>
      </c>
      <c r="D35" s="1" t="s">
        <v>25</v>
      </c>
      <c r="E35" s="3">
        <v>78.569999999999993</v>
      </c>
      <c r="F35" s="4">
        <v>85</v>
      </c>
      <c r="G35" s="4">
        <v>87</v>
      </c>
      <c r="H35" s="4">
        <v>93</v>
      </c>
      <c r="I35" s="4">
        <v>27</v>
      </c>
      <c r="J35" s="4">
        <v>55</v>
      </c>
      <c r="K35" s="5">
        <f t="shared" si="0"/>
        <v>72.16</v>
      </c>
      <c r="L35" s="5" t="str">
        <f t="shared" si="1"/>
        <v>BC</v>
      </c>
      <c r="M35" s="1" t="str">
        <f t="shared" si="2"/>
        <v>2.5</v>
      </c>
    </row>
    <row r="36" spans="1:13" x14ac:dyDescent="0.2">
      <c r="A36" s="1" t="s">
        <v>80</v>
      </c>
      <c r="B36" s="1" t="s">
        <v>81</v>
      </c>
      <c r="C36" s="1">
        <v>2</v>
      </c>
      <c r="D36" s="1" t="s">
        <v>25</v>
      </c>
      <c r="E36" s="3">
        <v>78.569999999999993</v>
      </c>
      <c r="F36" s="4">
        <v>87</v>
      </c>
      <c r="G36" s="4">
        <v>85</v>
      </c>
      <c r="H36" s="4">
        <v>91</v>
      </c>
      <c r="I36" s="4">
        <v>33</v>
      </c>
      <c r="J36" s="4">
        <v>65</v>
      </c>
      <c r="K36" s="5">
        <f t="shared" si="0"/>
        <v>74.959999999999994</v>
      </c>
      <c r="L36" s="5" t="str">
        <f t="shared" si="1"/>
        <v>BC</v>
      </c>
      <c r="M36" s="1" t="str">
        <f t="shared" si="2"/>
        <v>2.5</v>
      </c>
    </row>
    <row r="37" spans="1:13" x14ac:dyDescent="0.2">
      <c r="A37" s="1" t="s">
        <v>82</v>
      </c>
      <c r="B37" s="1" t="s">
        <v>83</v>
      </c>
      <c r="C37" s="1">
        <v>2</v>
      </c>
      <c r="D37" s="1" t="s">
        <v>25</v>
      </c>
      <c r="E37" s="3">
        <v>100</v>
      </c>
      <c r="F37" s="4">
        <v>90</v>
      </c>
      <c r="G37" s="4">
        <v>88</v>
      </c>
      <c r="H37" s="4">
        <v>90</v>
      </c>
      <c r="I37" s="4">
        <v>51</v>
      </c>
      <c r="J37" s="4">
        <v>80</v>
      </c>
      <c r="K37" s="5">
        <f t="shared" si="0"/>
        <v>83.45</v>
      </c>
      <c r="L37" s="5" t="str">
        <f t="shared" si="1"/>
        <v>AB</v>
      </c>
      <c r="M37" s="1" t="str">
        <f t="shared" si="2"/>
        <v>3.5</v>
      </c>
    </row>
    <row r="38" spans="1:13" x14ac:dyDescent="0.2">
      <c r="A38" s="1" t="s">
        <v>84</v>
      </c>
      <c r="B38" s="1" t="s">
        <v>85</v>
      </c>
      <c r="C38" s="1">
        <v>2</v>
      </c>
      <c r="D38" s="1" t="s">
        <v>25</v>
      </c>
      <c r="E38" s="3">
        <v>100</v>
      </c>
      <c r="F38" s="4">
        <v>86</v>
      </c>
      <c r="G38" s="4">
        <v>85</v>
      </c>
      <c r="H38" s="4">
        <v>88</v>
      </c>
      <c r="I38" s="4">
        <v>43</v>
      </c>
      <c r="J38" s="4">
        <v>60</v>
      </c>
      <c r="K38" s="5">
        <f t="shared" si="0"/>
        <v>77.150000000000006</v>
      </c>
      <c r="L38" s="5" t="str">
        <f t="shared" si="1"/>
        <v>B</v>
      </c>
      <c r="M38" s="1" t="str">
        <f t="shared" si="2"/>
        <v>3</v>
      </c>
    </row>
    <row r="39" spans="1:13" x14ac:dyDescent="0.2">
      <c r="A39" s="1" t="s">
        <v>86</v>
      </c>
      <c r="B39" s="1" t="s">
        <v>87</v>
      </c>
      <c r="C39" s="1">
        <v>2</v>
      </c>
      <c r="D39" s="1" t="s">
        <v>25</v>
      </c>
      <c r="E39" s="3">
        <v>92.86</v>
      </c>
      <c r="F39" s="4">
        <v>80</v>
      </c>
      <c r="G39" s="4">
        <v>85</v>
      </c>
      <c r="H39" s="4">
        <v>93</v>
      </c>
      <c r="I39" s="4">
        <v>43</v>
      </c>
      <c r="J39" s="4">
        <v>85</v>
      </c>
      <c r="K39" s="5">
        <f t="shared" si="0"/>
        <v>78.290000000000006</v>
      </c>
      <c r="L39" s="5" t="str">
        <f t="shared" si="1"/>
        <v>B</v>
      </c>
      <c r="M39" s="1" t="str">
        <f t="shared" si="2"/>
        <v>3</v>
      </c>
    </row>
    <row r="40" spans="1:13" x14ac:dyDescent="0.2">
      <c r="A40" s="1" t="s">
        <v>88</v>
      </c>
      <c r="B40" s="1" t="s">
        <v>89</v>
      </c>
      <c r="C40" s="1">
        <v>2</v>
      </c>
      <c r="D40" s="1" t="s">
        <v>25</v>
      </c>
      <c r="E40" s="3">
        <v>100</v>
      </c>
      <c r="F40" s="4">
        <v>96</v>
      </c>
      <c r="G40" s="4">
        <v>88</v>
      </c>
      <c r="H40" s="4">
        <v>91</v>
      </c>
      <c r="I40" s="4">
        <v>58</v>
      </c>
      <c r="J40" s="4">
        <v>60</v>
      </c>
      <c r="K40" s="5">
        <f t="shared" si="0"/>
        <v>84</v>
      </c>
      <c r="L40" s="5" t="str">
        <f t="shared" si="1"/>
        <v>AB</v>
      </c>
      <c r="M40" s="1" t="str">
        <f t="shared" si="2"/>
        <v>3.5</v>
      </c>
    </row>
    <row r="41" spans="1:13" x14ac:dyDescent="0.2">
      <c r="A41" s="1" t="s">
        <v>90</v>
      </c>
      <c r="B41" s="1" t="s">
        <v>91</v>
      </c>
      <c r="C41" s="1">
        <v>2</v>
      </c>
      <c r="D41" s="1" t="s">
        <v>25</v>
      </c>
      <c r="E41" s="3">
        <v>100</v>
      </c>
      <c r="F41" s="4">
        <v>86</v>
      </c>
      <c r="G41" s="4">
        <v>89</v>
      </c>
      <c r="H41" s="4">
        <v>89</v>
      </c>
      <c r="I41" s="4">
        <v>8</v>
      </c>
      <c r="J41" s="4">
        <v>40</v>
      </c>
      <c r="K41" s="5">
        <f t="shared" si="0"/>
        <v>69.400000000000006</v>
      </c>
      <c r="L41" s="5" t="str">
        <f t="shared" si="1"/>
        <v>C</v>
      </c>
      <c r="M41" s="1" t="str">
        <f t="shared" si="2"/>
        <v>2</v>
      </c>
    </row>
    <row r="42" spans="1:13" x14ac:dyDescent="0.2">
      <c r="A42" s="1" t="s">
        <v>92</v>
      </c>
      <c r="B42" s="1" t="s">
        <v>93</v>
      </c>
      <c r="C42" s="1">
        <v>2</v>
      </c>
      <c r="D42" s="1" t="s">
        <v>25</v>
      </c>
      <c r="E42" s="3">
        <v>78.569999999999993</v>
      </c>
      <c r="F42" s="4">
        <v>80</v>
      </c>
      <c r="G42" s="4">
        <v>89</v>
      </c>
      <c r="H42" s="4">
        <v>95</v>
      </c>
      <c r="I42" s="4">
        <v>27</v>
      </c>
      <c r="J42" s="4">
        <v>50</v>
      </c>
      <c r="K42" s="5">
        <f t="shared" si="0"/>
        <v>69.81</v>
      </c>
      <c r="L42" s="5" t="str">
        <f t="shared" si="1"/>
        <v>C</v>
      </c>
      <c r="M42" s="1" t="str">
        <f t="shared" si="2"/>
        <v>2</v>
      </c>
    </row>
    <row r="43" spans="1:13" x14ac:dyDescent="0.2">
      <c r="A43" s="1" t="s">
        <v>94</v>
      </c>
      <c r="B43" s="1" t="s">
        <v>95</v>
      </c>
      <c r="C43" s="1">
        <v>2</v>
      </c>
      <c r="D43" s="1" t="s">
        <v>25</v>
      </c>
      <c r="E43" s="3">
        <v>92.86</v>
      </c>
      <c r="F43" s="4">
        <v>87</v>
      </c>
      <c r="G43" s="4">
        <v>89</v>
      </c>
      <c r="H43" s="4">
        <v>94</v>
      </c>
      <c r="I43" s="4">
        <v>58</v>
      </c>
      <c r="J43" s="4">
        <v>80</v>
      </c>
      <c r="K43" s="5">
        <f t="shared" si="0"/>
        <v>83.09</v>
      </c>
      <c r="L43" s="5" t="str">
        <f t="shared" si="1"/>
        <v>AB</v>
      </c>
      <c r="M43" s="1" t="str">
        <f t="shared" si="2"/>
        <v>3.5</v>
      </c>
    </row>
    <row r="44" spans="1:13" x14ac:dyDescent="0.2">
      <c r="A44" s="1" t="s">
        <v>96</v>
      </c>
      <c r="B44" s="1" t="s">
        <v>97</v>
      </c>
      <c r="C44" s="1">
        <v>2</v>
      </c>
      <c r="D44" s="1" t="s">
        <v>25</v>
      </c>
      <c r="E44" s="3">
        <v>100</v>
      </c>
      <c r="F44" s="4">
        <v>83</v>
      </c>
      <c r="G44" s="4">
        <v>87</v>
      </c>
      <c r="H44" s="4">
        <v>77</v>
      </c>
      <c r="I44" s="4">
        <v>10</v>
      </c>
      <c r="J44" s="4">
        <v>25</v>
      </c>
      <c r="K44" s="5">
        <f t="shared" si="0"/>
        <v>64.849999999999994</v>
      </c>
      <c r="L44" s="5" t="str">
        <f t="shared" si="1"/>
        <v>C</v>
      </c>
      <c r="M44" s="1" t="str">
        <f t="shared" si="2"/>
        <v>2</v>
      </c>
    </row>
    <row r="45" spans="1:13" x14ac:dyDescent="0.2">
      <c r="A45" s="1" t="s">
        <v>98</v>
      </c>
      <c r="B45" s="1" t="s">
        <v>99</v>
      </c>
      <c r="C45" s="1">
        <v>2</v>
      </c>
      <c r="D45" s="1" t="s">
        <v>25</v>
      </c>
      <c r="E45" s="3">
        <v>100</v>
      </c>
      <c r="F45" s="4">
        <v>86</v>
      </c>
      <c r="G45" s="4">
        <v>86</v>
      </c>
      <c r="H45" s="4">
        <v>92</v>
      </c>
      <c r="I45" s="4">
        <v>59</v>
      </c>
      <c r="J45" s="4">
        <v>85</v>
      </c>
      <c r="K45" s="5">
        <f t="shared" si="0"/>
        <v>83.8</v>
      </c>
      <c r="L45" s="5" t="str">
        <f t="shared" si="1"/>
        <v>AB</v>
      </c>
      <c r="M45" s="1" t="str">
        <f t="shared" si="2"/>
        <v>3.5</v>
      </c>
    </row>
    <row r="46" spans="1:13" x14ac:dyDescent="0.2">
      <c r="A46" s="1" t="s">
        <v>100</v>
      </c>
      <c r="B46" s="1" t="s">
        <v>101</v>
      </c>
      <c r="C46" s="1">
        <v>2</v>
      </c>
      <c r="D46" s="1" t="s">
        <v>25</v>
      </c>
      <c r="E46" s="3">
        <v>85.71</v>
      </c>
      <c r="F46" s="4">
        <v>85</v>
      </c>
      <c r="G46" s="4">
        <v>86</v>
      </c>
      <c r="H46" s="4">
        <v>88</v>
      </c>
      <c r="I46" s="4">
        <v>28</v>
      </c>
      <c r="J46" s="4">
        <v>60</v>
      </c>
      <c r="K46" s="5">
        <f t="shared" si="0"/>
        <v>73.17</v>
      </c>
      <c r="L46" s="5" t="str">
        <f t="shared" si="1"/>
        <v>BC</v>
      </c>
      <c r="M46" s="1" t="str">
        <f t="shared" si="2"/>
        <v>2.5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Office 2007 XLSX Test Document</dc:title>
  <dc:subject>Office 2007 XLSX Test Document</dc:subject>
  <dc:creator>SIAP UNDIP</dc:creator>
  <cp:keywords>office 2007 openxml php</cp:keywords>
  <dc:description>Test document for Office 2007 XLSX, generated using PHP classes.</dc:description>
  <cp:lastModifiedBy>Henri Tantyoko</cp:lastModifiedBy>
  <dcterms:created xsi:type="dcterms:W3CDTF">2026-06-27T07:18:27Z</dcterms:created>
  <dcterms:modified xsi:type="dcterms:W3CDTF">2026-06-29T08:34:53Z</dcterms:modified>
  <cp:category>Test result file</cp:category>
</cp:coreProperties>
</file>