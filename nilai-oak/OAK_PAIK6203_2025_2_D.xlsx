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6300" tabRatio="600" firstSheet="0" activeTab="1" autoFilterDateGrouping="1"/>
  </bookViews>
  <sheets>
    <sheet name="Worksheet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color rgb="FFFFFFFF"/>
      <sz val="11"/>
    </font>
    <font>
      <name val="Calibri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7" sqref="A7:B12"/>
    </sheetView>
  </sheetViews>
  <sheetFormatPr baseColWidth="10" defaultColWidth="8.83203125" defaultRowHeight="15"/>
  <cols>
    <col width="17.5" bestFit="1" customWidth="1" min="1" max="1"/>
    <col width="56.5" bestFit="1" customWidth="1" min="2" max="2"/>
    <col width="10.5" bestFit="1" customWidth="1" min="3" max="3"/>
    <col width="11.6640625" bestFit="1" customWidth="1" min="4" max="4"/>
    <col width="57.6640625" bestFit="1" customWidth="1" min="5" max="5"/>
    <col width="45.83203125" bestFit="1" customWidth="1" min="6" max="6"/>
    <col width="37.6640625" bestFit="1" customWidth="1" min="7" max="7"/>
    <col width="36.5" bestFit="1" customWidth="1" min="8" max="8"/>
    <col width="35.33203125" bestFit="1" customWidth="1" min="9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Mata Kuliah</t>
        </is>
      </c>
      <c r="B1" t="inlineStr">
        <is>
          <t>: PAIK6203 - Organisasi dan Arsitektur Komputer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NDk4NzUy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D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6"/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(10%)</t>
        </is>
      </c>
      <c r="H7" t="inlineStr">
        <is>
          <t>Nilai Quiz (0,00-100,00) (10%)</t>
        </is>
      </c>
      <c r="I7" t="inlineStr">
        <is>
          <t>Nilai UTS (0,00-100,00) (15%)</t>
        </is>
      </c>
      <c r="J7" t="inlineStr">
        <is>
          <t>Nilai UAS (0,00-100) (15%)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  <c r="N7" s="5" t="inlineStr">
        <is>
          <t>Tugas 01 (Nilai 0-100)</t>
        </is>
      </c>
      <c r="O7" s="5" t="inlineStr">
        <is>
          <t>Tugas 02 (Nilai 0-100)</t>
        </is>
      </c>
      <c r="P7" s="5" t="inlineStr">
        <is>
          <t>Quiz (Nilai 0-100)</t>
        </is>
      </c>
    </row>
    <row r="8">
      <c r="A8" t="inlineStr">
        <is>
          <t>24060122140135</t>
        </is>
      </c>
      <c r="B8" t="inlineStr">
        <is>
          <t>KANZ ALLIEF ARYAPUTRA</t>
        </is>
      </c>
      <c r="C8" t="n">
        <v>8</v>
      </c>
      <c r="D8" t="inlineStr">
        <is>
          <t>PERBAIKAN</t>
        </is>
      </c>
      <c r="E8" s="3" t="n"/>
      <c r="F8" s="3" t="n"/>
      <c r="G8" s="3" t="n"/>
      <c r="H8" s="3" t="n"/>
      <c r="I8" s="3" t="n"/>
      <c r="J8" s="3" t="n"/>
      <c r="K8" s="2">
        <f>ROUND( ((E8*10+F8*40+G8*10+H8*10+I8*15+J8*15) / 100), 2)</f>
        <v/>
      </c>
      <c r="L8" s="2">
        <f>IF(AND(K8&gt;=80, K8&lt;=100), "A", IF(AND(K8&gt;=70, K8&lt;=79.99999999999), "B", IF(AND(K8&gt;=60, K8&lt;=69.9999999999), "C", IF(AND(K8&gt;=51, K8&lt;=59.999999999), "D", IF(AND(K8&gt;=0, K8&lt;=50.999999999), "E",  "E"  )  )  )  )  )</f>
        <v/>
      </c>
      <c r="M8">
        <f>IF(AND(K8&gt;=80, K8&lt;=100), "4", IF(AND(K8&gt;=70, K8&lt;=79.99999999999), "3", IF(AND(K8&gt;=60, K8&lt;=69.9999999999), "2", IF(AND(K8&gt;=51, K8&lt;=59.999999999), "1", IF(AND(K8&gt;=0, K8&lt;=50.999999999), "0",  "0"  )  )  )  )  )</f>
        <v/>
      </c>
      <c r="N8" s="6" t="n">
        <v>0</v>
      </c>
      <c r="O8" s="6" t="n">
        <v>0</v>
      </c>
      <c r="P8" s="6" t="n">
        <v>0</v>
      </c>
    </row>
    <row r="9">
      <c r="A9" t="inlineStr">
        <is>
          <t>24060122140143</t>
        </is>
      </c>
      <c r="B9" t="inlineStr">
        <is>
          <t>ARSYAD GRANT SAPUTRO (&lt; 75%)</t>
        </is>
      </c>
      <c r="C9" t="n">
        <v>8</v>
      </c>
      <c r="D9" t="inlineStr">
        <is>
          <t>PERBAIKAN</t>
        </is>
      </c>
      <c r="E9" s="3" t="n"/>
      <c r="F9" s="3" t="n"/>
      <c r="G9" s="3" t="n"/>
      <c r="H9" s="3" t="n"/>
      <c r="I9" s="3" t="n"/>
      <c r="J9" s="2" t="n"/>
      <c r="K9" s="2">
        <f>ROUND( ((E9*10+F9*40+G9*10+H9*10+I9*15+J9*15) / 100), 2)</f>
        <v/>
      </c>
      <c r="L9" s="2">
        <f>IF(AND(K9&gt;=80, K9&lt;=100), "A", IF(AND(K9&gt;=70, K9&lt;=79.99999999999), "B", IF(AND(K9&gt;=60, K9&lt;=69.9999999999), "C", IF(AND(K9&gt;=51, K9&lt;=59.999999999), "D", IF(AND(K9&gt;=0, K9&lt;=50.999999999), "E",  "E"  )  )  )  )  )</f>
        <v/>
      </c>
      <c r="M9">
        <f>IF(AND(K9&gt;=80, K9&lt;=100), "4", IF(AND(K9&gt;=70, K9&lt;=79.99999999999), "3", IF(AND(K9&gt;=60, K9&lt;=69.9999999999), "2", IF(AND(K9&gt;=51, K9&lt;=59.999999999), "1", IF(AND(K9&gt;=0, K9&lt;=50.999999999), "0",  "0"  )  )  )  )  )</f>
        <v/>
      </c>
      <c r="N9" s="6" t="n">
        <v>0</v>
      </c>
      <c r="O9" s="6" t="n">
        <v>10</v>
      </c>
      <c r="P9" s="6" t="n">
        <v>90</v>
      </c>
    </row>
    <row r="10">
      <c r="A10" t="inlineStr">
        <is>
          <t>24060123120026</t>
        </is>
      </c>
      <c r="B10" t="inlineStr">
        <is>
          <t>JOHAN MIRACLE SIMANJUNTAK (&lt; 75%)</t>
        </is>
      </c>
      <c r="C10" t="n">
        <v>6</v>
      </c>
      <c r="D10" t="inlineStr">
        <is>
          <t>ULANG</t>
        </is>
      </c>
      <c r="E10" s="3" t="n"/>
      <c r="F10" s="3" t="n"/>
      <c r="G10" s="3" t="n"/>
      <c r="H10" s="3" t="n"/>
      <c r="I10" s="3" t="n"/>
      <c r="J10" s="2" t="n"/>
      <c r="K10" s="2">
        <f>ROUND( ((E10*10+F10*40+G10*10+H10*10+I10*15+J10*15) / 100), 2)</f>
        <v/>
      </c>
      <c r="L10" s="2">
        <f>IF(AND(K10&gt;=80, K10&lt;=100), "A", IF(AND(K10&gt;=70, K10&lt;=79.99999999999), "B", IF(AND(K10&gt;=60, K10&lt;=69.9999999999), "C", IF(AND(K10&gt;=51, K10&lt;=59.999999999), "D", IF(AND(K10&gt;=0, K10&lt;=50.999999999), "E",  "E"  )  )  )  )  )</f>
        <v/>
      </c>
      <c r="M10">
        <f>IF(AND(K10&gt;=80, K10&lt;=100), "4", IF(AND(K10&gt;=70, K10&lt;=79.99999999999), "3", IF(AND(K10&gt;=60, K10&lt;=69.9999999999), "2", IF(AND(K10&gt;=51, K10&lt;=59.999999999), "1", IF(AND(K10&gt;=0, K10&lt;=50.999999999), "0",  "0"  )  )  )  )  )</f>
        <v/>
      </c>
      <c r="N10" s="6" t="n">
        <v>93.75</v>
      </c>
      <c r="O10" s="6" t="n">
        <v>10</v>
      </c>
      <c r="P10" s="6" t="n">
        <v>0</v>
      </c>
    </row>
    <row r="11">
      <c r="A11" t="inlineStr">
        <is>
          <t>24060123140126</t>
        </is>
      </c>
      <c r="B11" t="inlineStr">
        <is>
          <t>JERICO ASH SHIDDIQY PURNOMO</t>
        </is>
      </c>
      <c r="C11" t="n">
        <v>6</v>
      </c>
      <c r="D11" t="inlineStr">
        <is>
          <t>PERBAIKAN</t>
        </is>
      </c>
      <c r="E11" s="3" t="n"/>
      <c r="F11" s="3" t="n"/>
      <c r="G11" s="3" t="n"/>
      <c r="H11" s="3" t="n"/>
      <c r="I11" s="3" t="n"/>
      <c r="J11" s="3" t="n"/>
      <c r="K11" s="2">
        <f>ROUND( ((E11*10+F11*40+G11*10+H11*10+I11*15+J11*15) / 100), 2)</f>
        <v/>
      </c>
      <c r="L11" s="2">
        <f>IF(AND(K11&gt;=80, K11&lt;=100), "A", IF(AND(K11&gt;=70, K11&lt;=79.99999999999), "B", IF(AND(K11&gt;=60, K11&lt;=69.9999999999), "C", IF(AND(K11&gt;=51, K11&lt;=59.999999999), "D", IF(AND(K11&gt;=0, K11&lt;=50.999999999), "E",  "E"  )  )  )  )  )</f>
        <v/>
      </c>
      <c r="M11">
        <f>IF(AND(K11&gt;=80, K11&lt;=100), "4", IF(AND(K11&gt;=70, K11&lt;=79.99999999999), "3", IF(AND(K11&gt;=60, K11&lt;=69.9999999999), "2", IF(AND(K11&gt;=51, K11&lt;=59.999999999), "1", IF(AND(K11&gt;=0, K11&lt;=50.999999999), "0",  "0"  )  )  )  )  )</f>
        <v/>
      </c>
      <c r="N11" s="6" t="n">
        <v>93.75</v>
      </c>
      <c r="O11" s="6" t="n">
        <v>10</v>
      </c>
      <c r="P11" s="6" t="n">
        <v>90</v>
      </c>
    </row>
    <row r="12">
      <c r="A12" t="inlineStr">
        <is>
          <t>24060122140181</t>
        </is>
      </c>
      <c r="B12" t="inlineStr">
        <is>
          <t>FARREL SYADI RAMADHAN</t>
        </is>
      </c>
      <c r="C12" t="n">
        <v>8</v>
      </c>
      <c r="D12" t="inlineStr">
        <is>
          <t>ULANG</t>
        </is>
      </c>
      <c r="E12" s="3" t="n"/>
      <c r="F12" s="3" t="n"/>
      <c r="G12" s="3" t="n"/>
      <c r="H12" s="3" t="n"/>
      <c r="I12" s="3" t="n"/>
      <c r="J12" s="3" t="n"/>
      <c r="K12" s="2">
        <f>ROUND( ((E12*10+F12*40+G12*10+H12*10+I12*15+J12*15) / 100), 2)</f>
        <v/>
      </c>
      <c r="L12" s="2">
        <f>IF(AND(K12&gt;=80, K12&lt;=100), "A", IF(AND(K12&gt;=70, K12&lt;=79.99999999999), "B", IF(AND(K12&gt;=60, K12&lt;=69.9999999999), "C", IF(AND(K12&gt;=51, K12&lt;=59.999999999), "D", IF(AND(K12&gt;=0, K12&lt;=50.999999999), "E",  "E"  )  )  )  )  )</f>
        <v/>
      </c>
      <c r="M12">
        <f>IF(AND(K12&gt;=80, K12&lt;=100), "4", IF(AND(K12&gt;=70, K12&lt;=79.99999999999), "3", IF(AND(K12&gt;=60, K12&lt;=69.9999999999), "2", IF(AND(K12&gt;=51, K12&lt;=59.999999999), "1", IF(AND(K12&gt;=0, K12&lt;=50.999999999), "0",  "0"  )  )  )  )  )</f>
        <v/>
      </c>
      <c r="N12" s="6" t="n">
        <v>78.12</v>
      </c>
      <c r="O12" s="6" t="n">
        <v>0</v>
      </c>
      <c r="P12" s="6" t="n">
        <v>90</v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7"/>
  <sheetViews>
    <sheetView tabSelected="1" workbookViewId="0">
      <selection activeCell="D4" sqref="D4"/>
    </sheetView>
  </sheetViews>
  <sheetFormatPr baseColWidth="10" defaultRowHeight="15"/>
  <cols>
    <col width="3.33203125" bestFit="1" customWidth="1" min="1" max="1"/>
    <col width="15.1640625" bestFit="1" customWidth="1" min="2" max="2"/>
    <col width="30.83203125" bestFit="1" customWidth="1" min="3" max="3"/>
  </cols>
  <sheetData>
    <row r="2">
      <c r="A2" s="4" t="inlineStr">
        <is>
          <t>No</t>
        </is>
      </c>
      <c r="B2" t="inlineStr">
        <is>
          <t>NIM</t>
        </is>
      </c>
      <c r="C2" t="inlineStr">
        <is>
          <t>Nama Mahasiswa</t>
        </is>
      </c>
      <c r="D2" s="4" t="inlineStr">
        <is>
          <t>UTS A (40%)</t>
        </is>
      </c>
    </row>
    <row r="3">
      <c r="A3" t="n">
        <v>1</v>
      </c>
      <c r="B3" t="inlineStr">
        <is>
          <t>24060122140135</t>
        </is>
      </c>
      <c r="C3" t="inlineStr">
        <is>
          <t>KANZ ALLIEF ARYAPUTRA</t>
        </is>
      </c>
      <c r="D3" t="n">
        <v>27</v>
      </c>
    </row>
    <row r="4">
      <c r="A4" t="n">
        <v>2</v>
      </c>
      <c r="B4" t="inlineStr">
        <is>
          <t>24060122140143</t>
        </is>
      </c>
      <c r="C4" t="inlineStr">
        <is>
          <t>ARSYAD GRANT SAPUTRO (&lt; 75%)</t>
        </is>
      </c>
    </row>
    <row r="5">
      <c r="A5" t="n">
        <v>3</v>
      </c>
      <c r="B5" t="inlineStr">
        <is>
          <t>24060123120026</t>
        </is>
      </c>
      <c r="C5" t="inlineStr">
        <is>
          <t>JOHAN MIRACLE SIMANJUNTAK (&lt; 75%)</t>
        </is>
      </c>
      <c r="D5" t="n">
        <v>12</v>
      </c>
    </row>
    <row r="6">
      <c r="A6" t="n">
        <v>4</v>
      </c>
      <c r="B6" t="inlineStr">
        <is>
          <t>24060123140126</t>
        </is>
      </c>
      <c r="C6" t="inlineStr">
        <is>
          <t>JERICO ASH SHIDDIQY PURNOMO</t>
        </is>
      </c>
      <c r="D6" t="n">
        <v>22</v>
      </c>
    </row>
    <row r="7">
      <c r="A7" t="n">
        <v>5</v>
      </c>
      <c r="B7" t="inlineStr">
        <is>
          <t>24060122140181</t>
        </is>
      </c>
      <c r="C7" t="inlineStr">
        <is>
          <t>FARREL SYADI RAMADHAN</t>
        </is>
      </c>
      <c r="D7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2026-06-15T00:25:19Z</dcterms:created>
  <dcterms:modified xsi:type="dcterms:W3CDTF">2026-06-29T10:54:36Z</dcterms:modified>
  <cp:lastModifiedBy>Satriawan Rasyid Purnama</cp:lastModifiedBy>
  <cp:category>Test result file</cp:category>
  <cp:keywords>office 2007 openxml php</cp:keywords>
</cp:coreProperties>
</file>