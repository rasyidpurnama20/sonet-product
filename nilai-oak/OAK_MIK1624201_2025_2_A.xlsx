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6300" tabRatio="600" firstSheet="0" activeTab="1" autoFilterDateGrouping="1"/>
  </bookViews>
  <sheets>
    <sheet name="Worksheet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color rgb="FFFFFFFF"/>
      <sz val="11"/>
    </font>
    <font>
      <name val="Calibri"/>
      <family val="2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2" fontId="0" fillId="0" borderId="0" applyProtection="1" pivotButton="0" quotePrefix="0" xfId="0">
      <protection locked="0" hidden="0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7" sqref="A7:B46"/>
    </sheetView>
  </sheetViews>
  <sheetFormatPr baseColWidth="10" defaultColWidth="8.83203125" defaultRowHeight="15"/>
  <cols>
    <col width="17.5" bestFit="1" customWidth="1" min="1" max="1"/>
    <col width="58.83203125" bestFit="1" customWidth="1" min="2" max="2"/>
    <col width="10.5" bestFit="1" customWidth="1" min="3" max="3"/>
    <col width="8.1640625" bestFit="1" customWidth="1" min="4" max="4"/>
    <col hidden="1" width="57.6640625" customWidth="1" min="5" max="5"/>
    <col hidden="1" width="45.83203125" customWidth="1" min="6" max="6"/>
    <col hidden="1" width="37.6640625" customWidth="1" min="7" max="7"/>
    <col hidden="1" width="36.5" customWidth="1" min="8" max="8"/>
    <col hidden="1" width="35.33203125" customWidth="1" min="9" max="9"/>
    <col hidden="1" width="31.6640625" customWidth="1" min="10" max="10"/>
    <col hidden="1" width="37.6640625" customWidth="1" min="11" max="11"/>
    <col hidden="1" width="35.33203125" customWidth="1" min="12" max="12"/>
    <col hidden="1" width="21.1640625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Mata Kuliah</t>
        </is>
      </c>
      <c r="B1" t="inlineStr">
        <is>
          <t>: MIK1624201 - Organisasi dan Arsitektur Komputer</t>
        </is>
      </c>
    </row>
    <row r="2">
      <c r="A2" t="inlineStr">
        <is>
          <t>Tahun Ajaran</t>
        </is>
      </c>
      <c r="B2" t="inlineStr">
        <is>
          <t>: 2025</t>
        </is>
      </c>
      <c r="I2" s="1" t="inlineStr">
        <is>
          <t>NDk4NzM4</t>
        </is>
      </c>
    </row>
    <row r="3">
      <c r="A3" t="inlineStr">
        <is>
          <t>Semester</t>
        </is>
      </c>
      <c r="B3" t="inlineStr">
        <is>
          <t>: Genap</t>
        </is>
      </c>
    </row>
    <row r="4">
      <c r="A4" t="inlineStr">
        <is>
          <t>Kelas</t>
        </is>
      </c>
      <c r="B4" t="inlineStr">
        <is>
          <t>: A</t>
        </is>
      </c>
    </row>
    <row r="5">
      <c r="A5" t="inlineStr">
        <is>
          <t>Prodi</t>
        </is>
      </c>
      <c r="B5" t="inlineStr">
        <is>
          <t>: S1-TEKNIK INFORMATIKA</t>
        </is>
      </c>
    </row>
    <row r="6"/>
    <row r="7">
      <c r="A7" t="inlineStr">
        <is>
          <t>NIM</t>
        </is>
      </c>
      <c r="B7" t="inlineStr">
        <is>
          <t>Nama Mahasiswa</t>
        </is>
      </c>
      <c r="C7" t="inlineStr">
        <is>
          <t>Semester</t>
        </is>
      </c>
      <c r="D7" t="inlineStr">
        <is>
          <t>Status</t>
        </is>
      </c>
      <c r="E7" t="inlineStr">
        <is>
          <t>Nilai Aktivitas Partisipatif (0,00-100,00) (10%)</t>
        </is>
      </c>
      <c r="F7" t="inlineStr">
        <is>
          <t>Nilai Hasil Proyek (0,00-100,00) (40%)</t>
        </is>
      </c>
      <c r="G7" t="inlineStr">
        <is>
          <t>Nilai Tugas (0,00-100,00) (10%)</t>
        </is>
      </c>
      <c r="H7" t="inlineStr">
        <is>
          <t>Nilai Quiz (0,00-100,00) (10%)</t>
        </is>
      </c>
      <c r="I7" t="inlineStr">
        <is>
          <t>Nilai UTS (0,00-100,00) (15%)</t>
        </is>
      </c>
      <c r="J7" t="inlineStr">
        <is>
          <t>Nilai UAS (0,00-100) (15%)</t>
        </is>
      </c>
      <c r="K7" t="inlineStr">
        <is>
          <t>Nilai Akhir Angka (0,00-100,00)</t>
        </is>
      </c>
      <c r="L7" t="inlineStr">
        <is>
          <t>Nilai Akhir Huruf (A/B/C/D/E)</t>
        </is>
      </c>
      <c r="M7" t="inlineStr">
        <is>
          <t>Nilai Bobot (0-4)</t>
        </is>
      </c>
      <c r="N7" s="5" t="inlineStr">
        <is>
          <t>Tugas 01 (Nilai 0-100)</t>
        </is>
      </c>
      <c r="O7" s="5" t="inlineStr">
        <is>
          <t>Tugas 02 (Nilai 0-100)</t>
        </is>
      </c>
      <c r="P7" s="5" t="inlineStr">
        <is>
          <t>Quiz (Nilai 0-100)</t>
        </is>
      </c>
    </row>
    <row r="8">
      <c r="A8" t="inlineStr">
        <is>
          <t>24060125120007</t>
        </is>
      </c>
      <c r="B8" t="inlineStr">
        <is>
          <t>AUFAADHANI AGISTA RAIHAANA</t>
        </is>
      </c>
      <c r="C8" t="n">
        <v>2</v>
      </c>
      <c r="D8" t="inlineStr">
        <is>
          <t>BARU</t>
        </is>
      </c>
      <c r="E8" s="3" t="n"/>
      <c r="F8" s="3" t="n"/>
      <c r="G8" s="3" t="n">
        <v>84.40000000000001</v>
      </c>
      <c r="H8" s="3" t="n">
        <v>89.40000000000001</v>
      </c>
      <c r="I8" s="3" t="n">
        <v>84</v>
      </c>
      <c r="J8" s="3" t="n"/>
      <c r="K8" s="2">
        <f>ROUND( ((E8*10+F8*40+G8*10+H8*10+I8*15+J8*15) / 100), 2)</f>
        <v/>
      </c>
      <c r="L8" s="2">
        <f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/>
      </c>
      <c r="M8">
        <f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/>
      </c>
      <c r="N8" s="6" t="n">
        <v>93.75</v>
      </c>
      <c r="O8" s="6" t="n">
        <v>20</v>
      </c>
      <c r="P8" s="6" t="n">
        <v>90</v>
      </c>
    </row>
    <row r="9">
      <c r="A9" t="inlineStr">
        <is>
          <t>24060125120010</t>
        </is>
      </c>
      <c r="B9" t="inlineStr">
        <is>
          <t>FATIMAH AZZAKIYAH</t>
        </is>
      </c>
      <c r="C9" t="n">
        <v>2</v>
      </c>
      <c r="D9" t="inlineStr">
        <is>
          <t>BARU</t>
        </is>
      </c>
      <c r="E9" s="3" t="n"/>
      <c r="F9" s="3" t="n"/>
      <c r="G9" s="3" t="n">
        <v>82.59999999999999</v>
      </c>
      <c r="H9" s="3" t="n">
        <v>66.40000000000001</v>
      </c>
      <c r="I9" s="3" t="n">
        <v>65</v>
      </c>
      <c r="J9" s="3" t="n"/>
      <c r="K9" s="2">
        <f>ROUND( ((E9*10+F9*40+G9*10+H9*10+I9*15+J9*15) / 100), 2)</f>
        <v/>
      </c>
      <c r="L9" s="2">
        <f>IF(AND(K9&gt;=85, K9&lt;=100), "A", IF(AND(K9&gt;=80, K9&lt;=84.999999999), "AB", IF(AND(K9&gt;=75, K9&lt;=79.999999999), "B", IF(AND(K9&gt;=70, K9&lt;=74.999999999), "BC", IF(AND(K9&gt;=60, K9&lt;=69.9999999999), "C", IF(AND(K9&gt;=40, K9&lt;=59.999999999), "D", IF(AND(K9&gt;=0, K9&lt;=39.999999999), "E", "E" ) ) ) ) ) ) )</f>
        <v/>
      </c>
      <c r="M9">
        <f>IF(AND(K9&gt;=85, K9&lt;=100), "4", IF(AND(K9&gt;=80, K9&lt;=84.999999999), "3.5", IF(AND(K9&gt;=75, K9&lt;=79.999999999), "3", IF(AND(K9&gt;=70, K9&lt;=74.999999999), "2.5", IF(AND(K9&gt;=60, K9&lt;=69.9999999999), "2", IF(AND(K9&gt;=40, K9&lt;=59.999999999), "1", IF(AND(K9&gt;=0, K9&lt;=39.999999999), "0", "0" ) ) ) ) ) ) )</f>
        <v/>
      </c>
      <c r="N9" s="6" t="n">
        <v>93.75</v>
      </c>
      <c r="O9" s="6" t="n">
        <v>20</v>
      </c>
      <c r="P9" s="6" t="n">
        <v>40</v>
      </c>
    </row>
    <row r="10">
      <c r="A10" t="inlineStr">
        <is>
          <t>24060125120019</t>
        </is>
      </c>
      <c r="B10" t="inlineStr">
        <is>
          <t>ADJIE AKBAR PAIZAL</t>
        </is>
      </c>
      <c r="C10" t="n">
        <v>2</v>
      </c>
      <c r="D10" t="inlineStr">
        <is>
          <t>BARU</t>
        </is>
      </c>
      <c r="E10" s="3" t="n"/>
      <c r="F10" s="3" t="n"/>
      <c r="G10" s="3" t="n">
        <v>85.40000000000001</v>
      </c>
      <c r="H10" s="3" t="n">
        <v>75.8</v>
      </c>
      <c r="I10" s="3" t="n">
        <v>98</v>
      </c>
      <c r="J10" s="3" t="n"/>
      <c r="K10" s="2">
        <f>ROUND( ((E10*10+F10*40+G10*10+H10*10+I10*15+J10*15) / 100), 2)</f>
        <v/>
      </c>
      <c r="L10" s="2">
        <f>IF(AND(K10&gt;=85, K10&lt;=100), "A", IF(AND(K10&gt;=80, K10&lt;=84.999999999), "AB", IF(AND(K10&gt;=75, K10&lt;=79.999999999), "B", IF(AND(K10&gt;=70, K10&lt;=74.999999999), "BC", IF(AND(K10&gt;=60, K10&lt;=69.9999999999), "C", IF(AND(K10&gt;=40, K10&lt;=59.999999999), "D", IF(AND(K10&gt;=0, K10&lt;=39.999999999), "E", "E" ) ) ) ) ) ) )</f>
        <v/>
      </c>
      <c r="M10">
        <f>IF(AND(K10&gt;=85, K10&lt;=100), "4", IF(AND(K10&gt;=80, K10&lt;=84.999999999), "3.5", IF(AND(K10&gt;=75, K10&lt;=79.999999999), "3", IF(AND(K10&gt;=70, K10&lt;=74.999999999), "2.5", IF(AND(K10&gt;=60, K10&lt;=69.9999999999), "2", IF(AND(K10&gt;=40, K10&lt;=59.999999999), "1", IF(AND(K10&gt;=0, K10&lt;=39.999999999), "0", "0" ) ) ) ) ) ) )</f>
        <v/>
      </c>
      <c r="N10" s="6" t="n">
        <v>96.88</v>
      </c>
      <c r="O10" s="6" t="n">
        <v>20</v>
      </c>
      <c r="P10" s="6" t="n">
        <v>50</v>
      </c>
    </row>
    <row r="11">
      <c r="A11" t="inlineStr">
        <is>
          <t>24060125120022</t>
        </is>
      </c>
      <c r="B11" t="inlineStr">
        <is>
          <t>IBNU FARREL ATHAILLAH FIRDAUS</t>
        </is>
      </c>
      <c r="C11" t="n">
        <v>2</v>
      </c>
      <c r="D11" t="inlineStr">
        <is>
          <t>BARU</t>
        </is>
      </c>
      <c r="E11" s="3" t="n"/>
      <c r="F11" s="3" t="n"/>
      <c r="G11" s="3" t="n">
        <v>85</v>
      </c>
      <c r="H11" s="3" t="n">
        <v>97</v>
      </c>
      <c r="I11" s="3" t="n">
        <v>89</v>
      </c>
      <c r="J11" s="3" t="n"/>
      <c r="K11" s="2">
        <f>ROUND( ((E11*10+F11*40+G11*10+H11*10+I11*15+J11*15) / 100), 2)</f>
        <v/>
      </c>
      <c r="L11" s="2">
        <f>IF(AND(K11&gt;=85, K11&lt;=100), "A", IF(AND(K11&gt;=80, K11&lt;=84.999999999), "AB", IF(AND(K11&gt;=75, K11&lt;=79.999999999), "B", IF(AND(K11&gt;=70, K11&lt;=74.999999999), "BC", IF(AND(K11&gt;=60, K11&lt;=69.9999999999), "C", IF(AND(K11&gt;=40, K11&lt;=59.999999999), "D", IF(AND(K11&gt;=0, K11&lt;=39.999999999), "E", "E" ) ) ) ) ) ) )</f>
        <v/>
      </c>
      <c r="M11">
        <f>IF(AND(K11&gt;=85, K11&lt;=100), "4", IF(AND(K11&gt;=80, K11&lt;=84.999999999), "3.5", IF(AND(K11&gt;=75, K11&lt;=79.999999999), "3", IF(AND(K11&gt;=70, K11&lt;=74.999999999), "2.5", IF(AND(K11&gt;=60, K11&lt;=69.9999999999), "2", IF(AND(K11&gt;=40, K11&lt;=59.999999999), "1", IF(AND(K11&gt;=0, K11&lt;=39.999999999), "0", "0" ) ) ) ) ) ) )</f>
        <v/>
      </c>
      <c r="N11" s="6" t="n">
        <v>100</v>
      </c>
      <c r="O11" s="6" t="n">
        <v>10</v>
      </c>
      <c r="P11" s="6" t="n">
        <v>100</v>
      </c>
    </row>
    <row r="12">
      <c r="A12" t="inlineStr">
        <is>
          <t>24060125120026</t>
        </is>
      </c>
      <c r="B12" t="inlineStr">
        <is>
          <t>HOSIANNA A SIMANGUNSONG</t>
        </is>
      </c>
      <c r="C12" t="n">
        <v>2</v>
      </c>
      <c r="D12" t="inlineStr">
        <is>
          <t>BARU</t>
        </is>
      </c>
      <c r="E12" s="3" t="n"/>
      <c r="F12" s="3" t="n"/>
      <c r="G12" s="3" t="n">
        <v>87</v>
      </c>
      <c r="H12" s="3" t="n">
        <v>91.8</v>
      </c>
      <c r="I12" s="3" t="n">
        <v>66</v>
      </c>
      <c r="J12" s="3" t="n"/>
      <c r="K12" s="2">
        <f>ROUND( ((E12*10+F12*40+G12*10+H12*10+I12*15+J12*15) / 100), 2)</f>
        <v/>
      </c>
      <c r="L12" s="2">
        <f>IF(AND(K12&gt;=85, K12&lt;=100), "A", IF(AND(K12&gt;=80, K12&lt;=84.999999999), "AB", IF(AND(K12&gt;=75, K12&lt;=79.999999999), "B", IF(AND(K12&gt;=70, K12&lt;=74.999999999), "BC", IF(AND(K12&gt;=60, K12&lt;=69.9999999999), "C", IF(AND(K12&gt;=40, K12&lt;=59.999999999), "D", IF(AND(K12&gt;=0, K12&lt;=39.999999999), "E", "E" ) ) ) ) ) ) )</f>
        <v/>
      </c>
      <c r="M12">
        <f>IF(AND(K12&gt;=85, K12&lt;=100), "4", IF(AND(K12&gt;=80, K12&lt;=84.999999999), "3.5", IF(AND(K12&gt;=75, K12&lt;=79.999999999), "3", IF(AND(K12&gt;=70, K12&lt;=74.999999999), "2.5", IF(AND(K12&gt;=60, K12&lt;=69.9999999999), "2", IF(AND(K12&gt;=40, K12&lt;=59.999999999), "1", IF(AND(K12&gt;=0, K12&lt;=39.999999999), "0", "0" ) ) ) ) ) ) )</f>
        <v/>
      </c>
      <c r="N12" s="6" t="n">
        <v>100</v>
      </c>
      <c r="O12" s="6" t="n">
        <v>20</v>
      </c>
      <c r="P12" s="6" t="n">
        <v>90</v>
      </c>
    </row>
    <row r="13">
      <c r="A13" t="inlineStr">
        <is>
          <t>24060125120040</t>
        </is>
      </c>
      <c r="B13" t="inlineStr">
        <is>
          <t>AZQYA SADIDATUN NISA</t>
        </is>
      </c>
      <c r="C13" t="n">
        <v>2</v>
      </c>
      <c r="D13" t="inlineStr">
        <is>
          <t>BARU</t>
        </is>
      </c>
      <c r="E13" s="3" t="n"/>
      <c r="F13" s="3" t="n"/>
      <c r="G13" s="3" t="n">
        <v>83.59999999999999</v>
      </c>
      <c r="H13" s="3" t="n">
        <v>93</v>
      </c>
      <c r="I13" s="3" t="n">
        <v>57</v>
      </c>
      <c r="J13" s="3" t="n"/>
      <c r="K13" s="2">
        <f>ROUND( ((E13*10+F13*40+G13*10+H13*10+I13*15+J13*15) / 100), 2)</f>
        <v/>
      </c>
      <c r="L13" s="2">
        <f>IF(AND(K13&gt;=85, K13&lt;=100), "A", IF(AND(K13&gt;=80, K13&lt;=84.999999999), "AB", IF(AND(K13&gt;=75, K13&lt;=79.999999999), "B", IF(AND(K13&gt;=70, K13&lt;=74.999999999), "BC", IF(AND(K13&gt;=60, K13&lt;=69.9999999999), "C", IF(AND(K13&gt;=40, K13&lt;=59.999999999), "D", IF(AND(K13&gt;=0, K13&lt;=39.999999999), "E", "E" ) ) ) ) ) ) )</f>
        <v/>
      </c>
      <c r="M13">
        <f>IF(AND(K13&gt;=85, K13&lt;=100), "4", IF(AND(K13&gt;=80, K13&lt;=84.999999999), "3.5", IF(AND(K13&gt;=75, K13&lt;=79.999999999), "3", IF(AND(K13&gt;=70, K13&lt;=74.999999999), "2.5", IF(AND(K13&gt;=60, K13&lt;=69.9999999999), "2", IF(AND(K13&gt;=40, K13&lt;=59.999999999), "1", IF(AND(K13&gt;=0, K13&lt;=39.999999999), "0", "0" ) ) ) ) ) ) )</f>
        <v/>
      </c>
      <c r="N13" s="6" t="n">
        <v>93.75</v>
      </c>
      <c r="O13" s="6" t="n">
        <v>10</v>
      </c>
      <c r="P13" s="6" t="n">
        <v>90</v>
      </c>
    </row>
    <row r="14">
      <c r="A14" t="inlineStr">
        <is>
          <t>24060125120042</t>
        </is>
      </c>
      <c r="B14" t="inlineStr">
        <is>
          <t>IBRAHIM NAUFALTSAQIF HANDOKO</t>
        </is>
      </c>
      <c r="C14" t="n">
        <v>2</v>
      </c>
      <c r="D14" t="inlineStr">
        <is>
          <t>BARU</t>
        </is>
      </c>
      <c r="E14" s="3" t="n"/>
      <c r="F14" s="3" t="n"/>
      <c r="G14" s="3" t="n">
        <v>86.2</v>
      </c>
      <c r="H14" s="3" t="n">
        <v>90.2</v>
      </c>
      <c r="I14" s="3" t="n">
        <v>84</v>
      </c>
      <c r="J14" s="3" t="n"/>
      <c r="K14" s="2">
        <f>ROUND( ((E14*10+F14*40+G14*10+H14*10+I14*15+J14*15) / 100), 2)</f>
        <v/>
      </c>
      <c r="L14" s="2">
        <f>IF(AND(K14&gt;=85, K14&lt;=100), "A", IF(AND(K14&gt;=80, K14&lt;=84.999999999), "AB", IF(AND(K14&gt;=75, K14&lt;=79.999999999), "B", IF(AND(K14&gt;=70, K14&lt;=74.999999999), "BC", IF(AND(K14&gt;=60, K14&lt;=69.9999999999), "C", IF(AND(K14&gt;=40, K14&lt;=59.999999999), "D", IF(AND(K14&gt;=0, K14&lt;=39.999999999), "E", "E" ) ) ) ) ) ) )</f>
        <v/>
      </c>
      <c r="M14">
        <f>IF(AND(K14&gt;=85, K14&lt;=100), "4", IF(AND(K14&gt;=80, K14&lt;=84.999999999), "3.5", IF(AND(K14&gt;=75, K14&lt;=79.999999999), "3", IF(AND(K14&gt;=70, K14&lt;=74.999999999), "2.5", IF(AND(K14&gt;=60, K14&lt;=69.9999999999), "2", IF(AND(K14&gt;=40, K14&lt;=59.999999999), "1", IF(AND(K14&gt;=0, K14&lt;=39.999999999), "0", "0" ) ) ) ) ) ) )</f>
        <v/>
      </c>
      <c r="N14" s="6" t="n">
        <v>100</v>
      </c>
      <c r="O14" s="6" t="n">
        <v>10</v>
      </c>
      <c r="P14" s="6" t="n">
        <v>80</v>
      </c>
    </row>
    <row r="15">
      <c r="A15" t="inlineStr">
        <is>
          <t>24060125120046</t>
        </is>
      </c>
      <c r="B15" t="inlineStr">
        <is>
          <t>TALITA ELVINA PUTRI KUSUMA</t>
        </is>
      </c>
      <c r="C15" t="n">
        <v>2</v>
      </c>
      <c r="D15" t="inlineStr">
        <is>
          <t>BARU</t>
        </is>
      </c>
      <c r="E15" s="3" t="n"/>
      <c r="F15" s="3" t="n"/>
      <c r="G15" s="3" t="n">
        <v>84.2</v>
      </c>
      <c r="H15" s="3" t="n">
        <v>80.8</v>
      </c>
      <c r="I15" s="3" t="n">
        <v>78</v>
      </c>
      <c r="J15" s="3" t="n"/>
      <c r="K15" s="2">
        <f>ROUND( ((E15*10+F15*40+G15*10+H15*10+I15*15+J15*15) / 100), 2)</f>
        <v/>
      </c>
      <c r="L15" s="2">
        <f>IF(AND(K15&gt;=85, K15&lt;=100), "A", IF(AND(K15&gt;=80, K15&lt;=84.999999999), "AB", IF(AND(K15&gt;=75, K15&lt;=79.999999999), "B", IF(AND(K15&gt;=70, K15&lt;=74.999999999), "BC", IF(AND(K15&gt;=60, K15&lt;=69.9999999999), "C", IF(AND(K15&gt;=40, K15&lt;=59.999999999), "D", IF(AND(K15&gt;=0, K15&lt;=39.999999999), "E", "E" ) ) ) ) ) ) )</f>
        <v/>
      </c>
      <c r="M15">
        <f>IF(AND(K15&gt;=85, K15&lt;=100), "4", IF(AND(K15&gt;=80, K15&lt;=84.999999999), "3.5", IF(AND(K15&gt;=75, K15&lt;=79.999999999), "3", IF(AND(K15&gt;=70, K15&lt;=74.999999999), "2.5", IF(AND(K15&gt;=60, K15&lt;=69.9999999999), "2", IF(AND(K15&gt;=40, K15&lt;=59.999999999), "1", IF(AND(K15&gt;=0, K15&lt;=39.999999999), "0", "0" ) ) ) ) ) ) )</f>
        <v/>
      </c>
      <c r="N15" s="6" t="n">
        <v>93.75</v>
      </c>
      <c r="O15" s="6" t="n">
        <v>10</v>
      </c>
      <c r="P15" s="6" t="n">
        <v>70</v>
      </c>
    </row>
    <row r="16">
      <c r="A16" t="inlineStr">
        <is>
          <t>24060125120049</t>
        </is>
      </c>
      <c r="B16" t="inlineStr">
        <is>
          <t>CINDY CLAUDIA SIHOTANG</t>
        </is>
      </c>
      <c r="C16" t="n">
        <v>2</v>
      </c>
      <c r="D16" t="inlineStr">
        <is>
          <t>BARU</t>
        </is>
      </c>
      <c r="E16" s="3" t="n"/>
      <c r="F16" s="3" t="n"/>
      <c r="G16" s="3" t="n">
        <v>74.59999999999999</v>
      </c>
      <c r="H16" s="3" t="n">
        <v>90.59999999999999</v>
      </c>
      <c r="I16" s="3" t="n">
        <v>83</v>
      </c>
      <c r="J16" s="3" t="n"/>
      <c r="K16" s="2">
        <f>ROUND( ((E16*10+F16*40+G16*10+H16*10+I16*15+J16*15) / 100), 2)</f>
        <v/>
      </c>
      <c r="L16" s="2">
        <f>IF(AND(K16&gt;=85, K16&lt;=100), "A", IF(AND(K16&gt;=80, K16&lt;=84.999999999), "AB", IF(AND(K16&gt;=75, K16&lt;=79.999999999), "B", IF(AND(K16&gt;=70, K16&lt;=74.999999999), "BC", IF(AND(K16&gt;=60, K16&lt;=69.9999999999), "C", IF(AND(K16&gt;=40, K16&lt;=59.999999999), "D", IF(AND(K16&gt;=0, K16&lt;=39.999999999), "E", "E" ) ) ) ) ) ) )</f>
        <v/>
      </c>
      <c r="M16">
        <f>IF(AND(K16&gt;=85, K16&lt;=100), "4", IF(AND(K16&gt;=80, K16&lt;=84.999999999), "3.5", IF(AND(K16&gt;=75, K16&lt;=79.999999999), "3", IF(AND(K16&gt;=70, K16&lt;=74.999999999), "2.5", IF(AND(K16&gt;=60, K16&lt;=69.9999999999), "2", IF(AND(K16&gt;=40, K16&lt;=59.999999999), "1", IF(AND(K16&gt;=0, K16&lt;=39.999999999), "0", "0" ) ) ) ) ) ) )</f>
        <v/>
      </c>
      <c r="N16" s="6" t="n">
        <v>68.75</v>
      </c>
      <c r="O16" s="6" t="n">
        <v>20</v>
      </c>
      <c r="P16" s="6" t="n">
        <v>90</v>
      </c>
    </row>
    <row r="17">
      <c r="A17" t="inlineStr">
        <is>
          <t>24060125130072</t>
        </is>
      </c>
      <c r="B17" t="inlineStr">
        <is>
          <t>MIKAIL FARRAS FAIRUZZABAD</t>
        </is>
      </c>
      <c r="C17" t="n">
        <v>2</v>
      </c>
      <c r="D17" t="inlineStr">
        <is>
          <t>BARU</t>
        </is>
      </c>
      <c r="E17" s="3" t="n"/>
      <c r="F17" s="3" t="n"/>
      <c r="G17" s="3" t="n">
        <v>74.59999999999999</v>
      </c>
      <c r="H17" s="3" t="n">
        <v>71</v>
      </c>
      <c r="I17" s="3" t="n">
        <v>78</v>
      </c>
      <c r="J17" s="3" t="n"/>
      <c r="K17" s="2">
        <f>ROUND( ((E17*10+F17*40+G17*10+H17*10+I17*15+J17*15) / 100), 2)</f>
        <v/>
      </c>
      <c r="L17" s="2">
        <f>IF(AND(K17&gt;=85, K17&lt;=100), "A", IF(AND(K17&gt;=80, K17&lt;=84.999999999), "AB", IF(AND(K17&gt;=75, K17&lt;=79.999999999), "B", IF(AND(K17&gt;=70, K17&lt;=74.999999999), "BC", IF(AND(K17&gt;=60, K17&lt;=69.9999999999), "C", IF(AND(K17&gt;=40, K17&lt;=59.999999999), "D", IF(AND(K17&gt;=0, K17&lt;=39.999999999), "E", "E" ) ) ) ) ) ) )</f>
        <v/>
      </c>
      <c r="M17">
        <f>IF(AND(K17&gt;=85, K17&lt;=100), "4", IF(AND(K17&gt;=80, K17&lt;=84.999999999), "3.5", IF(AND(K17&gt;=75, K17&lt;=79.999999999), "3", IF(AND(K17&gt;=70, K17&lt;=74.999999999), "2.5", IF(AND(K17&gt;=60, K17&lt;=69.9999999999), "2", IF(AND(K17&gt;=40, K17&lt;=59.999999999), "1", IF(AND(K17&gt;=0, K17&lt;=39.999999999), "0", "0" ) ) ) ) ) ) )</f>
        <v/>
      </c>
      <c r="N17" s="6" t="n">
        <v>65.62</v>
      </c>
      <c r="O17" s="6" t="n">
        <v>10</v>
      </c>
      <c r="P17" s="6" t="n">
        <v>50</v>
      </c>
    </row>
    <row r="18">
      <c r="A18" t="inlineStr">
        <is>
          <t>24060125130083</t>
        </is>
      </c>
      <c r="B18" t="inlineStr">
        <is>
          <t>MUHAMMAD HANIF</t>
        </is>
      </c>
      <c r="C18" t="n">
        <v>2</v>
      </c>
      <c r="D18" t="inlineStr">
        <is>
          <t>BARU</t>
        </is>
      </c>
      <c r="E18" s="3" t="n"/>
      <c r="F18" s="3" t="n"/>
      <c r="G18" s="3" t="n">
        <v>82.8</v>
      </c>
      <c r="H18" s="3" t="n">
        <v>86.59999999999999</v>
      </c>
      <c r="I18" s="3" t="n">
        <v>84</v>
      </c>
      <c r="J18" s="3" t="n"/>
      <c r="K18" s="2">
        <f>ROUND( ((E18*10+F18*40+G18*10+H18*10+I18*15+J18*15) / 100), 2)</f>
        <v/>
      </c>
      <c r="L18" s="2">
        <f>IF(AND(K18&gt;=85, K18&lt;=100), "A", IF(AND(K18&gt;=80, K18&lt;=84.999999999), "AB", IF(AND(K18&gt;=75, K18&lt;=79.999999999), "B", IF(AND(K18&gt;=70, K18&lt;=74.999999999), "BC", IF(AND(K18&gt;=60, K18&lt;=69.9999999999), "C", IF(AND(K18&gt;=40, K18&lt;=59.999999999), "D", IF(AND(K18&gt;=0, K18&lt;=39.999999999), "E", "E" ) ) ) ) ) ) )</f>
        <v/>
      </c>
      <c r="M18">
        <f>IF(AND(K18&gt;=85, K18&lt;=100), "4", IF(AND(K18&gt;=80, K18&lt;=84.999999999), "3.5", IF(AND(K18&gt;=75, K18&lt;=79.999999999), "3", IF(AND(K18&gt;=70, K18&lt;=74.999999999), "2.5", IF(AND(K18&gt;=60, K18&lt;=69.9999999999), "2", IF(AND(K18&gt;=40, K18&lt;=59.999999999), "1", IF(AND(K18&gt;=0, K18&lt;=39.999999999), "0", "0" ) ) ) ) ) ) )</f>
        <v/>
      </c>
      <c r="N18" s="6" t="n">
        <v>96.88</v>
      </c>
      <c r="O18" s="6" t="n">
        <v>10</v>
      </c>
      <c r="P18" s="6" t="n">
        <v>80</v>
      </c>
    </row>
    <row r="19">
      <c r="A19" t="inlineStr">
        <is>
          <t>24060125130085</t>
        </is>
      </c>
      <c r="B19" t="inlineStr">
        <is>
          <t>JOHANSEN BELTSAZAR SIAHAAN</t>
        </is>
      </c>
      <c r="C19" t="n">
        <v>2</v>
      </c>
      <c r="D19" t="inlineStr">
        <is>
          <t>BARU</t>
        </is>
      </c>
      <c r="E19" s="3" t="n"/>
      <c r="F19" s="3" t="n"/>
      <c r="G19" s="3" t="n">
        <v>70.2</v>
      </c>
      <c r="H19" s="3" t="n">
        <v>69.40000000000001</v>
      </c>
      <c r="I19" s="3" t="n">
        <v>80</v>
      </c>
      <c r="J19" s="3" t="n"/>
      <c r="K19" s="2">
        <f>ROUND( ((E19*10+F19*40+G19*10+H19*10+I19*15+J19*15) / 100), 2)</f>
        <v/>
      </c>
      <c r="L19" s="2">
        <f>IF(AND(K19&gt;=85, K19&lt;=100), "A", IF(AND(K19&gt;=80, K19&lt;=84.999999999), "AB", IF(AND(K19&gt;=75, K19&lt;=79.999999999), "B", IF(AND(K19&gt;=70, K19&lt;=74.999999999), "BC", IF(AND(K19&gt;=60, K19&lt;=69.9999999999), "C", IF(AND(K19&gt;=40, K19&lt;=59.999999999), "D", IF(AND(K19&gt;=0, K19&lt;=39.999999999), "E", "E" ) ) ) ) ) ) )</f>
        <v/>
      </c>
      <c r="M19">
        <f>IF(AND(K19&gt;=85, K19&lt;=100), "4", IF(AND(K19&gt;=80, K19&lt;=84.999999999), "3.5", IF(AND(K19&gt;=75, K19&lt;=79.999999999), "3", IF(AND(K19&gt;=70, K19&lt;=74.999999999), "2.5", IF(AND(K19&gt;=60, K19&lt;=69.9999999999), "2", IF(AND(K19&gt;=40, K19&lt;=59.999999999), "1", IF(AND(K19&gt;=0, K19&lt;=39.999999999), "0", "0" ) ) ) ) ) ) )</f>
        <v/>
      </c>
      <c r="N19" s="6" t="n">
        <v>50</v>
      </c>
      <c r="O19" s="6" t="n">
        <v>10</v>
      </c>
      <c r="P19" s="6" t="n">
        <v>40</v>
      </c>
    </row>
    <row r="20">
      <c r="A20" t="inlineStr">
        <is>
          <t>24060125130086</t>
        </is>
      </c>
      <c r="B20" t="inlineStr">
        <is>
          <t>NAILA AYU FARRAS HANUN</t>
        </is>
      </c>
      <c r="C20" t="n">
        <v>2</v>
      </c>
      <c r="D20" t="inlineStr">
        <is>
          <t>BARU</t>
        </is>
      </c>
      <c r="E20" s="3" t="n"/>
      <c r="F20" s="3" t="n"/>
      <c r="G20" s="3" t="n">
        <v>84</v>
      </c>
      <c r="H20" s="3" t="n">
        <v>91.8</v>
      </c>
      <c r="I20" s="3" t="n">
        <v>86</v>
      </c>
      <c r="J20" s="3" t="n"/>
      <c r="K20" s="2">
        <f>ROUND( ((E20*10+F20*40+G20*10+H20*10+I20*15+J20*15) / 100), 2)</f>
        <v/>
      </c>
      <c r="L20" s="2">
        <f>IF(AND(K20&gt;=85, K20&lt;=100), "A", IF(AND(K20&gt;=80, K20&lt;=84.999999999), "AB", IF(AND(K20&gt;=75, K20&lt;=79.999999999), "B", IF(AND(K20&gt;=70, K20&lt;=74.999999999), "BC", IF(AND(K20&gt;=60, K20&lt;=69.9999999999), "C", IF(AND(K20&gt;=40, K20&lt;=59.999999999), "D", IF(AND(K20&gt;=0, K20&lt;=39.999999999), "E", "E" ) ) ) ) ) ) )</f>
        <v/>
      </c>
      <c r="M20">
        <f>IF(AND(K20&gt;=85, K20&lt;=100), "4", IF(AND(K20&gt;=80, K20&lt;=84.999999999), "3.5", IF(AND(K20&gt;=75, K20&lt;=79.999999999), "3", IF(AND(K20&gt;=70, K20&lt;=74.999999999), "2.5", IF(AND(K20&gt;=60, K20&lt;=69.9999999999), "2", IF(AND(K20&gt;=40, K20&lt;=59.999999999), "1", IF(AND(K20&gt;=0, K20&lt;=39.999999999), "0", "0" ) ) ) ) ) ) )</f>
        <v/>
      </c>
      <c r="N20" s="6" t="n">
        <v>96.88</v>
      </c>
      <c r="O20" s="6" t="n">
        <v>10</v>
      </c>
      <c r="P20" s="6" t="n">
        <v>90</v>
      </c>
    </row>
    <row r="21">
      <c r="A21" t="inlineStr">
        <is>
          <t>24060125130100</t>
        </is>
      </c>
      <c r="B21" t="inlineStr">
        <is>
          <t>REIHAN REMIGIA RIHI</t>
        </is>
      </c>
      <c r="C21" t="n">
        <v>2</v>
      </c>
      <c r="D21" t="inlineStr">
        <is>
          <t>BARU</t>
        </is>
      </c>
      <c r="E21" s="3" t="n"/>
      <c r="F21" s="3" t="n"/>
      <c r="G21" s="3" t="n">
        <v>79.59999999999999</v>
      </c>
      <c r="H21" s="3" t="n">
        <v>80.40000000000001</v>
      </c>
      <c r="I21" s="3" t="n">
        <v>64</v>
      </c>
      <c r="J21" s="3" t="n"/>
      <c r="K21" s="2">
        <f>ROUND( ((E21*10+F21*40+G21*10+H21*10+I21*15+J21*15) / 100), 2)</f>
        <v/>
      </c>
      <c r="L21" s="2">
        <f>IF(AND(K21&gt;=85, K21&lt;=100), "A", IF(AND(K21&gt;=80, K21&lt;=84.999999999), "AB", IF(AND(K21&gt;=75, K21&lt;=79.999999999), "B", IF(AND(K21&gt;=70, K21&lt;=74.999999999), "BC", IF(AND(K21&gt;=60, K21&lt;=69.9999999999), "C", IF(AND(K21&gt;=40, K21&lt;=59.999999999), "D", IF(AND(K21&gt;=0, K21&lt;=39.999999999), "E", "E" ) ) ) ) ) ) )</f>
        <v/>
      </c>
      <c r="M21">
        <f>IF(AND(K21&gt;=85, K21&lt;=100), "4", IF(AND(K21&gt;=80, K21&lt;=84.999999999), "3.5", IF(AND(K21&gt;=75, K21&lt;=79.999999999), "3", IF(AND(K21&gt;=70, K21&lt;=74.999999999), "2.5", IF(AND(K21&gt;=60, K21&lt;=69.9999999999), "2", IF(AND(K21&gt;=40, K21&lt;=59.999999999), "1", IF(AND(K21&gt;=0, K21&lt;=39.999999999), "0", "0" ) ) ) ) ) ) )</f>
        <v/>
      </c>
      <c r="N21" s="6" t="n">
        <v>87.5</v>
      </c>
      <c r="O21" s="6" t="n">
        <v>0</v>
      </c>
      <c r="P21" s="6" t="n">
        <v>60</v>
      </c>
    </row>
    <row r="22">
      <c r="A22" t="inlineStr">
        <is>
          <t>24060125130101</t>
        </is>
      </c>
      <c r="B22" t="inlineStr">
        <is>
          <t>JUSTIN CHRISTIAN LUMBANTOBING</t>
        </is>
      </c>
      <c r="C22" t="n">
        <v>2</v>
      </c>
      <c r="D22" t="inlineStr">
        <is>
          <t>BARU</t>
        </is>
      </c>
      <c r="E22" s="3" t="n"/>
      <c r="F22" s="3" t="n"/>
      <c r="G22" s="3" t="n">
        <v>85.40000000000001</v>
      </c>
      <c r="H22" s="3" t="n">
        <v>89</v>
      </c>
      <c r="I22" s="3" t="n">
        <v>82</v>
      </c>
      <c r="J22" s="3" t="n"/>
      <c r="K22" s="2">
        <f>ROUND( ((E22*10+F22*40+G22*10+H22*10+I22*15+J22*15) / 100), 2)</f>
        <v/>
      </c>
      <c r="L22" s="2">
        <f>IF(AND(K22&gt;=85, K22&lt;=100), "A", IF(AND(K22&gt;=80, K22&lt;=84.999999999), "AB", IF(AND(K22&gt;=75, K22&lt;=79.999999999), "B", IF(AND(K22&gt;=70, K22&lt;=74.999999999), "BC", IF(AND(K22&gt;=60, K22&lt;=69.9999999999), "C", IF(AND(K22&gt;=40, K22&lt;=59.999999999), "D", IF(AND(K22&gt;=0, K22&lt;=39.999999999), "E", "E" ) ) ) ) ) ) )</f>
        <v/>
      </c>
      <c r="M22">
        <f>IF(AND(K22&gt;=85, K22&lt;=100), "4", IF(AND(K22&gt;=80, K22&lt;=84.999999999), "3.5", IF(AND(K22&gt;=75, K22&lt;=79.999999999), "3", IF(AND(K22&gt;=70, K22&lt;=74.999999999), "2.5", IF(AND(K22&gt;=60, K22&lt;=69.9999999999), "2", IF(AND(K22&gt;=40, K22&lt;=59.999999999), "1", IF(AND(K22&gt;=0, K22&lt;=39.999999999), "0", "0" ) ) ) ) ) ) )</f>
        <v/>
      </c>
      <c r="N22" s="6" t="n">
        <v>100</v>
      </c>
      <c r="O22" s="6" t="n">
        <v>0</v>
      </c>
      <c r="P22" s="6" t="n">
        <v>80</v>
      </c>
    </row>
    <row r="23">
      <c r="A23" t="inlineStr">
        <is>
          <t>24060125130107</t>
        </is>
      </c>
      <c r="B23" t="inlineStr">
        <is>
          <t>MUHAMAD DIAR MADONNY</t>
        </is>
      </c>
      <c r="C23" t="n">
        <v>2</v>
      </c>
      <c r="D23" t="inlineStr">
        <is>
          <t>BARU</t>
        </is>
      </c>
      <c r="E23" s="3" t="n"/>
      <c r="F23" s="3" t="n"/>
      <c r="G23" s="3" t="n">
        <v>86.2</v>
      </c>
      <c r="H23" s="3" t="n">
        <v>88.40000000000001</v>
      </c>
      <c r="I23" s="3" t="n">
        <v>82</v>
      </c>
      <c r="J23" s="3" t="n"/>
      <c r="K23" s="2">
        <f>ROUND( ((E23*10+F23*40+G23*10+H23*10+I23*15+J23*15) / 100), 2)</f>
        <v/>
      </c>
      <c r="L23" s="2">
        <f>IF(AND(K23&gt;=85, K23&lt;=100), "A", IF(AND(K23&gt;=80, K23&lt;=84.999999999), "AB", IF(AND(K23&gt;=75, K23&lt;=79.999999999), "B", IF(AND(K23&gt;=70, K23&lt;=74.999999999), "BC", IF(AND(K23&gt;=60, K23&lt;=69.9999999999), "C", IF(AND(K23&gt;=40, K23&lt;=59.999999999), "D", IF(AND(K23&gt;=0, K23&lt;=39.999999999), "E", "E" ) ) ) ) ) ) )</f>
        <v/>
      </c>
      <c r="M23">
        <f>IF(AND(K23&gt;=85, K23&lt;=100), "4", IF(AND(K23&gt;=80, K23&lt;=84.999999999), "3.5", IF(AND(K23&gt;=75, K23&lt;=79.999999999), "3", IF(AND(K23&gt;=70, K23&lt;=74.999999999), "2.5", IF(AND(K23&gt;=60, K23&lt;=69.9999999999), "2", IF(AND(K23&gt;=40, K23&lt;=59.999999999), "1", IF(AND(K23&gt;=0, K23&lt;=39.999999999), "0", "0" ) ) ) ) ) ) )</f>
        <v/>
      </c>
      <c r="N23" s="6" t="n">
        <v>100</v>
      </c>
      <c r="O23" s="6" t="n">
        <v>10</v>
      </c>
      <c r="P23" s="6" t="n">
        <v>80</v>
      </c>
    </row>
    <row r="24">
      <c r="A24" t="inlineStr">
        <is>
          <t>24060125130113</t>
        </is>
      </c>
      <c r="B24" t="inlineStr">
        <is>
          <t>GAMMA ABDILLAH MUQORROBIN</t>
        </is>
      </c>
      <c r="C24" t="n">
        <v>2</v>
      </c>
      <c r="D24" t="inlineStr">
        <is>
          <t>BARU</t>
        </is>
      </c>
      <c r="E24" s="3" t="n"/>
      <c r="F24" s="3" t="n"/>
      <c r="G24" s="3" t="n">
        <v>79.2</v>
      </c>
      <c r="H24" s="3" t="n">
        <v>73.2</v>
      </c>
      <c r="I24" s="3" t="n">
        <v>77</v>
      </c>
      <c r="J24" s="3" t="n"/>
      <c r="K24" s="2">
        <f>ROUND( ((E24*10+F24*40+G24*10+H24*10+I24*15+J24*15) / 100), 2)</f>
        <v/>
      </c>
      <c r="L24" s="2">
        <f>IF(AND(K24&gt;=85, K24&lt;=100), "A", IF(AND(K24&gt;=80, K24&lt;=84.999999999), "AB", IF(AND(K24&gt;=75, K24&lt;=79.999999999), "B", IF(AND(K24&gt;=70, K24&lt;=74.999999999), "BC", IF(AND(K24&gt;=60, K24&lt;=69.9999999999), "C", IF(AND(K24&gt;=40, K24&lt;=59.999999999), "D", IF(AND(K24&gt;=0, K24&lt;=39.999999999), "E", "E" ) ) ) ) ) ) )</f>
        <v/>
      </c>
      <c r="M24">
        <f>IF(AND(K24&gt;=85, K24&lt;=100), "4", IF(AND(K24&gt;=80, K24&lt;=84.999999999), "3.5", IF(AND(K24&gt;=75, K24&lt;=79.999999999), "3", IF(AND(K24&gt;=70, K24&lt;=74.999999999), "2.5", IF(AND(K24&gt;=60, K24&lt;=69.9999999999), "2", IF(AND(K24&gt;=40, K24&lt;=59.999999999), "1", IF(AND(K24&gt;=0, K24&lt;=39.999999999), "0", "0" ) ) ) ) ) ) )</f>
        <v/>
      </c>
      <c r="N24" s="6" t="n">
        <v>84.38</v>
      </c>
      <c r="O24" s="6" t="n">
        <v>0</v>
      </c>
      <c r="P24" s="6" t="n">
        <v>60</v>
      </c>
    </row>
    <row r="25">
      <c r="A25" t="inlineStr">
        <is>
          <t>24060125130119</t>
        </is>
      </c>
      <c r="B25" t="inlineStr">
        <is>
          <t>HILMI LAUDZA AT HALLAH</t>
        </is>
      </c>
      <c r="C25" t="n">
        <v>2</v>
      </c>
      <c r="D25" t="inlineStr">
        <is>
          <t>BARU</t>
        </is>
      </c>
      <c r="E25" s="3" t="n"/>
      <c r="F25" s="3" t="n"/>
      <c r="G25" s="3" t="n">
        <v>84.40000000000001</v>
      </c>
      <c r="H25" s="3" t="n">
        <v>96.40000000000001</v>
      </c>
      <c r="I25" s="3" t="n">
        <v>62</v>
      </c>
      <c r="J25" s="3" t="n"/>
      <c r="K25" s="2">
        <f>ROUND( ((E25*10+F25*40+G25*10+H25*10+I25*15+J25*15) / 100), 2)</f>
        <v/>
      </c>
      <c r="L25" s="2">
        <f>IF(AND(K25&gt;=85, K25&lt;=100), "A", IF(AND(K25&gt;=80, K25&lt;=84.999999999), "AB", IF(AND(K25&gt;=75, K25&lt;=79.999999999), "B", IF(AND(K25&gt;=70, K25&lt;=74.999999999), "BC", IF(AND(K25&gt;=60, K25&lt;=69.9999999999), "C", IF(AND(K25&gt;=40, K25&lt;=59.999999999), "D", IF(AND(K25&gt;=0, K25&lt;=39.999999999), "E", "E" ) ) ) ) ) ) )</f>
        <v/>
      </c>
      <c r="M25">
        <f>IF(AND(K25&gt;=85, K25&lt;=100), "4", IF(AND(K25&gt;=80, K25&lt;=84.999999999), "3.5", IF(AND(K25&gt;=75, K25&lt;=79.999999999), "3", IF(AND(K25&gt;=70, K25&lt;=74.999999999), "2.5", IF(AND(K25&gt;=60, K25&lt;=69.9999999999), "2", IF(AND(K25&gt;=40, K25&lt;=59.999999999), "1", IF(AND(K25&gt;=0, K25&lt;=39.999999999), "0", "0" ) ) ) ) ) ) )</f>
        <v/>
      </c>
      <c r="N25" s="6" t="n">
        <v>96.88</v>
      </c>
      <c r="O25" s="6" t="n">
        <v>0</v>
      </c>
      <c r="P25" s="6" t="n">
        <v>100</v>
      </c>
    </row>
    <row r="26">
      <c r="A26" t="inlineStr">
        <is>
          <t>24060125140122</t>
        </is>
      </c>
      <c r="B26" t="inlineStr">
        <is>
          <t>RAJENDRA NABIL HUTOMO</t>
        </is>
      </c>
      <c r="C26" t="n">
        <v>2</v>
      </c>
      <c r="D26" t="inlineStr">
        <is>
          <t>BARU</t>
        </is>
      </c>
      <c r="E26" s="3" t="n"/>
      <c r="F26" s="3" t="n"/>
      <c r="G26" s="3" t="n">
        <v>80.2</v>
      </c>
      <c r="H26" s="3" t="n">
        <v>86.8</v>
      </c>
      <c r="I26" s="3" t="n">
        <v>40</v>
      </c>
      <c r="J26" s="3" t="n"/>
      <c r="K26" s="2">
        <f>ROUND( ((E26*10+F26*40+G26*10+H26*10+I26*15+J26*15) / 100), 2)</f>
        <v/>
      </c>
      <c r="L26" s="2">
        <f>IF(AND(K26&gt;=85, K26&lt;=100), "A", IF(AND(K26&gt;=80, K26&lt;=84.999999999), "AB", IF(AND(K26&gt;=75, K26&lt;=79.999999999), "B", IF(AND(K26&gt;=70, K26&lt;=74.999999999), "BC", IF(AND(K26&gt;=60, K26&lt;=69.9999999999), "C", IF(AND(K26&gt;=40, K26&lt;=59.999999999), "D", IF(AND(K26&gt;=0, K26&lt;=39.999999999), "E", "E" ) ) ) ) ) ) )</f>
        <v/>
      </c>
      <c r="M26">
        <f>IF(AND(K26&gt;=85, K26&lt;=100), "4", IF(AND(K26&gt;=80, K26&lt;=84.999999999), "3.5", IF(AND(K26&gt;=75, K26&lt;=79.999999999), "3", IF(AND(K26&gt;=70, K26&lt;=74.999999999), "2.5", IF(AND(K26&gt;=60, K26&lt;=69.9999999999), "2", IF(AND(K26&gt;=40, K26&lt;=59.999999999), "1", IF(AND(K26&gt;=0, K26&lt;=39.999999999), "0", "0" ) ) ) ) ) ) )</f>
        <v/>
      </c>
      <c r="N26" s="6" t="n">
        <v>87.5</v>
      </c>
      <c r="O26" s="6" t="n">
        <v>0</v>
      </c>
      <c r="P26" s="6" t="n">
        <v>100</v>
      </c>
    </row>
    <row r="27">
      <c r="A27" t="inlineStr">
        <is>
          <t>24060125140127</t>
        </is>
      </c>
      <c r="B27" t="inlineStr">
        <is>
          <t>FRISKA AMALIA PUTRI</t>
        </is>
      </c>
      <c r="C27" t="n">
        <v>2</v>
      </c>
      <c r="D27" t="inlineStr">
        <is>
          <t>BARU</t>
        </is>
      </c>
      <c r="E27" s="3" t="n"/>
      <c r="F27" s="3" t="n"/>
      <c r="G27" s="3" t="n">
        <v>75.8</v>
      </c>
      <c r="H27" s="3" t="n">
        <v>91.2</v>
      </c>
      <c r="I27" s="3" t="n">
        <v>70</v>
      </c>
      <c r="J27" s="3" t="n"/>
      <c r="K27" s="2">
        <f>ROUND( ((E27*10+F27*40+G27*10+H27*10+I27*15+J27*15) / 100), 2)</f>
        <v/>
      </c>
      <c r="L27" s="2">
        <f>IF(AND(K27&gt;=85, K27&lt;=100), "A", IF(AND(K27&gt;=80, K27&lt;=84.999999999), "AB", IF(AND(K27&gt;=75, K27&lt;=79.999999999), "B", IF(AND(K27&gt;=70, K27&lt;=74.999999999), "BC", IF(AND(K27&gt;=60, K27&lt;=69.9999999999), "C", IF(AND(K27&gt;=40, K27&lt;=59.999999999), "D", IF(AND(K27&gt;=0, K27&lt;=39.999999999), "E", "E" ) ) ) ) ) ) )</f>
        <v/>
      </c>
      <c r="M27">
        <f>IF(AND(K27&gt;=85, K27&lt;=100), "4", IF(AND(K27&gt;=80, K27&lt;=84.999999999), "3.5", IF(AND(K27&gt;=75, K27&lt;=79.999999999), "3", IF(AND(K27&gt;=70, K27&lt;=74.999999999), "2.5", IF(AND(K27&gt;=60, K27&lt;=69.9999999999), "2", IF(AND(K27&gt;=40, K27&lt;=59.999999999), "1", IF(AND(K27&gt;=0, K27&lt;=39.999999999), "0", "0" ) ) ) ) ) ) )</f>
        <v/>
      </c>
      <c r="N27" s="6" t="n">
        <v>75</v>
      </c>
      <c r="O27" s="6" t="n">
        <v>10</v>
      </c>
      <c r="P27" s="6" t="n">
        <v>90</v>
      </c>
    </row>
    <row r="28">
      <c r="A28" t="inlineStr">
        <is>
          <t>24060125140151</t>
        </is>
      </c>
      <c r="B28" t="inlineStr">
        <is>
          <t>MUHAMMAD NAWFAL PASHA IMANDRIKA</t>
        </is>
      </c>
      <c r="C28" t="n">
        <v>2</v>
      </c>
      <c r="D28" t="inlineStr">
        <is>
          <t>BARU</t>
        </is>
      </c>
      <c r="E28" s="3" t="n"/>
      <c r="F28" s="3" t="n"/>
      <c r="G28" s="3" t="n">
        <v>76.2</v>
      </c>
      <c r="H28" s="3" t="n">
        <v>82.40000000000001</v>
      </c>
      <c r="I28" s="3" t="n">
        <v>59</v>
      </c>
      <c r="J28" s="3" t="n"/>
      <c r="K28" s="2">
        <f>ROUND( ((E28*10+F28*40+G28*10+H28*10+I28*15+J28*15) / 100), 2)</f>
        <v/>
      </c>
      <c r="L28" s="2">
        <f>IF(AND(K28&gt;=85, K28&lt;=100), "A", IF(AND(K28&gt;=80, K28&lt;=84.999999999), "AB", IF(AND(K28&gt;=75, K28&lt;=79.999999999), "B", IF(AND(K28&gt;=70, K28&lt;=74.999999999), "BC", IF(AND(K28&gt;=60, K28&lt;=69.9999999999), "C", IF(AND(K28&gt;=40, K28&lt;=59.999999999), "D", IF(AND(K28&gt;=0, K28&lt;=39.999999999), "E", "E" ) ) ) ) ) ) )</f>
        <v/>
      </c>
      <c r="M28">
        <f>IF(AND(K28&gt;=85, K28&lt;=100), "4", IF(AND(K28&gt;=80, K28&lt;=84.999999999), "3.5", IF(AND(K28&gt;=75, K28&lt;=79.999999999), "3", IF(AND(K28&gt;=70, K28&lt;=74.999999999), "2.5", IF(AND(K28&gt;=60, K28&lt;=69.9999999999), "2", IF(AND(K28&gt;=40, K28&lt;=59.999999999), "1", IF(AND(K28&gt;=0, K28&lt;=39.999999999), "0", "0" ) ) ) ) ) ) )</f>
        <v/>
      </c>
      <c r="N28" s="6" t="n">
        <v>68.75</v>
      </c>
      <c r="O28" s="6" t="n">
        <v>10</v>
      </c>
      <c r="P28" s="6" t="n">
        <v>80</v>
      </c>
    </row>
    <row r="29">
      <c r="A29" t="inlineStr">
        <is>
          <t>24060125140155</t>
        </is>
      </c>
      <c r="B29" t="inlineStr">
        <is>
          <t>MUHAMMAD RADHIN AGHFIAR</t>
        </is>
      </c>
      <c r="C29" t="n">
        <v>2</v>
      </c>
      <c r="D29" t="inlineStr">
        <is>
          <t>BARU</t>
        </is>
      </c>
      <c r="E29" s="3" t="n"/>
      <c r="F29" s="3" t="n"/>
      <c r="G29" s="3" t="n">
        <v>82.59999999999999</v>
      </c>
      <c r="H29" s="3" t="n">
        <v>55.2</v>
      </c>
      <c r="I29" s="3" t="n">
        <v>17</v>
      </c>
      <c r="J29" s="3" t="n"/>
      <c r="K29" s="2">
        <f>ROUND( ((E29*10+F29*40+G29*10+H29*10+I29*15+J29*15) / 100), 2)</f>
        <v/>
      </c>
      <c r="L29" s="2">
        <f>IF(AND(K29&gt;=85, K29&lt;=100), "A", IF(AND(K29&gt;=80, K29&lt;=84.999999999), "AB", IF(AND(K29&gt;=75, K29&lt;=79.999999999), "B", IF(AND(K29&gt;=70, K29&lt;=74.999999999), "BC", IF(AND(K29&gt;=60, K29&lt;=69.9999999999), "C", IF(AND(K29&gt;=40, K29&lt;=59.999999999), "D", IF(AND(K29&gt;=0, K29&lt;=39.999999999), "E", "E" ) ) ) ) ) ) )</f>
        <v/>
      </c>
      <c r="M29">
        <f>IF(AND(K29&gt;=85, K29&lt;=100), "4", IF(AND(K29&gt;=80, K29&lt;=84.999999999), "3.5", IF(AND(K29&gt;=75, K29&lt;=79.999999999), "3", IF(AND(K29&gt;=70, K29&lt;=74.999999999), "2.5", IF(AND(K29&gt;=60, K29&lt;=69.9999999999), "2", IF(AND(K29&gt;=40, K29&lt;=59.999999999), "1", IF(AND(K29&gt;=0, K29&lt;=39.999999999), "0", "0" ) ) ) ) ) ) )</f>
        <v/>
      </c>
      <c r="N29" s="6" t="n">
        <v>96.88</v>
      </c>
      <c r="O29" s="6" t="n">
        <v>0</v>
      </c>
      <c r="P29" s="6" t="n">
        <v>0</v>
      </c>
    </row>
    <row r="30">
      <c r="A30" t="inlineStr">
        <is>
          <t>24060125140161</t>
        </is>
      </c>
      <c r="B30" t="inlineStr">
        <is>
          <t>MOCHAMAD FARREL ABYANTARA</t>
        </is>
      </c>
      <c r="C30" t="n">
        <v>2</v>
      </c>
      <c r="D30" t="inlineStr">
        <is>
          <t>BARU</t>
        </is>
      </c>
      <c r="E30" s="3" t="n"/>
      <c r="F30" s="3" t="n"/>
      <c r="G30" s="3" t="n">
        <v>76</v>
      </c>
      <c r="H30" s="3" t="n">
        <v>88.8</v>
      </c>
      <c r="I30" s="3" t="n">
        <v>78</v>
      </c>
      <c r="J30" s="3" t="n"/>
      <c r="K30" s="2">
        <f>ROUND( ((E30*10+F30*40+G30*10+H30*10+I30*15+J30*15) / 100), 2)</f>
        <v/>
      </c>
      <c r="L30" s="2">
        <f>IF(AND(K30&gt;=85, K30&lt;=100), "A", IF(AND(K30&gt;=80, K30&lt;=84.999999999), "AB", IF(AND(K30&gt;=75, K30&lt;=79.999999999), "B", IF(AND(K30&gt;=70, K30&lt;=74.999999999), "BC", IF(AND(K30&gt;=60, K30&lt;=69.9999999999), "C", IF(AND(K30&gt;=40, K30&lt;=59.999999999), "D", IF(AND(K30&gt;=0, K30&lt;=39.999999999), "E", "E" ) ) ) ) ) ) )</f>
        <v/>
      </c>
      <c r="M30">
        <f>IF(AND(K30&gt;=85, K30&lt;=100), "4", IF(AND(K30&gt;=80, K30&lt;=84.999999999), "3.5", IF(AND(K30&gt;=75, K30&lt;=79.999999999), "3", IF(AND(K30&gt;=70, K30&lt;=74.999999999), "2.5", IF(AND(K30&gt;=60, K30&lt;=69.9999999999), "2", IF(AND(K30&gt;=40, K30&lt;=59.999999999), "1", IF(AND(K30&gt;=0, K30&lt;=39.999999999), "0", "0" ) ) ) ) ) ) )</f>
        <v/>
      </c>
      <c r="N30" s="6" t="n">
        <v>71.88</v>
      </c>
      <c r="O30" s="6" t="n">
        <v>10</v>
      </c>
      <c r="P30" s="6" t="n">
        <v>90</v>
      </c>
    </row>
    <row r="31">
      <c r="A31" t="inlineStr">
        <is>
          <t>24060125140167</t>
        </is>
      </c>
      <c r="B31" t="inlineStr">
        <is>
          <t>FACHRILLAH FAUZANUDDIN</t>
        </is>
      </c>
      <c r="C31" t="n">
        <v>2</v>
      </c>
      <c r="D31" t="inlineStr">
        <is>
          <t>BARU</t>
        </is>
      </c>
      <c r="E31" s="3" t="n"/>
      <c r="F31" s="3" t="n"/>
      <c r="G31" s="3" t="n">
        <v>84.40000000000001</v>
      </c>
      <c r="H31" s="3" t="n">
        <v>96.40000000000001</v>
      </c>
      <c r="I31" s="3" t="n">
        <v>51</v>
      </c>
      <c r="J31" s="3" t="n"/>
      <c r="K31" s="2">
        <f>ROUND( ((E31*10+F31*40+G31*10+H31*10+I31*15+J31*15) / 100), 2)</f>
        <v/>
      </c>
      <c r="L31" s="2">
        <f>IF(AND(K31&gt;=85, K31&lt;=100), "A", IF(AND(K31&gt;=80, K31&lt;=84.999999999), "AB", IF(AND(K31&gt;=75, K31&lt;=79.999999999), "B", IF(AND(K31&gt;=70, K31&lt;=74.999999999), "BC", IF(AND(K31&gt;=60, K31&lt;=69.9999999999), "C", IF(AND(K31&gt;=40, K31&lt;=59.999999999), "D", IF(AND(K31&gt;=0, K31&lt;=39.999999999), "E", "E" ) ) ) ) ) ) )</f>
        <v/>
      </c>
      <c r="M31">
        <f>IF(AND(K31&gt;=85, K31&lt;=100), "4", IF(AND(K31&gt;=80, K31&lt;=84.999999999), "3.5", IF(AND(K31&gt;=75, K31&lt;=79.999999999), "3", IF(AND(K31&gt;=70, K31&lt;=74.999999999), "2.5", IF(AND(K31&gt;=60, K31&lt;=69.9999999999), "2", IF(AND(K31&gt;=40, K31&lt;=59.999999999), "1", IF(AND(K31&gt;=0, K31&lt;=39.999999999), "0", "0" ) ) ) ) ) ) )</f>
        <v/>
      </c>
      <c r="N31" s="6" t="n">
        <v>96.88</v>
      </c>
      <c r="O31" s="6" t="n">
        <v>0</v>
      </c>
      <c r="P31" s="6" t="n">
        <v>100</v>
      </c>
    </row>
    <row r="32">
      <c r="A32" t="inlineStr">
        <is>
          <t>24060125140168</t>
        </is>
      </c>
      <c r="B32" t="inlineStr">
        <is>
          <t>ADAM ARDHINATA PAMUNGKAS</t>
        </is>
      </c>
      <c r="C32" t="n">
        <v>2</v>
      </c>
      <c r="D32" t="inlineStr">
        <is>
          <t>BARU</t>
        </is>
      </c>
      <c r="E32" s="3" t="n"/>
      <c r="F32" s="3" t="n"/>
      <c r="G32" s="3" t="n">
        <v>85</v>
      </c>
      <c r="H32" s="3" t="n">
        <v>91.8</v>
      </c>
      <c r="I32" s="3" t="n">
        <v>54</v>
      </c>
      <c r="J32" s="3" t="n"/>
      <c r="K32" s="2">
        <f>ROUND( ((E32*10+F32*40+G32*10+H32*10+I32*15+J32*15) / 100), 2)</f>
        <v/>
      </c>
      <c r="L32" s="2">
        <f>IF(AND(K32&gt;=85, K32&lt;=100), "A", IF(AND(K32&gt;=80, K32&lt;=84.999999999), "AB", IF(AND(K32&gt;=75, K32&lt;=79.999999999), "B", IF(AND(K32&gt;=70, K32&lt;=74.999999999), "BC", IF(AND(K32&gt;=60, K32&lt;=69.9999999999), "C", IF(AND(K32&gt;=40, K32&lt;=59.999999999), "D", IF(AND(K32&gt;=0, K32&lt;=39.999999999), "E", "E" ) ) ) ) ) ) )</f>
        <v/>
      </c>
      <c r="M32">
        <f>IF(AND(K32&gt;=85, K32&lt;=100), "4", IF(AND(K32&gt;=80, K32&lt;=84.999999999), "3.5", IF(AND(K32&gt;=75, K32&lt;=79.999999999), "3", IF(AND(K32&gt;=70, K32&lt;=74.999999999), "2.5", IF(AND(K32&gt;=60, K32&lt;=69.9999999999), "2", IF(AND(K32&gt;=40, K32&lt;=59.999999999), "1", IF(AND(K32&gt;=0, K32&lt;=39.999999999), "0", "0" ) ) ) ) ) ) )</f>
        <v/>
      </c>
      <c r="N32" s="6" t="n">
        <v>100</v>
      </c>
      <c r="O32" s="6" t="n">
        <v>10</v>
      </c>
      <c r="P32" s="6" t="n">
        <v>90</v>
      </c>
    </row>
    <row r="33">
      <c r="A33" t="inlineStr">
        <is>
          <t>24060125140171</t>
        </is>
      </c>
      <c r="B33" t="inlineStr">
        <is>
          <t>RIZQI RAMADHAN</t>
        </is>
      </c>
      <c r="C33" t="n">
        <v>2</v>
      </c>
      <c r="D33" t="inlineStr">
        <is>
          <t>BARU</t>
        </is>
      </c>
      <c r="E33" s="3" t="n"/>
      <c r="F33" s="3" t="n"/>
      <c r="G33" s="3" t="n">
        <v>73.59999999999999</v>
      </c>
      <c r="H33" s="3" t="n">
        <v>74</v>
      </c>
      <c r="I33" s="3" t="n">
        <v>77</v>
      </c>
      <c r="J33" s="3" t="n"/>
      <c r="K33" s="2">
        <f>ROUND( ((E33*10+F33*40+G33*10+H33*10+I33*15+J33*15) / 100), 2)</f>
        <v/>
      </c>
      <c r="L33" s="2">
        <f>IF(AND(K33&gt;=85, K33&lt;=100), "A", IF(AND(K33&gt;=80, K33&lt;=84.999999999), "AB", IF(AND(K33&gt;=75, K33&lt;=79.999999999), "B", IF(AND(K33&gt;=70, K33&lt;=74.999999999), "BC", IF(AND(K33&gt;=60, K33&lt;=69.9999999999), "C", IF(AND(K33&gt;=40, K33&lt;=59.999999999), "D", IF(AND(K33&gt;=0, K33&lt;=39.999999999), "E", "E" ) ) ) ) ) ) )</f>
        <v/>
      </c>
      <c r="M33">
        <f>IF(AND(K33&gt;=85, K33&lt;=100), "4", IF(AND(K33&gt;=80, K33&lt;=84.999999999), "3.5", IF(AND(K33&gt;=75, K33&lt;=79.999999999), "3", IF(AND(K33&gt;=70, K33&lt;=74.999999999), "2.5", IF(AND(K33&gt;=60, K33&lt;=69.9999999999), "2", IF(AND(K33&gt;=40, K33&lt;=59.999999999), "1", IF(AND(K33&gt;=0, K33&lt;=39.999999999), "0", "0" ) ) ) ) ) ) )</f>
        <v/>
      </c>
      <c r="N33" s="6" t="n">
        <v>62.5</v>
      </c>
      <c r="O33" s="6" t="n">
        <v>10</v>
      </c>
      <c r="P33" s="6" t="n">
        <v>50</v>
      </c>
    </row>
    <row r="34">
      <c r="A34" t="inlineStr">
        <is>
          <t>24060125140178</t>
        </is>
      </c>
      <c r="B34" t="inlineStr">
        <is>
          <t>MUHAMMAD ZIDAN ZEIN PURWADI</t>
        </is>
      </c>
      <c r="C34" t="n">
        <v>2</v>
      </c>
      <c r="D34" t="inlineStr">
        <is>
          <t>BARU</t>
        </is>
      </c>
      <c r="E34" s="3" t="n"/>
      <c r="F34" s="3" t="n"/>
      <c r="G34" s="3" t="n">
        <v>83</v>
      </c>
      <c r="H34" s="3" t="n">
        <v>80.40000000000001</v>
      </c>
      <c r="I34" s="3" t="n">
        <v>44</v>
      </c>
      <c r="J34" s="3" t="n"/>
      <c r="K34" s="2">
        <f>ROUND( ((E34*10+F34*40+G34*10+H34*10+I34*15+J34*15) / 100), 2)</f>
        <v/>
      </c>
      <c r="L34" s="2">
        <f>IF(AND(K34&gt;=85, K34&lt;=100), "A", IF(AND(K34&gt;=80, K34&lt;=84.999999999), "AB", IF(AND(K34&gt;=75, K34&lt;=79.999999999), "B", IF(AND(K34&gt;=70, K34&lt;=74.999999999), "BC", IF(AND(K34&gt;=60, K34&lt;=69.9999999999), "C", IF(AND(K34&gt;=40, K34&lt;=59.999999999), "D", IF(AND(K34&gt;=0, K34&lt;=39.999999999), "E", "E" ) ) ) ) ) ) )</f>
        <v/>
      </c>
      <c r="M34">
        <f>IF(AND(K34&gt;=85, K34&lt;=100), "4", IF(AND(K34&gt;=80, K34&lt;=84.999999999), "3.5", IF(AND(K34&gt;=75, K34&lt;=79.999999999), "3", IF(AND(K34&gt;=70, K34&lt;=74.999999999), "2.5", IF(AND(K34&gt;=60, K34&lt;=69.9999999999), "2", IF(AND(K34&gt;=40, K34&lt;=59.999999999), "1", IF(AND(K34&gt;=0, K34&lt;=39.999999999), "0", "0" ) ) ) ) ) ) )</f>
        <v/>
      </c>
      <c r="N34" s="6" t="n">
        <v>100</v>
      </c>
      <c r="O34" s="6" t="n">
        <v>0</v>
      </c>
      <c r="P34" s="6" t="n">
        <v>60</v>
      </c>
    </row>
    <row r="35">
      <c r="A35" t="inlineStr">
        <is>
          <t>24060125140183</t>
        </is>
      </c>
      <c r="B35" t="inlineStr">
        <is>
          <t>VARES DYON TYAS KUSUMA</t>
        </is>
      </c>
      <c r="C35" t="n">
        <v>2</v>
      </c>
      <c r="D35" t="inlineStr">
        <is>
          <t>BARU</t>
        </is>
      </c>
      <c r="E35" s="3" t="n"/>
      <c r="F35" s="3" t="n"/>
      <c r="G35" s="3" t="n">
        <v>84.2</v>
      </c>
      <c r="H35" s="3" t="n">
        <v>55.8</v>
      </c>
      <c r="I35" s="3" t="n">
        <v>49</v>
      </c>
      <c r="J35" s="3" t="n"/>
      <c r="K35" s="2">
        <f>ROUND( ((E35*10+F35*40+G35*10+H35*10+I35*15+J35*15) / 100), 2)</f>
        <v/>
      </c>
      <c r="L35" s="2">
        <f>IF(AND(K35&gt;=85, K35&lt;=100), "A", IF(AND(K35&gt;=80, K35&lt;=84.999999999), "AB", IF(AND(K35&gt;=75, K35&lt;=79.999999999), "B", IF(AND(K35&gt;=70, K35&lt;=74.999999999), "BC", IF(AND(K35&gt;=60, K35&lt;=69.9999999999), "C", IF(AND(K35&gt;=40, K35&lt;=59.999999999), "D", IF(AND(K35&gt;=0, K35&lt;=39.999999999), "E", "E" ) ) ) ) ) ) )</f>
        <v/>
      </c>
      <c r="M35">
        <f>IF(AND(K35&gt;=85, K35&lt;=100), "4", IF(AND(K35&gt;=80, K35&lt;=84.999999999), "3.5", IF(AND(K35&gt;=75, K35&lt;=79.999999999), "3", IF(AND(K35&gt;=70, K35&lt;=74.999999999), "2.5", IF(AND(K35&gt;=60, K35&lt;=69.9999999999), "2", IF(AND(K35&gt;=40, K35&lt;=59.999999999), "1", IF(AND(K35&gt;=0, K35&lt;=39.999999999), "0", "0" ) ) ) ) ) ) )</f>
        <v/>
      </c>
      <c r="N35" s="6" t="n">
        <v>100</v>
      </c>
      <c r="O35" s="6" t="n">
        <v>0</v>
      </c>
      <c r="P35" s="6" t="n">
        <v>0</v>
      </c>
    </row>
    <row r="36">
      <c r="A36" t="inlineStr">
        <is>
          <t>24060125140194</t>
        </is>
      </c>
      <c r="B36" t="inlineStr">
        <is>
          <t>MUHAMMAD FAZA SALAM</t>
        </is>
      </c>
      <c r="C36" t="n">
        <v>2</v>
      </c>
      <c r="D36" t="inlineStr">
        <is>
          <t>BARU</t>
        </is>
      </c>
      <c r="E36" s="3" t="n"/>
      <c r="F36" s="3" t="n"/>
      <c r="G36" s="3" t="n">
        <v>83.8</v>
      </c>
      <c r="H36" s="3" t="n">
        <v>54.6</v>
      </c>
      <c r="I36" s="3" t="n">
        <v>48</v>
      </c>
      <c r="J36" s="3" t="n"/>
      <c r="K36" s="2">
        <f>ROUND( ((E36*10+F36*40+G36*10+H36*10+I36*15+J36*15) / 100), 2)</f>
        <v/>
      </c>
      <c r="L36" s="2">
        <f>IF(AND(K36&gt;=85, K36&lt;=100), "A", IF(AND(K36&gt;=80, K36&lt;=84.999999999), "AB", IF(AND(K36&gt;=75, K36&lt;=79.999999999), "B", IF(AND(K36&gt;=70, K36&lt;=74.999999999), "BC", IF(AND(K36&gt;=60, K36&lt;=69.9999999999), "C", IF(AND(K36&gt;=40, K36&lt;=59.999999999), "D", IF(AND(K36&gt;=0, K36&lt;=39.999999999), "E", "E" ) ) ) ) ) ) )</f>
        <v/>
      </c>
      <c r="M36">
        <f>IF(AND(K36&gt;=85, K36&lt;=100), "4", IF(AND(K36&gt;=80, K36&lt;=84.999999999), "3.5", IF(AND(K36&gt;=75, K36&lt;=79.999999999), "3", IF(AND(K36&gt;=70, K36&lt;=74.999999999), "2.5", IF(AND(K36&gt;=60, K36&lt;=69.9999999999), "2", IF(AND(K36&gt;=40, K36&lt;=59.999999999), "1", IF(AND(K36&gt;=0, K36&lt;=39.999999999), "0", "0" ) ) ) ) ) ) )</f>
        <v/>
      </c>
      <c r="N36" s="6" t="n">
        <v>100</v>
      </c>
      <c r="O36" s="6" t="n">
        <v>10</v>
      </c>
      <c r="P36" s="6" t="n">
        <v>0</v>
      </c>
    </row>
    <row r="37">
      <c r="A37" t="inlineStr">
        <is>
          <t>24060125140196</t>
        </is>
      </c>
      <c r="B37" t="inlineStr">
        <is>
          <t>TORIBIO DESMOND DONOVAN</t>
        </is>
      </c>
      <c r="C37" t="n">
        <v>2</v>
      </c>
      <c r="D37" t="inlineStr">
        <is>
          <t>BARU</t>
        </is>
      </c>
      <c r="E37" s="3" t="n"/>
      <c r="F37" s="3" t="n"/>
      <c r="G37" s="3" t="n">
        <v>84.59999999999999</v>
      </c>
      <c r="H37" s="3" t="n">
        <v>86</v>
      </c>
      <c r="I37" s="3" t="n">
        <v>71</v>
      </c>
      <c r="J37" s="3" t="n"/>
      <c r="K37" s="2">
        <f>ROUND( ((E37*10+F37*40+G37*10+H37*10+I37*15+J37*15) / 100), 2)</f>
        <v/>
      </c>
      <c r="L37" s="2">
        <f>IF(AND(K37&gt;=85, K37&lt;=100), "A", IF(AND(K37&gt;=80, K37&lt;=84.999999999), "AB", IF(AND(K37&gt;=75, K37&lt;=79.999999999), "B", IF(AND(K37&gt;=70, K37&lt;=74.999999999), "BC", IF(AND(K37&gt;=60, K37&lt;=69.9999999999), "C", IF(AND(K37&gt;=40, K37&lt;=59.999999999), "D", IF(AND(K37&gt;=0, K37&lt;=39.999999999), "E", "E" ) ) ) ) ) ) )</f>
        <v/>
      </c>
      <c r="M37">
        <f>IF(AND(K37&gt;=85, K37&lt;=100), "4", IF(AND(K37&gt;=80, K37&lt;=84.999999999), "3.5", IF(AND(K37&gt;=75, K37&lt;=79.999999999), "3", IF(AND(K37&gt;=70, K37&lt;=74.999999999), "2.5", IF(AND(K37&gt;=60, K37&lt;=69.9999999999), "2", IF(AND(K37&gt;=40, K37&lt;=59.999999999), "1", IF(AND(K37&gt;=0, K37&lt;=39.999999999), "0", "0" ) ) ) ) ) ) )</f>
        <v/>
      </c>
      <c r="N37" s="6" t="n">
        <v>96.88</v>
      </c>
      <c r="O37" s="6" t="n">
        <v>10</v>
      </c>
      <c r="P37" s="6" t="n">
        <v>80</v>
      </c>
    </row>
    <row r="38">
      <c r="A38" t="inlineStr">
        <is>
          <t>24060125140203</t>
        </is>
      </c>
      <c r="B38" t="inlineStr">
        <is>
          <t>UMMU DIANA MAGHFIROH</t>
        </is>
      </c>
      <c r="C38" t="n">
        <v>2</v>
      </c>
      <c r="D38" t="inlineStr">
        <is>
          <t>BARU</t>
        </is>
      </c>
      <c r="E38" s="3" t="n"/>
      <c r="F38" s="3" t="n"/>
      <c r="G38" s="3" t="n">
        <v>73.59999999999999</v>
      </c>
      <c r="H38" s="3" t="n">
        <v>68.8</v>
      </c>
      <c r="I38" s="3" t="n">
        <v>76</v>
      </c>
      <c r="J38" s="3" t="n"/>
      <c r="K38" s="2">
        <f>ROUND( ((E38*10+F38*40+G38*10+H38*10+I38*15+J38*15) / 100), 2)</f>
        <v/>
      </c>
      <c r="L38" s="2">
        <f>IF(AND(K38&gt;=85, K38&lt;=100), "A", IF(AND(K38&gt;=80, K38&lt;=84.999999999), "AB", IF(AND(K38&gt;=75, K38&lt;=79.999999999), "B", IF(AND(K38&gt;=70, K38&lt;=74.999999999), "BC", IF(AND(K38&gt;=60, K38&lt;=69.9999999999), "C", IF(AND(K38&gt;=40, K38&lt;=59.999999999), "D", IF(AND(K38&gt;=0, K38&lt;=39.999999999), "E", "E" ) ) ) ) ) ) )</f>
        <v/>
      </c>
      <c r="M38">
        <f>IF(AND(K38&gt;=85, K38&lt;=100), "4", IF(AND(K38&gt;=80, K38&lt;=84.999999999), "3.5", IF(AND(K38&gt;=75, K38&lt;=79.999999999), "3", IF(AND(K38&gt;=70, K38&lt;=74.999999999), "2.5", IF(AND(K38&gt;=60, K38&lt;=69.9999999999), "2", IF(AND(K38&gt;=40, K38&lt;=59.999999999), "1", IF(AND(K38&gt;=0, K38&lt;=39.999999999), "0", "0" ) ) ) ) ) ) )</f>
        <v/>
      </c>
      <c r="N38" s="6" t="n">
        <v>65.62</v>
      </c>
      <c r="O38" s="6" t="n">
        <v>20</v>
      </c>
      <c r="P38" s="6" t="n">
        <v>40</v>
      </c>
    </row>
    <row r="39">
      <c r="A39" t="inlineStr">
        <is>
          <t>24060125140212</t>
        </is>
      </c>
      <c r="B39" t="inlineStr">
        <is>
          <t>AGITHA SELY JEFAYONA BANGUN</t>
        </is>
      </c>
      <c r="C39" t="n">
        <v>2</v>
      </c>
      <c r="D39" t="inlineStr">
        <is>
          <t>BARU</t>
        </is>
      </c>
      <c r="E39" s="3" t="n"/>
      <c r="F39" s="3" t="n"/>
      <c r="G39" s="3" t="n">
        <v>74.59999999999999</v>
      </c>
      <c r="H39" s="3" t="n">
        <v>87.8</v>
      </c>
      <c r="I39" s="3" t="n">
        <v>70</v>
      </c>
      <c r="J39" s="3" t="n"/>
      <c r="K39" s="2">
        <f>ROUND( ((E39*10+F39*40+G39*10+H39*10+I39*15+J39*15) / 100), 2)</f>
        <v/>
      </c>
      <c r="L39" s="2">
        <f>IF(AND(K39&gt;=85, K39&lt;=100), "A", IF(AND(K39&gt;=80, K39&lt;=84.999999999), "AB", IF(AND(K39&gt;=75, K39&lt;=79.999999999), "B", IF(AND(K39&gt;=70, K39&lt;=74.999999999), "BC", IF(AND(K39&gt;=60, K39&lt;=69.9999999999), "C", IF(AND(K39&gt;=40, K39&lt;=59.999999999), "D", IF(AND(K39&gt;=0, K39&lt;=39.999999999), "E", "E" ) ) ) ) ) ) )</f>
        <v/>
      </c>
      <c r="M39">
        <f>IF(AND(K39&gt;=85, K39&lt;=100), "4", IF(AND(K39&gt;=80, K39&lt;=84.999999999), "3.5", IF(AND(K39&gt;=75, K39&lt;=79.999999999), "3", IF(AND(K39&gt;=70, K39&lt;=74.999999999), "2.5", IF(AND(K39&gt;=60, K39&lt;=69.9999999999), "2", IF(AND(K39&gt;=40, K39&lt;=59.999999999), "1", IF(AND(K39&gt;=0, K39&lt;=39.999999999), "0", "0" ) ) ) ) ) ) )</f>
        <v/>
      </c>
      <c r="N39" s="6" t="n">
        <v>68.75</v>
      </c>
      <c r="O39" s="6" t="n">
        <v>20</v>
      </c>
      <c r="P39" s="6" t="n">
        <v>80</v>
      </c>
    </row>
    <row r="40">
      <c r="A40" t="inlineStr">
        <is>
          <t>24060125140213</t>
        </is>
      </c>
      <c r="B40" t="inlineStr">
        <is>
          <t>MUHAMMAD RAVILINO PRASETYO</t>
        </is>
      </c>
      <c r="C40" t="n">
        <v>2</v>
      </c>
      <c r="D40" t="inlineStr">
        <is>
          <t>BARU</t>
        </is>
      </c>
      <c r="E40" s="3" t="n"/>
      <c r="F40" s="3" t="n"/>
      <c r="G40" s="3" t="n">
        <v>84.59999999999999</v>
      </c>
      <c r="H40" s="3" t="n">
        <v>90.59999999999999</v>
      </c>
      <c r="I40" s="3" t="n">
        <v>76</v>
      </c>
      <c r="J40" s="3" t="n"/>
      <c r="K40" s="2">
        <f>ROUND( ((E40*10+F40*40+G40*10+H40*10+I40*15+J40*15) / 100), 2)</f>
        <v/>
      </c>
      <c r="L40" s="2">
        <f>IF(AND(K40&gt;=85, K40&lt;=100), "A", IF(AND(K40&gt;=80, K40&lt;=84.999999999), "AB", IF(AND(K40&gt;=75, K40&lt;=79.999999999), "B", IF(AND(K40&gt;=70, K40&lt;=74.999999999), "BC", IF(AND(K40&gt;=60, K40&lt;=69.9999999999), "C", IF(AND(K40&gt;=40, K40&lt;=59.999999999), "D", IF(AND(K40&gt;=0, K40&lt;=39.999999999), "E", "E" ) ) ) ) ) ) )</f>
        <v/>
      </c>
      <c r="M40">
        <f>IF(AND(K40&gt;=85, K40&lt;=100), "4", IF(AND(K40&gt;=80, K40&lt;=84.999999999), "3.5", IF(AND(K40&gt;=75, K40&lt;=79.999999999), "3", IF(AND(K40&gt;=70, K40&lt;=74.999999999), "2.5", IF(AND(K40&gt;=60, K40&lt;=69.9999999999), "2", IF(AND(K40&gt;=40, K40&lt;=59.999999999), "1", IF(AND(K40&gt;=0, K40&lt;=39.999999999), "0", "0" ) ) ) ) ) ) )</f>
        <v/>
      </c>
      <c r="N40" s="6" t="n">
        <v>96.88</v>
      </c>
      <c r="O40" s="6" t="n">
        <v>10</v>
      </c>
      <c r="P40" s="6" t="n">
        <v>90</v>
      </c>
    </row>
    <row r="41">
      <c r="A41" t="inlineStr">
        <is>
          <t>24060125140215</t>
        </is>
      </c>
      <c r="B41" t="inlineStr">
        <is>
          <t>LAILI ANGGITA NASOKA</t>
        </is>
      </c>
      <c r="C41" t="n">
        <v>2</v>
      </c>
      <c r="D41" t="inlineStr">
        <is>
          <t>BARU</t>
        </is>
      </c>
      <c r="E41" s="3" t="n"/>
      <c r="F41" s="3" t="n"/>
      <c r="G41" s="3" t="n">
        <v>77</v>
      </c>
      <c r="H41" s="3" t="n">
        <v>85.40000000000001</v>
      </c>
      <c r="I41" s="3" t="n">
        <v>15</v>
      </c>
      <c r="J41" s="3" t="n"/>
      <c r="K41" s="2">
        <f>ROUND( ((E41*10+F41*40+G41*10+H41*10+I41*15+J41*15) / 100), 2)</f>
        <v/>
      </c>
      <c r="L41" s="2">
        <f>IF(AND(K41&gt;=85, K41&lt;=100), "A", IF(AND(K41&gt;=80, K41&lt;=84.999999999), "AB", IF(AND(K41&gt;=75, K41&lt;=79.999999999), "B", IF(AND(K41&gt;=70, K41&lt;=74.999999999), "BC", IF(AND(K41&gt;=60, K41&lt;=69.9999999999), "C", IF(AND(K41&gt;=40, K41&lt;=59.999999999), "D", IF(AND(K41&gt;=0, K41&lt;=39.999999999), "E", "E" ) ) ) ) ) ) )</f>
        <v/>
      </c>
      <c r="M41">
        <f>IF(AND(K41&gt;=85, K41&lt;=100), "4", IF(AND(K41&gt;=80, K41&lt;=84.999999999), "3.5", IF(AND(K41&gt;=75, K41&lt;=79.999999999), "3", IF(AND(K41&gt;=70, K41&lt;=74.999999999), "2.5", IF(AND(K41&gt;=60, K41&lt;=69.9999999999), "2", IF(AND(K41&gt;=40, K41&lt;=59.999999999), "1", IF(AND(K41&gt;=0, K41&lt;=39.999999999), "0", "0" ) ) ) ) ) ) )</f>
        <v/>
      </c>
      <c r="N41" s="6" t="n">
        <v>68.75</v>
      </c>
      <c r="O41" s="6" t="n">
        <v>20</v>
      </c>
      <c r="P41" s="6" t="n">
        <v>80</v>
      </c>
    </row>
    <row r="42">
      <c r="A42" t="inlineStr">
        <is>
          <t>24060125140223</t>
        </is>
      </c>
      <c r="B42" t="inlineStr">
        <is>
          <t>MUHAMAD GEGESYAWA SENJAYA</t>
        </is>
      </c>
      <c r="C42" t="n">
        <v>2</v>
      </c>
      <c r="D42" t="inlineStr">
        <is>
          <t>BARU</t>
        </is>
      </c>
      <c r="E42" s="3" t="n"/>
      <c r="F42" s="3" t="n"/>
      <c r="G42" s="3" t="n">
        <v>82.40000000000001</v>
      </c>
      <c r="H42" s="3" t="n">
        <v>89</v>
      </c>
      <c r="I42" s="3" t="n">
        <v>47</v>
      </c>
      <c r="J42" s="3" t="n"/>
      <c r="K42" s="2">
        <f>ROUND( ((E42*10+F42*40+G42*10+H42*10+I42*15+J42*15) / 100), 2)</f>
        <v/>
      </c>
      <c r="L42" s="2">
        <f>IF(AND(K42&gt;=85, K42&lt;=100), "A", IF(AND(K42&gt;=80, K42&lt;=84.999999999), "AB", IF(AND(K42&gt;=75, K42&lt;=79.999999999), "B", IF(AND(K42&gt;=70, K42&lt;=74.999999999), "BC", IF(AND(K42&gt;=60, K42&lt;=69.9999999999), "C", IF(AND(K42&gt;=40, K42&lt;=59.999999999), "D", IF(AND(K42&gt;=0, K42&lt;=39.999999999), "E", "E" ) ) ) ) ) ) )</f>
        <v/>
      </c>
      <c r="M42">
        <f>IF(AND(K42&gt;=85, K42&lt;=100), "4", IF(AND(K42&gt;=80, K42&lt;=84.999999999), "3.5", IF(AND(K42&gt;=75, K42&lt;=79.999999999), "3", IF(AND(K42&gt;=70, K42&lt;=74.999999999), "2.5", IF(AND(K42&gt;=60, K42&lt;=69.9999999999), "2", IF(AND(K42&gt;=40, K42&lt;=59.999999999), "1", IF(AND(K42&gt;=0, K42&lt;=39.999999999), "0", "0" ) ) ) ) ) ) )</f>
        <v/>
      </c>
      <c r="N42" s="6" t="n">
        <v>90.62</v>
      </c>
      <c r="O42" s="6" t="n">
        <v>0</v>
      </c>
      <c r="P42" s="6" t="n">
        <v>80</v>
      </c>
    </row>
    <row r="43">
      <c r="A43" t="inlineStr">
        <is>
          <t>24060125140225</t>
        </is>
      </c>
      <c r="B43" t="inlineStr">
        <is>
          <t>HAFIZH ARRASYID</t>
        </is>
      </c>
      <c r="C43" t="n">
        <v>2</v>
      </c>
      <c r="D43" t="inlineStr">
        <is>
          <t>BARU</t>
        </is>
      </c>
      <c r="E43" s="3" t="n"/>
      <c r="F43" s="3" t="n"/>
      <c r="G43" s="3" t="n">
        <v>85.2</v>
      </c>
      <c r="H43" s="3" t="n">
        <v>88.40000000000001</v>
      </c>
      <c r="I43" s="3" t="n">
        <v>78</v>
      </c>
      <c r="J43" s="3" t="n"/>
      <c r="K43" s="2">
        <f>ROUND( ((E43*10+F43*40+G43*10+H43*10+I43*15+J43*15) / 100), 2)</f>
        <v/>
      </c>
      <c r="L43" s="2">
        <f>IF(AND(K43&gt;=85, K43&lt;=100), "A", IF(AND(K43&gt;=80, K43&lt;=84.999999999), "AB", IF(AND(K43&gt;=75, K43&lt;=79.999999999), "B", IF(AND(K43&gt;=70, K43&lt;=74.999999999), "BC", IF(AND(K43&gt;=60, K43&lt;=69.9999999999), "C", IF(AND(K43&gt;=40, K43&lt;=59.999999999), "D", IF(AND(K43&gt;=0, K43&lt;=39.999999999), "E", "E" ) ) ) ) ) ) )</f>
        <v/>
      </c>
      <c r="M43">
        <f>IF(AND(K43&gt;=85, K43&lt;=100), "4", IF(AND(K43&gt;=80, K43&lt;=84.999999999), "3.5", IF(AND(K43&gt;=75, K43&lt;=79.999999999), "3", IF(AND(K43&gt;=70, K43&lt;=74.999999999), "2.5", IF(AND(K43&gt;=60, K43&lt;=69.9999999999), "2", IF(AND(K43&gt;=40, K43&lt;=59.999999999), "1", IF(AND(K43&gt;=0, K43&lt;=39.999999999), "0", "0" ) ) ) ) ) ) )</f>
        <v/>
      </c>
      <c r="N43" s="6" t="n">
        <v>96.88</v>
      </c>
      <c r="O43" s="6" t="n">
        <v>10</v>
      </c>
      <c r="P43" s="6" t="n">
        <v>80</v>
      </c>
    </row>
    <row r="44">
      <c r="A44" t="inlineStr">
        <is>
          <t>24060125140231</t>
        </is>
      </c>
      <c r="B44" t="inlineStr">
        <is>
          <t>MUHAMMAD ROFIF ZUHDI</t>
        </is>
      </c>
      <c r="C44" t="n">
        <v>2</v>
      </c>
      <c r="D44" t="inlineStr">
        <is>
          <t>BARU</t>
        </is>
      </c>
      <c r="E44" s="3" t="n"/>
      <c r="F44" s="3" t="n"/>
      <c r="G44" s="3" t="n">
        <v>82.2</v>
      </c>
      <c r="H44" s="3" t="n">
        <v>66.2</v>
      </c>
      <c r="I44" s="3" t="n">
        <v>20</v>
      </c>
      <c r="J44" s="3" t="n"/>
      <c r="K44" s="2">
        <f>ROUND( ((E44*10+F44*40+G44*10+H44*10+I44*15+J44*15) / 100), 2)</f>
        <v/>
      </c>
      <c r="L44" s="2">
        <f>IF(AND(K44&gt;=85, K44&lt;=100), "A", IF(AND(K44&gt;=80, K44&lt;=84.999999999), "AB", IF(AND(K44&gt;=75, K44&lt;=79.999999999), "B", IF(AND(K44&gt;=70, K44&lt;=74.999999999), "BC", IF(AND(K44&gt;=60, K44&lt;=69.9999999999), "C", IF(AND(K44&gt;=40, K44&lt;=59.999999999), "D", IF(AND(K44&gt;=0, K44&lt;=39.999999999), "E", "E" ) ) ) ) ) ) )</f>
        <v/>
      </c>
      <c r="M44">
        <f>IF(AND(K44&gt;=85, K44&lt;=100), "4", IF(AND(K44&gt;=80, K44&lt;=84.999999999), "3.5", IF(AND(K44&gt;=75, K44&lt;=79.999999999), "3", IF(AND(K44&gt;=70, K44&lt;=74.999999999), "2.5", IF(AND(K44&gt;=60, K44&lt;=69.9999999999), "2", IF(AND(K44&gt;=40, K44&lt;=59.999999999), "1", IF(AND(K44&gt;=0, K44&lt;=39.999999999), "0", "0" ) ) ) ) ) ) )</f>
        <v/>
      </c>
      <c r="N44" s="6" t="n">
        <v>93.75</v>
      </c>
      <c r="O44" s="6" t="n">
        <v>0</v>
      </c>
      <c r="P44" s="6" t="n">
        <v>50</v>
      </c>
    </row>
    <row r="45">
      <c r="A45" t="inlineStr">
        <is>
          <t>24060125140235</t>
        </is>
      </c>
      <c r="B45" t="inlineStr">
        <is>
          <t>DIMAS ANGGA SAPUTRA</t>
        </is>
      </c>
      <c r="C45" t="n">
        <v>2</v>
      </c>
      <c r="D45" t="inlineStr">
        <is>
          <t>BARU</t>
        </is>
      </c>
      <c r="E45" s="3" t="n"/>
      <c r="F45" s="3" t="n"/>
      <c r="G45" s="3" t="n">
        <v>74.59999999999999</v>
      </c>
      <c r="H45" s="3" t="n">
        <v>71.2</v>
      </c>
      <c r="I45" s="3" t="n">
        <v>77</v>
      </c>
      <c r="J45" s="3" t="n"/>
      <c r="K45" s="2">
        <f>ROUND( ((E45*10+F45*40+G45*10+H45*10+I45*15+J45*15) / 100), 2)</f>
        <v/>
      </c>
      <c r="L45" s="2">
        <f>IF(AND(K45&gt;=85, K45&lt;=100), "A", IF(AND(K45&gt;=80, K45&lt;=84.999999999), "AB", IF(AND(K45&gt;=75, K45&lt;=79.999999999), "B", IF(AND(K45&gt;=70, K45&lt;=74.999999999), "BC", IF(AND(K45&gt;=60, K45&lt;=69.9999999999), "C", IF(AND(K45&gt;=40, K45&lt;=59.999999999), "D", IF(AND(K45&gt;=0, K45&lt;=39.999999999), "E", "E" ) ) ) ) ) ) )</f>
        <v/>
      </c>
      <c r="M45">
        <f>IF(AND(K45&gt;=85, K45&lt;=100), "4", IF(AND(K45&gt;=80, K45&lt;=84.999999999), "3.5", IF(AND(K45&gt;=75, K45&lt;=79.999999999), "3", IF(AND(K45&gt;=70, K45&lt;=74.999999999), "2.5", IF(AND(K45&gt;=60, K45&lt;=69.9999999999), "2", IF(AND(K45&gt;=40, K45&lt;=59.999999999), "1", IF(AND(K45&gt;=0, K45&lt;=39.999999999), "0", "0" ) ) ) ) ) ) )</f>
        <v/>
      </c>
      <c r="N45" s="6" t="n">
        <v>71.88</v>
      </c>
      <c r="O45" s="6" t="n">
        <v>0</v>
      </c>
      <c r="P45" s="6" t="n">
        <v>40</v>
      </c>
    </row>
    <row r="46">
      <c r="A46" t="inlineStr">
        <is>
          <t>24060125140244</t>
        </is>
      </c>
      <c r="B46" t="inlineStr">
        <is>
          <t>M. RAIHAN NAJMUDDIN FAWWAZ</t>
        </is>
      </c>
      <c r="C46" t="n">
        <v>2</v>
      </c>
      <c r="D46" t="inlineStr">
        <is>
          <t>BARU</t>
        </is>
      </c>
      <c r="E46" s="3" t="n"/>
      <c r="F46" s="3" t="n"/>
      <c r="G46" s="3" t="n">
        <v>85.2</v>
      </c>
      <c r="H46" s="3" t="n">
        <v>84.8</v>
      </c>
      <c r="I46" s="3" t="n">
        <v>43</v>
      </c>
      <c r="J46" s="3" t="n"/>
      <c r="K46" s="2">
        <f>ROUND( ((E46*10+F46*40+G46*10+H46*10+I46*15+J46*15) / 100), 2)</f>
        <v/>
      </c>
      <c r="L46" s="2">
        <f>IF(AND(K46&gt;=85, K46&lt;=100), "A", IF(AND(K46&gt;=80, K46&lt;=84.999999999), "AB", IF(AND(K46&gt;=75, K46&lt;=79.999999999), "B", IF(AND(K46&gt;=70, K46&lt;=74.999999999), "BC", IF(AND(K46&gt;=60, K46&lt;=69.9999999999), "C", IF(AND(K46&gt;=40, K46&lt;=59.999999999), "D", IF(AND(K46&gt;=0, K46&lt;=39.999999999), "E", "E" ) ) ) ) ) ) )</f>
        <v/>
      </c>
      <c r="M46">
        <f>IF(AND(K46&gt;=85, K46&lt;=100), "4", IF(AND(K46&gt;=80, K46&lt;=84.999999999), "3.5", IF(AND(K46&gt;=75, K46&lt;=79.999999999), "3", IF(AND(K46&gt;=70, K46&lt;=74.999999999), "2.5", IF(AND(K46&gt;=60, K46&lt;=69.9999999999), "2", IF(AND(K46&gt;=40, K46&lt;=59.999999999), "1", IF(AND(K46&gt;=0, K46&lt;=39.999999999), "0", "0" ) ) ) ) ) ) )</f>
        <v/>
      </c>
      <c r="N46" s="6" t="n">
        <v>100</v>
      </c>
      <c r="O46" s="6" t="n">
        <v>20</v>
      </c>
      <c r="P46" s="6" t="n">
        <v>80</v>
      </c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41"/>
  <sheetViews>
    <sheetView tabSelected="1" workbookViewId="0">
      <selection activeCell="F9" sqref="F9"/>
    </sheetView>
  </sheetViews>
  <sheetFormatPr baseColWidth="10" defaultRowHeight="15"/>
  <cols>
    <col width="15.1640625" bestFit="1" customWidth="1" min="2" max="2"/>
    <col width="33.1640625" bestFit="1" customWidth="1" min="3" max="3"/>
  </cols>
  <sheetData>
    <row r="2">
      <c r="A2" s="4" t="inlineStr">
        <is>
          <t>No</t>
        </is>
      </c>
      <c r="B2" t="inlineStr">
        <is>
          <t>NIM</t>
        </is>
      </c>
      <c r="C2" t="inlineStr">
        <is>
          <t>Nama Mahasiswa</t>
        </is>
      </c>
      <c r="D2" s="4" t="inlineStr">
        <is>
          <t>UTS A (40)</t>
        </is>
      </c>
    </row>
    <row r="3">
      <c r="A3" t="n">
        <v>1</v>
      </c>
      <c r="B3" t="inlineStr">
        <is>
          <t>24060125120007</t>
        </is>
      </c>
      <c r="C3" t="inlineStr">
        <is>
          <t>AUFAADHANI AGISTA RAIHAANA</t>
        </is>
      </c>
      <c r="D3" t="n">
        <v>30</v>
      </c>
    </row>
    <row r="4">
      <c r="A4" t="n">
        <v>2</v>
      </c>
      <c r="B4" t="inlineStr">
        <is>
          <t>24060125120010</t>
        </is>
      </c>
      <c r="C4" t="inlineStr">
        <is>
          <t>FATIMAH AZZAKIYAH</t>
        </is>
      </c>
      <c r="D4" t="n">
        <v>30</v>
      </c>
    </row>
    <row r="5">
      <c r="A5" t="n">
        <v>3</v>
      </c>
      <c r="B5" t="inlineStr">
        <is>
          <t>24060125120019</t>
        </is>
      </c>
      <c r="C5" t="inlineStr">
        <is>
          <t>ADJIE AKBAR PAIZAL</t>
        </is>
      </c>
      <c r="D5" t="n">
        <v>40</v>
      </c>
    </row>
    <row r="6">
      <c r="A6" t="n">
        <v>4</v>
      </c>
      <c r="B6" t="inlineStr">
        <is>
          <t>24060125120022</t>
        </is>
      </c>
      <c r="C6" t="inlineStr">
        <is>
          <t>IBNU FARREL ATHAILLAH FIRDAUS</t>
        </is>
      </c>
      <c r="D6" t="n">
        <v>33</v>
      </c>
    </row>
    <row r="7">
      <c r="A7" t="n">
        <v>5</v>
      </c>
      <c r="B7" t="inlineStr">
        <is>
          <t>24060125120026</t>
        </is>
      </c>
      <c r="C7" t="inlineStr">
        <is>
          <t>HOSIANNA A SIMANGUNSONG</t>
        </is>
      </c>
      <c r="D7" t="n">
        <v>27</v>
      </c>
    </row>
    <row r="8">
      <c r="A8" t="n">
        <v>6</v>
      </c>
      <c r="B8" t="inlineStr">
        <is>
          <t>24060125120040</t>
        </is>
      </c>
      <c r="C8" t="inlineStr">
        <is>
          <t>AZQYA SADIDATUN NISA</t>
        </is>
      </c>
      <c r="D8" t="n">
        <v>17</v>
      </c>
    </row>
    <row r="9">
      <c r="A9" t="n">
        <v>7</v>
      </c>
      <c r="B9" t="inlineStr">
        <is>
          <t>24060125120042</t>
        </is>
      </c>
      <c r="C9" t="inlineStr">
        <is>
          <t>IBRAHIM NAUFALTSAQIF HANDOKO</t>
        </is>
      </c>
      <c r="D9" t="n">
        <v>27</v>
      </c>
    </row>
    <row r="10">
      <c r="A10" t="n">
        <v>8</v>
      </c>
      <c r="B10" t="inlineStr">
        <is>
          <t>24060125120046</t>
        </is>
      </c>
      <c r="C10" t="inlineStr">
        <is>
          <t>TALITA ELVINA PUTRI KUSUMA</t>
        </is>
      </c>
      <c r="D10" t="n">
        <v>20</v>
      </c>
    </row>
    <row r="11">
      <c r="A11" t="n">
        <v>9</v>
      </c>
      <c r="B11" t="inlineStr">
        <is>
          <t>24060125120049</t>
        </is>
      </c>
      <c r="C11" t="inlineStr">
        <is>
          <t>CINDY CLAUDIA SIHOTANG</t>
        </is>
      </c>
      <c r="D11" t="n">
        <v>25</v>
      </c>
    </row>
    <row r="12">
      <c r="A12" t="n">
        <v>10</v>
      </c>
      <c r="B12" t="inlineStr">
        <is>
          <t>24060125130072</t>
        </is>
      </c>
      <c r="C12" t="inlineStr">
        <is>
          <t>MIKAIL FARRAS FAIRUZZABAD</t>
        </is>
      </c>
      <c r="D12" t="n">
        <v>18</v>
      </c>
    </row>
    <row r="13">
      <c r="A13" t="n">
        <v>11</v>
      </c>
      <c r="B13" t="inlineStr">
        <is>
          <t>24060125130083</t>
        </is>
      </c>
      <c r="C13" t="inlineStr">
        <is>
          <t>MUHAMMAD HANIF</t>
        </is>
      </c>
      <c r="D13" t="n">
        <v>27</v>
      </c>
    </row>
    <row r="14">
      <c r="A14" t="n">
        <v>12</v>
      </c>
      <c r="B14" t="inlineStr">
        <is>
          <t>24060125130085</t>
        </is>
      </c>
      <c r="C14" t="inlineStr">
        <is>
          <t>JOHANSEN BELTSAZAR SIAHAAN</t>
        </is>
      </c>
      <c r="D14" t="n">
        <v>22</v>
      </c>
    </row>
    <row r="15">
      <c r="A15" t="n">
        <v>13</v>
      </c>
      <c r="B15" t="inlineStr">
        <is>
          <t>24060125130086</t>
        </is>
      </c>
      <c r="C15" t="inlineStr">
        <is>
          <t>NAILA AYU FARRAS HANUN</t>
        </is>
      </c>
      <c r="D15" t="n">
        <v>33</v>
      </c>
    </row>
    <row r="16">
      <c r="A16" t="n">
        <v>14</v>
      </c>
      <c r="B16" t="inlineStr">
        <is>
          <t>24060125130100</t>
        </is>
      </c>
      <c r="C16" t="inlineStr">
        <is>
          <t>REIHAN REMIGIA RIHI</t>
        </is>
      </c>
      <c r="D16" t="n">
        <v>28</v>
      </c>
    </row>
    <row r="17">
      <c r="A17" t="n">
        <v>15</v>
      </c>
      <c r="B17" t="inlineStr">
        <is>
          <t>24060125130101</t>
        </is>
      </c>
      <c r="C17" t="inlineStr">
        <is>
          <t>JUSTIN CHRISTIAN LUMBANTOBING</t>
        </is>
      </c>
      <c r="D17" t="n">
        <v>25</v>
      </c>
    </row>
    <row r="18">
      <c r="A18" t="n">
        <v>16</v>
      </c>
      <c r="B18" t="inlineStr">
        <is>
          <t>24060125130107</t>
        </is>
      </c>
      <c r="C18" t="inlineStr">
        <is>
          <t>MUHAMAD DIAR MADONNY</t>
        </is>
      </c>
      <c r="D18" t="n">
        <v>25</v>
      </c>
    </row>
    <row r="19">
      <c r="A19" t="n">
        <v>17</v>
      </c>
      <c r="B19" t="inlineStr">
        <is>
          <t>24060125130113</t>
        </is>
      </c>
      <c r="C19" t="inlineStr">
        <is>
          <t>GAMMA ABDILLAH MUQORROBIN</t>
        </is>
      </c>
      <c r="D19" t="n">
        <v>20</v>
      </c>
    </row>
    <row r="20">
      <c r="A20" t="n">
        <v>18</v>
      </c>
      <c r="B20" t="inlineStr">
        <is>
          <t>24060125130119</t>
        </is>
      </c>
      <c r="C20" t="inlineStr">
        <is>
          <t>HILMI LAUDZA AT HALLAH</t>
        </is>
      </c>
      <c r="D20" t="n">
        <v>28</v>
      </c>
    </row>
    <row r="21">
      <c r="A21" t="n">
        <v>19</v>
      </c>
      <c r="B21" t="inlineStr">
        <is>
          <t>24060125140122</t>
        </is>
      </c>
      <c r="C21" t="inlineStr">
        <is>
          <t>RAJENDRA NABIL HUTOMO</t>
        </is>
      </c>
      <c r="D21" t="n">
        <v>18</v>
      </c>
    </row>
    <row r="22">
      <c r="A22" t="n">
        <v>20</v>
      </c>
      <c r="B22" t="inlineStr">
        <is>
          <t>24060125140127</t>
        </is>
      </c>
      <c r="C22" t="inlineStr">
        <is>
          <t>FRISKA AMALIA PUTRI</t>
        </is>
      </c>
      <c r="D22" t="n">
        <v>30</v>
      </c>
    </row>
    <row r="23">
      <c r="A23" t="n">
        <v>21</v>
      </c>
      <c r="B23" t="inlineStr">
        <is>
          <t>24060125140151</t>
        </is>
      </c>
      <c r="C23" t="inlineStr">
        <is>
          <t>MUHAMMAD NAWFAL PASHA IMANDRIKA</t>
        </is>
      </c>
      <c r="D23" t="n">
        <v>25</v>
      </c>
    </row>
    <row r="24">
      <c r="A24" t="n">
        <v>22</v>
      </c>
      <c r="B24" t="inlineStr">
        <is>
          <t>24060125140155</t>
        </is>
      </c>
      <c r="C24" t="inlineStr">
        <is>
          <t>MUHAMMAD RADHIN AGHFIAR</t>
        </is>
      </c>
      <c r="D24" t="n">
        <v>15</v>
      </c>
    </row>
    <row r="25">
      <c r="A25" t="n">
        <v>23</v>
      </c>
      <c r="B25" t="inlineStr">
        <is>
          <t>24060125140161</t>
        </is>
      </c>
      <c r="C25" t="inlineStr">
        <is>
          <t>MOCHAMAD FARREL ABYANTARA</t>
        </is>
      </c>
      <c r="D25" t="n">
        <v>22</v>
      </c>
    </row>
    <row r="26">
      <c r="A26" t="n">
        <v>24</v>
      </c>
      <c r="B26" t="inlineStr">
        <is>
          <t>24060125140167</t>
        </is>
      </c>
      <c r="C26" t="inlineStr">
        <is>
          <t>FACHRILLAH FAUZANUDDIN</t>
        </is>
      </c>
      <c r="D26" t="n">
        <v>20</v>
      </c>
    </row>
    <row r="27">
      <c r="A27" t="n">
        <v>25</v>
      </c>
      <c r="B27" t="inlineStr">
        <is>
          <t>24060125140168</t>
        </is>
      </c>
      <c r="C27" t="inlineStr">
        <is>
          <t>ADAM ARDHINATA PAMUNGKAS</t>
        </is>
      </c>
      <c r="D27" t="n">
        <v>18</v>
      </c>
    </row>
    <row r="28">
      <c r="A28" t="n">
        <v>26</v>
      </c>
      <c r="B28" t="inlineStr">
        <is>
          <t>24060125140171</t>
        </is>
      </c>
      <c r="C28" t="inlineStr">
        <is>
          <t>RIZQI RAMADHAN</t>
        </is>
      </c>
      <c r="D28" t="n">
        <v>27</v>
      </c>
    </row>
    <row r="29">
      <c r="A29" t="n">
        <v>27</v>
      </c>
      <c r="B29" t="inlineStr">
        <is>
          <t>24060125140178</t>
        </is>
      </c>
      <c r="C29" t="inlineStr">
        <is>
          <t>MUHAMMAD ZIDAN ZEIN PURWADI</t>
        </is>
      </c>
      <c r="D29" t="n">
        <v>15</v>
      </c>
    </row>
    <row r="30">
      <c r="A30" t="n">
        <v>28</v>
      </c>
      <c r="B30" t="inlineStr">
        <is>
          <t>24060125140183</t>
        </is>
      </c>
      <c r="C30" t="inlineStr">
        <is>
          <t>VARES DYON TYAS KUSUMA</t>
        </is>
      </c>
      <c r="D30" t="n">
        <v>22</v>
      </c>
    </row>
    <row r="31">
      <c r="A31" t="n">
        <v>29</v>
      </c>
      <c r="B31" t="inlineStr">
        <is>
          <t>24060125140194</t>
        </is>
      </c>
      <c r="C31" t="inlineStr">
        <is>
          <t>MUHAMMAD FAZA SALAM</t>
        </is>
      </c>
      <c r="D31" t="n">
        <v>15</v>
      </c>
    </row>
    <row r="32">
      <c r="A32" t="n">
        <v>30</v>
      </c>
      <c r="B32" t="inlineStr">
        <is>
          <t>24060125140196</t>
        </is>
      </c>
      <c r="C32" t="inlineStr">
        <is>
          <t>TORIBIO DESMOND DONOVAN</t>
        </is>
      </c>
      <c r="D32" t="n">
        <v>20</v>
      </c>
    </row>
    <row r="33">
      <c r="A33" t="n">
        <v>31</v>
      </c>
      <c r="B33" t="inlineStr">
        <is>
          <t>24060125140203</t>
        </is>
      </c>
      <c r="C33" t="inlineStr">
        <is>
          <t>UMMU DIANA MAGHFIROH</t>
        </is>
      </c>
      <c r="D33" t="n">
        <v>33</v>
      </c>
    </row>
    <row r="34">
      <c r="A34" t="n">
        <v>32</v>
      </c>
      <c r="B34" t="inlineStr">
        <is>
          <t>24060125140212</t>
        </is>
      </c>
      <c r="C34" t="inlineStr">
        <is>
          <t>AGITHA SELY JEFAYONA BANGUN</t>
        </is>
      </c>
      <c r="D34" t="n">
        <v>27</v>
      </c>
    </row>
    <row r="35">
      <c r="A35" t="n">
        <v>33</v>
      </c>
      <c r="B35" t="inlineStr">
        <is>
          <t>24060125140213</t>
        </is>
      </c>
      <c r="C35" t="inlineStr">
        <is>
          <t>MUHAMMAD RAVILINO PRASETYO</t>
        </is>
      </c>
      <c r="D35" t="n">
        <v>18</v>
      </c>
    </row>
    <row r="36">
      <c r="A36" t="n">
        <v>34</v>
      </c>
      <c r="B36" t="inlineStr">
        <is>
          <t>24060125140215</t>
        </is>
      </c>
      <c r="C36" t="inlineStr">
        <is>
          <t>LAILI ANGGITA NASOKA</t>
        </is>
      </c>
      <c r="D36" t="n">
        <v>7</v>
      </c>
    </row>
    <row r="37">
      <c r="A37" t="n">
        <v>35</v>
      </c>
      <c r="B37" t="inlineStr">
        <is>
          <t>24060125140223</t>
        </is>
      </c>
      <c r="C37" t="inlineStr">
        <is>
          <t>MUHAMAD GEGESYAWA SENJAYA</t>
        </is>
      </c>
      <c r="D37" t="n">
        <v>20</v>
      </c>
    </row>
    <row r="38">
      <c r="A38" t="n">
        <v>36</v>
      </c>
      <c r="B38" t="inlineStr">
        <is>
          <t>24060125140225</t>
        </is>
      </c>
      <c r="C38" t="inlineStr">
        <is>
          <t>HAFIZH ARRASYID</t>
        </is>
      </c>
      <c r="D38" t="n">
        <v>20</v>
      </c>
    </row>
    <row r="39">
      <c r="A39" t="n">
        <v>37</v>
      </c>
      <c r="B39" t="inlineStr">
        <is>
          <t>24060125140231</t>
        </is>
      </c>
      <c r="C39" t="inlineStr">
        <is>
          <t>MUHAMMAD ROFIF ZUHDI</t>
        </is>
      </c>
      <c r="D39" t="n">
        <v>10</v>
      </c>
    </row>
    <row r="40">
      <c r="A40" t="n">
        <v>38</v>
      </c>
      <c r="B40" t="inlineStr">
        <is>
          <t>24060125140235</t>
        </is>
      </c>
      <c r="C40" t="inlineStr">
        <is>
          <t>DIMAS ANGGA SAPUTRA</t>
        </is>
      </c>
      <c r="D40" t="n">
        <v>18</v>
      </c>
    </row>
    <row r="41">
      <c r="A41" t="n">
        <v>39</v>
      </c>
      <c r="B41" t="inlineStr">
        <is>
          <t>24060125140244</t>
        </is>
      </c>
      <c r="C41" t="inlineStr">
        <is>
          <t>M. RAIHAN NAJMUDDIN FAWWAZ</t>
        </is>
      </c>
      <c r="D41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SIAP UNDIP</dc:creator>
  <dc:title>Office 2007 XLSX Test Document</dc:title>
  <dc:description>Test document for Office 2007 XLSX, generated using PHP classes.</dc:description>
  <dc:subject>Office 2007 XLSX Test Document</dc:subject>
  <dcterms:created xsi:type="dcterms:W3CDTF">2026-06-15T00:17:07Z</dcterms:created>
  <dcterms:modified xsi:type="dcterms:W3CDTF">2026-06-29T11:23:17Z</dcterms:modified>
  <cp:lastModifiedBy>Satriawan Rasyid Purnama</cp:lastModifiedBy>
  <cp:category>Test result file</cp:category>
  <cp:keywords>office 2007 openxml php</cp:keywords>
</cp:coreProperties>
</file>