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63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7" sqref="A7:B11"/>
    </sheetView>
  </sheetViews>
  <sheetFormatPr baseColWidth="10" defaultColWidth="8.83203125" defaultRowHeight="15"/>
  <cols>
    <col width="17.5" bestFit="1" customWidth="1" min="1" max="1"/>
    <col width="56.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PAIK6203 -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NDk4NzQ5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A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24060123140063</t>
        </is>
      </c>
      <c r="B8" t="inlineStr">
        <is>
          <t>BAGAS NUR ARDIANTO</t>
        </is>
      </c>
      <c r="C8" t="n">
        <v>6</v>
      </c>
      <c r="D8" t="inlineStr">
        <is>
          <t>PERBAIKAN</t>
        </is>
      </c>
      <c r="E8" s="3" t="n"/>
      <c r="F8" s="3" t="n"/>
      <c r="G8" s="3" t="n"/>
      <c r="H8" s="3" t="n"/>
      <c r="I8" s="3" t="n"/>
      <c r="J8" s="3" t="n"/>
      <c r="K8" s="2">
        <f>ROUND( ((E8*10+F8*40+G8*10+H8*10+I8*15+J8*15)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  <c r="N8" s="6" t="n">
        <v>75</v>
      </c>
      <c r="O8" s="6" t="n">
        <v>0</v>
      </c>
      <c r="P8" s="6" t="n">
        <v>0</v>
      </c>
    </row>
    <row r="9">
      <c r="A9" t="inlineStr">
        <is>
          <t>24060123140172</t>
        </is>
      </c>
      <c r="B9" t="inlineStr">
        <is>
          <t>CIPTA FIKRI WIRATAMA</t>
        </is>
      </c>
      <c r="C9" t="n">
        <v>6</v>
      </c>
      <c r="D9" t="inlineStr">
        <is>
          <t>PERBAIKAN</t>
        </is>
      </c>
      <c r="E9" s="3" t="n"/>
      <c r="F9" s="3" t="n"/>
      <c r="G9" s="3" t="n"/>
      <c r="H9" s="3" t="n"/>
      <c r="I9" s="3" t="n"/>
      <c r="J9" s="3" t="n"/>
      <c r="K9" s="2">
        <f>ROUND( ((E9*10+F9*40+G9*10+H9*10+I9*15+J9*15) / 100), 2)</f>
        <v/>
      </c>
      <c r="L9" s="2">
        <f>IF(AND(K9&gt;=80, K9&lt;=100), "A", IF(AND(K9&gt;=70, K9&lt;=79.99999999999), "B", IF(AND(K9&gt;=60, K9&lt;=69.9999999999), "C", IF(AND(K9&gt;=51, K9&lt;=59.999999999), "D", IF(AND(K9&gt;=0, K9&lt;=50.999999999), "E",  "E"  )  )  )  )  )</f>
        <v/>
      </c>
      <c r="M9">
        <f>IF(AND(K9&gt;=80, K9&lt;=100), "4", IF(AND(K9&gt;=70, K9&lt;=79.99999999999), "3", IF(AND(K9&gt;=60, K9&lt;=69.9999999999), "2", IF(AND(K9&gt;=51, K9&lt;=59.999999999), "1", IF(AND(K9&gt;=0, K9&lt;=50.999999999), "0",  "0"  )  )  )  )  )</f>
        <v/>
      </c>
      <c r="N9" s="6" t="n">
        <v>100</v>
      </c>
      <c r="O9" s="6" t="n">
        <v>0</v>
      </c>
      <c r="P9" s="6" t="n">
        <v>70</v>
      </c>
    </row>
    <row r="10">
      <c r="A10" t="inlineStr">
        <is>
          <t>24060122130091</t>
        </is>
      </c>
      <c r="B10" t="inlineStr">
        <is>
          <t>ANANDA BAGUS TRI UTOMO</t>
        </is>
      </c>
      <c r="C10" t="n">
        <v>8</v>
      </c>
      <c r="D10" t="inlineStr">
        <is>
          <t>PERBAIKAN</t>
        </is>
      </c>
      <c r="E10" s="3" t="n"/>
      <c r="F10" s="3" t="n"/>
      <c r="G10" s="3" t="n"/>
      <c r="H10" s="3" t="n"/>
      <c r="I10" s="3" t="n"/>
      <c r="J10" s="3" t="n"/>
      <c r="K10" s="2">
        <f>ROUND( ((E10*10+F10*40+G10*10+H10*10+I10*15+J10*15) / 100), 2)</f>
        <v/>
      </c>
      <c r="L10" s="2">
        <f>IF(AND(K10&gt;=80, K10&lt;=100), "A", IF(AND(K10&gt;=70, K10&lt;=79.99999999999), "B", IF(AND(K10&gt;=60, K10&lt;=69.9999999999), "C", IF(AND(K10&gt;=51, K10&lt;=59.999999999), "D", IF(AND(K10&gt;=0, K10&lt;=50.999999999), "E",  "E"  )  )  )  )  )</f>
        <v/>
      </c>
      <c r="M10">
        <f>IF(AND(K10&gt;=80, K10&lt;=100), "4", IF(AND(K10&gt;=70, K10&lt;=79.99999999999), "3", IF(AND(K10&gt;=60, K10&lt;=69.9999999999), "2", IF(AND(K10&gt;=51, K10&lt;=59.999999999), "1", IF(AND(K10&gt;=0, K10&lt;=50.999999999), "0",  "0"  )  )  )  )  )</f>
        <v/>
      </c>
      <c r="N10" s="6" t="n">
        <v>78.12</v>
      </c>
      <c r="O10" s="6" t="n">
        <v>20</v>
      </c>
      <c r="P10" s="6" t="n">
        <v>0</v>
      </c>
    </row>
    <row r="11">
      <c r="A11" t="inlineStr">
        <is>
          <t>24060122140163</t>
        </is>
      </c>
      <c r="B11" t="inlineStr">
        <is>
          <t>AULYA SALSABILA KHAIRUNNISA</t>
        </is>
      </c>
      <c r="C11" t="n">
        <v>8</v>
      </c>
      <c r="D11" t="inlineStr">
        <is>
          <t>PERBAIKAN</t>
        </is>
      </c>
      <c r="E11" s="3" t="n"/>
      <c r="F11" s="3" t="n"/>
      <c r="G11" s="3" t="n"/>
      <c r="H11" s="3" t="n"/>
      <c r="I11" s="3" t="n"/>
      <c r="J11" s="3" t="n"/>
      <c r="K11" s="2">
        <f>ROUND( ((E11*10+F11*40+G11*10+H11*10+I11*15+J11*15) / 100), 2)</f>
        <v/>
      </c>
      <c r="L11" s="2">
        <f>IF(AND(K11&gt;=80, K11&lt;=100), "A", IF(AND(K11&gt;=70, K11&lt;=79.99999999999), "B", IF(AND(K11&gt;=60, K11&lt;=69.9999999999), "C", IF(AND(K11&gt;=51, K11&lt;=59.999999999), "D", IF(AND(K11&gt;=0, K11&lt;=50.999999999), "E",  "E"  )  )  )  )  )</f>
        <v/>
      </c>
      <c r="M11">
        <f>IF(AND(K11&gt;=80, K11&lt;=100), "4", IF(AND(K11&gt;=70, K11&lt;=79.99999999999), "3", IF(AND(K11&gt;=60, K11&lt;=69.9999999999), "2", IF(AND(K11&gt;=51, K11&lt;=59.999999999), "1", IF(AND(K11&gt;=0, K11&lt;=50.999999999), "0",  "0"  )  )  )  )  )</f>
        <v/>
      </c>
      <c r="N11" s="6" t="n">
        <v>100</v>
      </c>
      <c r="O11" s="6" t="n">
        <v>100</v>
      </c>
      <c r="P11" s="6" t="n">
        <v>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6"/>
  <sheetViews>
    <sheetView tabSelected="1" workbookViewId="0">
      <selection activeCell="D6" sqref="D6"/>
    </sheetView>
  </sheetViews>
  <sheetFormatPr baseColWidth="10" defaultRowHeight="15"/>
  <cols>
    <col width="3.33203125" bestFit="1" customWidth="1" min="1" max="1"/>
    <col width="15.1640625" bestFit="1" customWidth="1" min="2" max="2"/>
    <col width="25.3320312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(40)</t>
        </is>
      </c>
    </row>
    <row r="3">
      <c r="A3" t="n">
        <v>1</v>
      </c>
      <c r="B3" t="inlineStr">
        <is>
          <t>24060123140063</t>
        </is>
      </c>
      <c r="C3" t="inlineStr">
        <is>
          <t>BAGAS NUR ARDIANTO</t>
        </is>
      </c>
      <c r="D3" t="n">
        <v>30</v>
      </c>
    </row>
    <row r="4">
      <c r="A4" t="n">
        <v>2</v>
      </c>
      <c r="B4" t="inlineStr">
        <is>
          <t>24060123140172</t>
        </is>
      </c>
      <c r="C4" t="inlineStr">
        <is>
          <t>CIPTA FIKRI WIRATAMA</t>
        </is>
      </c>
      <c r="D4" t="n">
        <v>25</v>
      </c>
    </row>
    <row r="5">
      <c r="A5" t="n">
        <v>3</v>
      </c>
      <c r="B5" t="inlineStr">
        <is>
          <t>24060122130091</t>
        </is>
      </c>
      <c r="C5" t="inlineStr">
        <is>
          <t>ANANDA BAGUS TRI UTOMO</t>
        </is>
      </c>
      <c r="D5" t="n">
        <v>10</v>
      </c>
    </row>
    <row r="6">
      <c r="A6" t="n">
        <v>4</v>
      </c>
      <c r="B6" t="inlineStr">
        <is>
          <t>24060122140163</t>
        </is>
      </c>
      <c r="C6" t="inlineStr">
        <is>
          <t>AULYA SALSABILA KHAIRUNNISA</t>
        </is>
      </c>
      <c r="D6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2026-06-15T00:25:07Z</dcterms:created>
  <dcterms:modified xsi:type="dcterms:W3CDTF">2026-06-29T10:54:36Z</dcterms:modified>
  <cp:lastModifiedBy>Satriawan Rasyid Purnama</cp:lastModifiedBy>
  <cp:category>Test result file</cp:category>
  <cp:keywords>office 2007 openxml php</cp:keywords>
</cp:coreProperties>
</file>