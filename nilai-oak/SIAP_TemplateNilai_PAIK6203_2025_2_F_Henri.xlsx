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6241CF2E-4283-1F4B-9378-DAEFEE4CA40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M11" i="1" s="1"/>
  <c r="K10" i="1"/>
  <c r="M10" i="1" s="1"/>
  <c r="K9" i="1"/>
  <c r="M9" i="1" s="1"/>
  <c r="K8" i="1"/>
  <c r="L8" i="1" s="1"/>
  <c r="M8" i="1" l="1"/>
  <c r="L10" i="1"/>
  <c r="L11" i="1"/>
  <c r="L9" i="1"/>
</calcChain>
</file>

<file path=xl/sharedStrings.xml><?xml version="1.0" encoding="utf-8"?>
<sst xmlns="http://schemas.openxmlformats.org/spreadsheetml/2006/main" count="36" uniqueCount="32">
  <si>
    <t>Mata Kuliah</t>
  </si>
  <si>
    <t>: PAIK6203 - Organisasi dan Arsitektur Komputer</t>
  </si>
  <si>
    <t>Tahun Ajaran</t>
  </si>
  <si>
    <t>: 2025</t>
  </si>
  <si>
    <t>NDk4NzU0</t>
  </si>
  <si>
    <t>Semester</t>
  </si>
  <si>
    <t>: Genap</t>
  </si>
  <si>
    <t>Kelas</t>
  </si>
  <si>
    <t>: F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</si>
  <si>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</si>
  <si>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</si>
  <si>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</si>
  <si>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</si>
  <si>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</si>
  <si>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</si>
  <si>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</si>
  <si>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</si>
  <si>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</si>
  <si>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</si>
  <si>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</si>
  <si>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</si>
  <si>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</si>
  <si>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</si>
  <si>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24060123140149</t>
  </si>
  <si>
    <t>KHALISA NADYA HAKIM</t>
  </si>
  <si>
    <t>PERBAIKAN</t>
  </si>
  <si>
    <t>24060123140178</t>
  </si>
  <si>
    <t>KHOERUNISSA BILLAH WAHYU SARBINI</t>
  </si>
  <si>
    <t>24060123140194</t>
  </si>
  <si>
    <t>STEPHEN ANDREW PAKPAHAN</t>
  </si>
  <si>
    <t>24060123140196</t>
  </si>
  <si>
    <t>RANGGADYA ADITAMA RAMADHANI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</si>
</sst>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 applyAlignment="1" applyProtection="1">
      <alignment vertical="top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C1" workbookViewId="0">
      <selection activeCell="J8" sqref="J8:J11"/>
    </sheetView>
  </sheetViews>
  <sheetFormatPr baseColWidth="10" defaultColWidth="8.83203125" defaultRowHeight="15" x14ac:dyDescent="0.2"/>
  <cols>
    <col min="1" max="1" width="17.5" bestFit="1" customWidth="1"/>
    <col min="2" max="2" width="56.5" bestFit="1" customWidth="1"/>
    <col min="3" max="3" width="10.5" bestFit="1" customWidth="1"/>
    <col min="4" max="4" width="9.6640625" bestFit="1" customWidth="1"/>
    <col min="5" max="5" width="36.33203125" bestFit="1" customWidth="1"/>
    <col min="6" max="6" width="30.1640625" bestFit="1" customWidth="1"/>
    <col min="7" max="7" width="25" bestFit="1" customWidth="1"/>
    <col min="8" max="8" width="24.1640625" bestFit="1" customWidth="1"/>
    <col min="9" max="9" width="23.66406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">
      <c r="A8" t="s">
        <v>23</v>
      </c>
      <c r="B8" t="s">
        <v>24</v>
      </c>
      <c r="C8">
        <v>6</v>
      </c>
      <c r="D8" t="s">
        <v>25</v>
      </c>
      <c r="E8" s="4">
        <v>85.71</v>
      </c>
      <c r="F8" s="5">
        <v>84</v>
      </c>
      <c r="G8" s="3">
        <v>84</v>
      </c>
      <c r="H8" s="3">
        <v>92.86</v>
      </c>
      <c r="I8" s="3">
        <v>58</v>
      </c>
      <c r="J8" s="3">
        <v>85</v>
      </c>
      <c r="K8" s="2">
        <f>ROUND( ((E8*10+F8*40+G8*10+H8*10+I8*15+J8*15) / 100), 2)</f>
        <v>81.31</v>
      </c>
      <c r="L8" s="2" t="str">
        <f>IF(AND(K8&gt;=80, K8&lt;=100), "A", IF(AND(K8&gt;=70, K8&lt;=79.99999999999), "B", IF(AND(K8&gt;=60, K8&lt;=69.9999999999), "C", IF(AND(K8&gt;=51, K8&lt;=59.999999999), "D", IF(AND(K8&gt;=0, K8&lt;=50.999999999), "E",  "E"  )  )  )  )  )</f>
        <v>A</v>
      </c>
      <c r="M8" t="str">
        <f>IF(AND(K8&gt;=80, K8&lt;=100), "4", IF(AND(K8&gt;=70, K8&lt;=79.99999999999), "3", IF(AND(K8&gt;=60, K8&lt;=69.9999999999), "2", IF(AND(K8&gt;=51, K8&lt;=59.999999999), "1", IF(AND(K8&gt;=0, K8&lt;=50.999999999), "0",  "0"  )  )  )  )  )</f>
        <v>4</v>
      </c>
    </row>
    <row r="9" spans="1:13" x14ac:dyDescent="0.2">
      <c r="A9" t="s">
        <v>26</v>
      </c>
      <c r="B9" t="s">
        <v>27</v>
      </c>
      <c r="C9">
        <v>6</v>
      </c>
      <c r="D9" t="s">
        <v>25</v>
      </c>
      <c r="E9" s="4">
        <v>85.71</v>
      </c>
      <c r="F9" s="5">
        <v>84</v>
      </c>
      <c r="G9" s="3">
        <v>83</v>
      </c>
      <c r="H9" s="3">
        <v>90.48</v>
      </c>
      <c r="I9" s="3">
        <v>58</v>
      </c>
      <c r="J9" s="3">
        <v>88</v>
      </c>
      <c r="K9" s="2">
        <f>ROUND( ((E9*10+F9*40+G9*10+H9*10+I9*15+J9*15) / 100), 2)</f>
        <v>81.42</v>
      </c>
      <c r="L9" s="2" t="str">
        <f>IF(AND(K9&gt;=80, K9&lt;=100), "A", IF(AND(K9&gt;=70, K9&lt;=79.99999999999), "B", IF(AND(K9&gt;=60, K9&lt;=69.9999999999), "C", IF(AND(K9&gt;=51, K9&lt;=59.999999999), "D", IF(AND(K9&gt;=0, K9&lt;=50.999999999), "E",  "E"  )  )  )  )  )</f>
        <v>A</v>
      </c>
      <c r="M9" t="str">
        <f>IF(AND(K9&gt;=80, K9&lt;=100), "4", IF(AND(K9&gt;=70, K9&lt;=79.99999999999), "3", IF(AND(K9&gt;=60, K9&lt;=69.9999999999), "2", IF(AND(K9&gt;=51, K9&lt;=59.999999999), "1", IF(AND(K9&gt;=0, K9&lt;=50.999999999), "0",  "0"  )  )  )  )  )</f>
        <v>4</v>
      </c>
    </row>
    <row r="10" spans="1:13" x14ac:dyDescent="0.2">
      <c r="A10" t="s">
        <v>28</v>
      </c>
      <c r="B10" t="s">
        <v>29</v>
      </c>
      <c r="C10">
        <v>6</v>
      </c>
      <c r="D10" t="s">
        <v>25</v>
      </c>
      <c r="E10" s="4">
        <v>78.569999999999993</v>
      </c>
      <c r="F10" s="5">
        <v>84</v>
      </c>
      <c r="G10" s="3">
        <v>82</v>
      </c>
      <c r="H10" s="3">
        <v>92.86</v>
      </c>
      <c r="I10" s="3">
        <v>38</v>
      </c>
      <c r="J10" s="3">
        <v>75</v>
      </c>
      <c r="K10" s="2">
        <f>ROUND( ((E10*10+F10*40+G10*10+H10*10+I10*15+J10*15) / 100), 2)</f>
        <v>75.89</v>
      </c>
      <c r="L10" s="2" t="str">
        <f>IF(AND(K10&gt;=80, K10&lt;=100), "A", IF(AND(K10&gt;=70, K10&lt;=79.99999999999), "B", IF(AND(K10&gt;=60, K10&lt;=69.9999999999), "C", IF(AND(K10&gt;=51, K10&lt;=59.999999999), "D", IF(AND(K10&gt;=0, K10&lt;=50.999999999), "E",  "E"  )  )  )  )  )</f>
        <v>B</v>
      </c>
      <c r="M10" t="str">
        <f>IF(AND(K10&gt;=80, K10&lt;=100), "4", IF(AND(K10&gt;=70, K10&lt;=79.99999999999), "3", IF(AND(K10&gt;=60, K10&lt;=69.9999999999), "2", IF(AND(K10&gt;=51, K10&lt;=59.999999999), "1", IF(AND(K10&gt;=0, K10&lt;=50.999999999), "0",  "0"  )  )  )  )  )</f>
        <v>3</v>
      </c>
    </row>
    <row r="11" spans="1:13" x14ac:dyDescent="0.2">
      <c r="A11" t="s">
        <v>30</v>
      </c>
      <c r="B11" t="s">
        <v>31</v>
      </c>
      <c r="C11">
        <v>6</v>
      </c>
      <c r="D11" t="s">
        <v>25</v>
      </c>
      <c r="E11" s="4">
        <v>85.71</v>
      </c>
      <c r="F11" s="5">
        <v>84</v>
      </c>
      <c r="G11" s="3">
        <v>85</v>
      </c>
      <c r="H11" s="3">
        <v>92.86</v>
      </c>
      <c r="I11" s="3">
        <v>54</v>
      </c>
      <c r="J11" s="3">
        <v>70</v>
      </c>
      <c r="K11" s="2">
        <f>ROUND( ((E11*10+F11*40+G11*10+H11*10+I11*15+J11*15) / 100), 2)</f>
        <v>78.56</v>
      </c>
      <c r="L11" s="2" t="str">
        <f>IF(AND(K11&gt;=80, K11&lt;=100), "A", IF(AND(K11&gt;=70, K11&lt;=79.99999999999), "B", IF(AND(K11&gt;=60, K11&lt;=69.9999999999), "C", IF(AND(K11&gt;=51, K11&lt;=59.999999999), "D", IF(AND(K11&gt;=0, K11&lt;=50.999999999), "E",  "E"  )  )  )  )  )</f>
        <v>B</v>
      </c>
      <c r="M11" t="str">
        <f>IF(AND(K11&gt;=80, K11&lt;=100), "4", IF(AND(K11&gt;=70, K11&lt;=79.99999999999), "3", IF(AND(K11&gt;=60, K11&lt;=69.9999999999), "2", IF(AND(K11&gt;=51, K11&lt;=59.999999999), "1", IF(AND(K11&gt;=0, K11&lt;=50.999999999), "0",  "0"  )  )  )  )  )</f>
        <v>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2026-06-28T03:03:07Z</dcterms:created>
  <dcterms:modified xsi:type="dcterms:W3CDTF">2026-06-29T08:56:45Z</dcterms:modified>
  <cp:category>Test result file</cp:category>
</cp:coreProperties>
</file>