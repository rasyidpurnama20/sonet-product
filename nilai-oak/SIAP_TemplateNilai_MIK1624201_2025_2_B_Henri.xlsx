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i/Downloads/OAK Nilai/"/>
    </mc:Choice>
  </mc:AlternateContent>
  <xr:revisionPtr revIDLastSave="0" documentId="13_ncr:1_{94E02BDA-9B97-C544-9303-025CCDBAF27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definedNames>
    <definedName name="_xlnm._FilterDatabase" localSheetId="0" hidden="1">Worksheet!$A$7:$M$47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" l="1"/>
  <c r="M47" i="1" s="1"/>
  <c r="K46" i="1"/>
  <c r="M46" i="1" s="1"/>
  <c r="K45" i="1"/>
  <c r="M45" i="1" s="1"/>
  <c r="K44" i="1"/>
  <c r="L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L37" i="1" s="1"/>
  <c r="K36" i="1"/>
  <c r="M36" i="1" s="1"/>
  <c r="K35" i="1"/>
  <c r="M35" i="1" s="1"/>
  <c r="K34" i="1"/>
  <c r="L34" i="1" s="1"/>
  <c r="K33" i="1"/>
  <c r="L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L27" i="1" s="1"/>
  <c r="K26" i="1"/>
  <c r="M26" i="1" s="1"/>
  <c r="K25" i="1"/>
  <c r="M25" i="1" s="1"/>
  <c r="K24" i="1"/>
  <c r="M24" i="1" s="1"/>
  <c r="K23" i="1"/>
  <c r="L23" i="1" s="1"/>
  <c r="K22" i="1"/>
  <c r="L22" i="1" s="1"/>
  <c r="K21" i="1"/>
  <c r="M21" i="1" s="1"/>
  <c r="K20" i="1"/>
  <c r="M20" i="1" s="1"/>
  <c r="K19" i="1"/>
  <c r="M19" i="1" s="1"/>
  <c r="K18" i="1"/>
  <c r="M18" i="1" s="1"/>
  <c r="K17" i="1"/>
  <c r="L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M44" i="1" l="1"/>
  <c r="L41" i="1"/>
  <c r="M37" i="1"/>
  <c r="M34" i="1"/>
  <c r="L31" i="1"/>
  <c r="M27" i="1"/>
  <c r="L24" i="1"/>
  <c r="M17" i="1"/>
  <c r="L14" i="1"/>
  <c r="L11" i="1"/>
  <c r="L21" i="1"/>
  <c r="L8" i="1"/>
  <c r="L18" i="1"/>
  <c r="L28" i="1"/>
  <c r="L38" i="1"/>
  <c r="L25" i="1"/>
  <c r="L35" i="1"/>
  <c r="L45" i="1"/>
  <c r="L32" i="1"/>
  <c r="L42" i="1"/>
  <c r="L19" i="1"/>
  <c r="M22" i="1"/>
  <c r="L29" i="1"/>
  <c r="L39" i="1"/>
  <c r="L16" i="1"/>
  <c r="L46" i="1"/>
  <c r="L13" i="1"/>
  <c r="L43" i="1"/>
  <c r="L10" i="1"/>
  <c r="L20" i="1"/>
  <c r="M23" i="1"/>
  <c r="L30" i="1"/>
  <c r="M33" i="1"/>
  <c r="L40" i="1"/>
  <c r="L15" i="1"/>
  <c r="L12" i="1"/>
  <c r="L9" i="1"/>
  <c r="L26" i="1"/>
  <c r="L36" i="1"/>
  <c r="L47" i="1"/>
</calcChain>
</file>

<file path=xl/sharedStrings.xml><?xml version="1.0" encoding="utf-8"?>
<sst xmlns="http://schemas.openxmlformats.org/spreadsheetml/2006/main" count="144" uniqueCount="104">
  <si>
    <t>Mata Kuliah</t>
  </si>
  <si>
    <t>: MIK1624201 - Organisasi dan Arsitektur Komputer</t>
  </si>
  <si>
    <t>Tahun Ajaran</t>
  </si>
  <si>
    <t>: 2025</t>
  </si>
  <si>
    <t>NDk4NzM5</t>
  </si>
  <si>
    <t>Semester</t>
  </si>
  <si>
    <t>: Genap</t>
  </si>
  <si>
    <t>Kelas</t>
  </si>
  <si>
    <t>: B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</si>
  <si>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</si>
  <si>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</si>
  <si>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</si>
  <si>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</si>
  <si>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</si>
  <si>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</si>
  <si>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</si>
  <si>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(10%)</t>
  </si>
  <si>
    <t>Nilai Quiz (0,00-100,00) (10%)</t>
  </si>
  <si>
    <t>Nilai UTS (0,00-100,00) (15%)</t>
  </si>
  <si>
    <t>Nilai UAS (0,00-100) (15%)</t>
  </si>
  <si>
    <t>Nilai Akhir Angka (0,00-100,00)</t>
  </si>
  <si>
    <t>Nilai Akhir Huruf (A/B/C/D/E)</t>
  </si>
  <si>
    <t>Nilai Bobot (0-4)</t>
  </si>
  <si>
    <t>24060125120003</t>
  </si>
  <si>
    <t>FIRSTLY GISHA JANATUKA</t>
  </si>
  <si>
    <t>BARU</t>
  </si>
  <si>
    <t>24060125120005</t>
  </si>
  <si>
    <t>HANDIKA PUTRA DEWA</t>
  </si>
  <si>
    <t>24060125120013</t>
  </si>
  <si>
    <t>ARNEHAYATUSSALBIYA</t>
  </si>
  <si>
    <t>24060125120020</t>
  </si>
  <si>
    <t>PUSPARANU FACHRI AULIA</t>
  </si>
  <si>
    <t>24060125120034</t>
  </si>
  <si>
    <t>ADZKIA HAFIDZ HUZEINI</t>
  </si>
  <si>
    <t>24060125120038</t>
  </si>
  <si>
    <t>HANA FATIN NAIRA</t>
  </si>
  <si>
    <t>24060125120043</t>
  </si>
  <si>
    <t>MUHAMMAD FIRDAUS SUBHAN</t>
  </si>
  <si>
    <t>24060125120047</t>
  </si>
  <si>
    <t>INTAN ZAHRA AMARTIN</t>
  </si>
  <si>
    <t>24060125130051</t>
  </si>
  <si>
    <t>MUHAMMAD REZA ALFIANSYAH</t>
  </si>
  <si>
    <t>24060125130052</t>
  </si>
  <si>
    <t>ISA ABDURROHIM HANIFA</t>
  </si>
  <si>
    <t>24060125130074</t>
  </si>
  <si>
    <t>VINCENT BRAM PALMA GEOFFREY</t>
  </si>
  <si>
    <t>24060125130080</t>
  </si>
  <si>
    <t>ARENO SHEVA PRASETYO</t>
  </si>
  <si>
    <t>24060125130082</t>
  </si>
  <si>
    <t>ALIFA NAUFALYN FIKRIA RABBANI</t>
  </si>
  <si>
    <t>24060125130090</t>
  </si>
  <si>
    <t>NAUFAL AULIA WICAKSONO</t>
  </si>
  <si>
    <t>24060125130099</t>
  </si>
  <si>
    <t>M. FAIRUZ AUFA NADHIR</t>
  </si>
  <si>
    <t>24060125130102</t>
  </si>
  <si>
    <t>JOSE HARIN YOGATAMA</t>
  </si>
  <si>
    <t>24060125130111</t>
  </si>
  <si>
    <t>ARYASENA HARIS WICAKSONO</t>
  </si>
  <si>
    <t>24060125130116</t>
  </si>
  <si>
    <t>ALFIAN HELMY</t>
  </si>
  <si>
    <t>24060125130120</t>
  </si>
  <si>
    <t>MUHAMMAD UMAR ABDUR RAHMAN (&lt; 75%)</t>
  </si>
  <si>
    <t>24060125140075</t>
  </si>
  <si>
    <t>ABIMANYU WIJOYO WIDYATMOKO</t>
  </si>
  <si>
    <t>24060125140135</t>
  </si>
  <si>
    <t>CALVIN EZRA JONATHAN PASARIBU</t>
  </si>
  <si>
    <t>24060125140141</t>
  </si>
  <si>
    <t>AKBAR MUHAMMAD AL GHIFARI</t>
  </si>
  <si>
    <t>24060125140148</t>
  </si>
  <si>
    <t>ROYYAN AZTA BIMA</t>
  </si>
  <si>
    <t>24060125140153</t>
  </si>
  <si>
    <t>MUHAMMAD SYAHDIRA RAFSYANJANI</t>
  </si>
  <si>
    <t>24060125140169</t>
  </si>
  <si>
    <t>ALIF MUSTAFA RAMADHAN (&lt; 75%)</t>
  </si>
  <si>
    <t>24060125140172</t>
  </si>
  <si>
    <t>NAILIS SAFITRI</t>
  </si>
  <si>
    <t>24060125140174</t>
  </si>
  <si>
    <t>MUHAMMAD LUTHFI RADITHYA</t>
  </si>
  <si>
    <t>24060125140187</t>
  </si>
  <si>
    <t>YORI WAHYUDI (&lt; 75%)</t>
  </si>
  <si>
    <t>24060125140190</t>
  </si>
  <si>
    <t>RAFFADIAN NURAHMAN PRATAMA</t>
  </si>
  <si>
    <t>24060125140192</t>
  </si>
  <si>
    <t>AZZAHRA ANGIE AULIA</t>
  </si>
  <si>
    <t>24060125140198</t>
  </si>
  <si>
    <t>BINTANG ANGGARAKSA LINCAH NUGRAHA</t>
  </si>
  <si>
    <t>24060125140205</t>
  </si>
  <si>
    <t>MUHAMMAD AFHAM FADLAN</t>
  </si>
  <si>
    <t>24060125140207</t>
  </si>
  <si>
    <t>MUHAMMAD RAFI SUMOWIJOYO</t>
  </si>
  <si>
    <t>24060125140211</t>
  </si>
  <si>
    <t>MIKHAEL EGA NATHA MARDI PRATAMA</t>
  </si>
  <si>
    <t>24060125140219</t>
  </si>
  <si>
    <t>MUHAMMAD FADHIL AL FARUQ</t>
  </si>
  <si>
    <t>24060125140220</t>
  </si>
  <si>
    <t>MUHAMMAD HANIF AL-FARISI</t>
  </si>
  <si>
    <t>24060125140224</t>
  </si>
  <si>
    <t>HAFIZ FATHULLAH RAMADHAN</t>
  </si>
  <si>
    <t>24060125140226</t>
  </si>
  <si>
    <t>RASHIN HANIF</t>
  </si>
  <si>
    <t>24060125140228</t>
  </si>
  <si>
    <t>MUHAMAD ISMAIL</t>
  </si>
  <si>
    <t>24060125140232</t>
  </si>
  <si>
    <t>RAFLY IHSAN NURKHOLIS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</si>
</sst>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vertical="top"/>
    </xf>
    <xf numFmtId="2" fontId="0" fillId="0" borderId="0" xfId="0" applyNumberFormat="1" applyFill="1" applyProtection="1">
      <protection locked="0"/>
    </xf>
    <xf numFmtId="2" fontId="2" fillId="0" borderId="0" xfId="0" applyNumberFormat="1" applyFont="1" applyFill="1" applyProtection="1">
      <protection locked="0"/>
    </xf>
    <xf numFmtId="2" fontId="0" fillId="0" borderId="0" xfId="0" applyNumberFormat="1" applyFill="1"/>
    <xf numFmtId="2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A7" sqref="A7:XFD7"/>
    </sheetView>
  </sheetViews>
  <sheetFormatPr baseColWidth="10" defaultColWidth="8.83203125" defaultRowHeight="15" x14ac:dyDescent="0.2"/>
  <cols>
    <col min="1" max="1" width="17.5" bestFit="1" customWidth="1"/>
    <col min="2" max="2" width="58.83203125" bestFit="1" customWidth="1"/>
    <col min="3" max="3" width="10.5" bestFit="1" customWidth="1"/>
    <col min="4" max="4" width="5.83203125" bestFit="1" customWidth="1"/>
    <col min="5" max="5" width="36.33203125" bestFit="1" customWidth="1"/>
    <col min="6" max="6" width="30.1640625" bestFit="1" customWidth="1"/>
    <col min="7" max="7" width="25" bestFit="1" customWidth="1"/>
    <col min="8" max="8" width="24.1640625" bestFit="1" customWidth="1"/>
    <col min="9" max="9" width="23.6640625" bestFit="1" customWidth="1"/>
    <col min="10" max="10" width="31.6640625" bestFit="1" customWidth="1"/>
    <col min="11" max="11" width="37.6640625" bestFit="1" customWidth="1"/>
    <col min="12" max="12" width="35.33203125" bestFit="1" customWidth="1"/>
    <col min="13" max="13" width="21.16406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  <c r="I2" s="1" t="s">
        <v>4</v>
      </c>
    </row>
    <row r="3" spans="1:13" x14ac:dyDescent="0.2">
      <c r="A3" t="s">
        <v>5</v>
      </c>
      <c r="B3" t="s">
        <v>6</v>
      </c>
    </row>
    <row r="4" spans="1:13" x14ac:dyDescent="0.2">
      <c r="A4" t="s">
        <v>7</v>
      </c>
      <c r="B4" t="s">
        <v>8</v>
      </c>
    </row>
    <row r="5" spans="1:13" x14ac:dyDescent="0.2">
      <c r="A5" t="s">
        <v>9</v>
      </c>
      <c r="B5" t="s">
        <v>10</v>
      </c>
    </row>
    <row r="7" spans="1:13" x14ac:dyDescent="0.2">
      <c r="A7" s="2" t="s">
        <v>11</v>
      </c>
      <c r="B7" s="2" t="s">
        <v>12</v>
      </c>
      <c r="C7" s="2" t="s">
        <v>5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20</v>
      </c>
      <c r="L7" s="2" t="s">
        <v>21</v>
      </c>
      <c r="M7" s="2" t="s">
        <v>22</v>
      </c>
    </row>
    <row r="8" spans="1:13" x14ac:dyDescent="0.2">
      <c r="A8" s="2" t="s">
        <v>23</v>
      </c>
      <c r="B8" s="2" t="s">
        <v>24</v>
      </c>
      <c r="C8" s="2">
        <v>2</v>
      </c>
      <c r="D8" s="2" t="s">
        <v>25</v>
      </c>
      <c r="E8" s="3">
        <v>100</v>
      </c>
      <c r="F8" s="4">
        <v>81</v>
      </c>
      <c r="G8" s="4">
        <v>87</v>
      </c>
      <c r="H8" s="4">
        <v>90.48</v>
      </c>
      <c r="I8" s="4">
        <v>44</v>
      </c>
      <c r="J8" s="5">
        <v>80</v>
      </c>
      <c r="K8" s="6">
        <f t="shared" ref="K8:K47" si="0">ROUND( ((E8*10+F8*40+G8*10+H8*10+I8*15+J8*15) / 100), 2)</f>
        <v>78.75</v>
      </c>
      <c r="L8" s="6" t="str">
        <f t="shared" ref="L8:L47" si="1"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B</v>
      </c>
      <c r="M8" s="2" t="str">
        <f t="shared" ref="M8:M47" si="2"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3</v>
      </c>
    </row>
    <row r="9" spans="1:13" x14ac:dyDescent="0.2">
      <c r="A9" s="2" t="s">
        <v>26</v>
      </c>
      <c r="B9" s="2" t="s">
        <v>27</v>
      </c>
      <c r="C9" s="2">
        <v>2</v>
      </c>
      <c r="D9" s="2" t="s">
        <v>25</v>
      </c>
      <c r="E9" s="3">
        <v>100</v>
      </c>
      <c r="F9" s="4">
        <v>86</v>
      </c>
      <c r="G9" s="4">
        <v>88</v>
      </c>
      <c r="H9" s="4">
        <v>92.86</v>
      </c>
      <c r="I9" s="4">
        <v>53</v>
      </c>
      <c r="J9" s="5">
        <v>85</v>
      </c>
      <c r="K9" s="6">
        <f t="shared" si="0"/>
        <v>83.19</v>
      </c>
      <c r="L9" s="6" t="str">
        <f t="shared" si="1"/>
        <v>AB</v>
      </c>
      <c r="M9" s="2" t="str">
        <f t="shared" si="2"/>
        <v>3.5</v>
      </c>
    </row>
    <row r="10" spans="1:13" x14ac:dyDescent="0.2">
      <c r="A10" s="2" t="s">
        <v>28</v>
      </c>
      <c r="B10" s="2" t="s">
        <v>29</v>
      </c>
      <c r="C10" s="2">
        <v>2</v>
      </c>
      <c r="D10" s="2" t="s">
        <v>25</v>
      </c>
      <c r="E10" s="3">
        <v>100</v>
      </c>
      <c r="F10" s="4">
        <v>85</v>
      </c>
      <c r="G10" s="4">
        <v>86</v>
      </c>
      <c r="H10" s="4">
        <v>92.86</v>
      </c>
      <c r="I10" s="4">
        <v>53</v>
      </c>
      <c r="J10" s="5">
        <v>75</v>
      </c>
      <c r="K10" s="6">
        <f t="shared" si="0"/>
        <v>81.09</v>
      </c>
      <c r="L10" s="6" t="str">
        <f t="shared" si="1"/>
        <v>AB</v>
      </c>
      <c r="M10" s="2" t="str">
        <f t="shared" si="2"/>
        <v>3.5</v>
      </c>
    </row>
    <row r="11" spans="1:13" x14ac:dyDescent="0.2">
      <c r="A11" s="2" t="s">
        <v>30</v>
      </c>
      <c r="B11" s="2" t="s">
        <v>31</v>
      </c>
      <c r="C11" s="2">
        <v>2</v>
      </c>
      <c r="D11" s="2" t="s">
        <v>25</v>
      </c>
      <c r="E11" s="3">
        <v>92.86</v>
      </c>
      <c r="F11" s="4">
        <v>86</v>
      </c>
      <c r="G11" s="4">
        <v>89</v>
      </c>
      <c r="H11" s="4">
        <v>95.24</v>
      </c>
      <c r="I11" s="4">
        <v>58</v>
      </c>
      <c r="J11" s="5">
        <v>80</v>
      </c>
      <c r="K11" s="6">
        <f t="shared" si="0"/>
        <v>82.81</v>
      </c>
      <c r="L11" s="6" t="str">
        <f t="shared" si="1"/>
        <v>AB</v>
      </c>
      <c r="M11" s="2" t="str">
        <f t="shared" si="2"/>
        <v>3.5</v>
      </c>
    </row>
    <row r="12" spans="1:13" x14ac:dyDescent="0.2">
      <c r="A12" s="2" t="s">
        <v>32</v>
      </c>
      <c r="B12" s="2" t="s">
        <v>33</v>
      </c>
      <c r="C12" s="2">
        <v>2</v>
      </c>
      <c r="D12" s="2" t="s">
        <v>25</v>
      </c>
      <c r="E12" s="3">
        <v>92.86</v>
      </c>
      <c r="F12" s="4">
        <v>81</v>
      </c>
      <c r="G12" s="4">
        <v>86</v>
      </c>
      <c r="H12" s="4">
        <v>92.86</v>
      </c>
      <c r="I12" s="4">
        <v>56</v>
      </c>
      <c r="J12" s="5">
        <v>60</v>
      </c>
      <c r="K12" s="6">
        <f t="shared" si="0"/>
        <v>76.97</v>
      </c>
      <c r="L12" s="6" t="str">
        <f t="shared" si="1"/>
        <v>B</v>
      </c>
      <c r="M12" s="2" t="str">
        <f t="shared" si="2"/>
        <v>3</v>
      </c>
    </row>
    <row r="13" spans="1:13" x14ac:dyDescent="0.2">
      <c r="A13" s="2" t="s">
        <v>34</v>
      </c>
      <c r="B13" s="2" t="s">
        <v>35</v>
      </c>
      <c r="C13" s="2">
        <v>2</v>
      </c>
      <c r="D13" s="2" t="s">
        <v>25</v>
      </c>
      <c r="E13" s="3">
        <v>100</v>
      </c>
      <c r="F13" s="4">
        <v>81</v>
      </c>
      <c r="G13" s="4">
        <v>89</v>
      </c>
      <c r="H13" s="4">
        <v>92.86</v>
      </c>
      <c r="I13" s="4">
        <v>44</v>
      </c>
      <c r="J13" s="5">
        <v>85</v>
      </c>
      <c r="K13" s="6">
        <f t="shared" si="0"/>
        <v>79.94</v>
      </c>
      <c r="L13" s="6" t="str">
        <f t="shared" si="1"/>
        <v>B</v>
      </c>
      <c r="M13" s="2" t="str">
        <f t="shared" si="2"/>
        <v>3</v>
      </c>
    </row>
    <row r="14" spans="1:13" x14ac:dyDescent="0.2">
      <c r="A14" s="2" t="s">
        <v>36</v>
      </c>
      <c r="B14" s="2" t="s">
        <v>37</v>
      </c>
      <c r="C14" s="2">
        <v>2</v>
      </c>
      <c r="D14" s="2" t="s">
        <v>25</v>
      </c>
      <c r="E14" s="3">
        <v>100</v>
      </c>
      <c r="F14" s="4">
        <v>87</v>
      </c>
      <c r="G14" s="4">
        <v>87</v>
      </c>
      <c r="H14" s="4">
        <v>95.24</v>
      </c>
      <c r="I14" s="4">
        <v>50</v>
      </c>
      <c r="J14" s="5">
        <v>90</v>
      </c>
      <c r="K14" s="6">
        <f t="shared" si="0"/>
        <v>84.02</v>
      </c>
      <c r="L14" s="6" t="str">
        <f t="shared" si="1"/>
        <v>AB</v>
      </c>
      <c r="M14" s="2" t="str">
        <f t="shared" si="2"/>
        <v>3.5</v>
      </c>
    </row>
    <row r="15" spans="1:13" x14ac:dyDescent="0.2">
      <c r="A15" s="2" t="s">
        <v>38</v>
      </c>
      <c r="B15" s="2" t="s">
        <v>39</v>
      </c>
      <c r="C15" s="2">
        <v>2</v>
      </c>
      <c r="D15" s="2" t="s">
        <v>25</v>
      </c>
      <c r="E15" s="3">
        <v>100</v>
      </c>
      <c r="F15" s="4">
        <v>81</v>
      </c>
      <c r="G15" s="4">
        <v>89</v>
      </c>
      <c r="H15" s="4">
        <v>92.86</v>
      </c>
      <c r="I15" s="4">
        <v>38</v>
      </c>
      <c r="J15" s="5">
        <v>75</v>
      </c>
      <c r="K15" s="6">
        <f t="shared" si="0"/>
        <v>77.540000000000006</v>
      </c>
      <c r="L15" s="6" t="str">
        <f t="shared" si="1"/>
        <v>B</v>
      </c>
      <c r="M15" s="2" t="str">
        <f t="shared" si="2"/>
        <v>3</v>
      </c>
    </row>
    <row r="16" spans="1:13" x14ac:dyDescent="0.2">
      <c r="A16" s="2" t="s">
        <v>40</v>
      </c>
      <c r="B16" s="2" t="s">
        <v>41</v>
      </c>
      <c r="C16" s="2">
        <v>2</v>
      </c>
      <c r="D16" s="2" t="s">
        <v>25</v>
      </c>
      <c r="E16" s="3">
        <v>85.71</v>
      </c>
      <c r="F16" s="4">
        <v>82</v>
      </c>
      <c r="G16" s="4">
        <v>87</v>
      </c>
      <c r="H16" s="4">
        <v>85.71</v>
      </c>
      <c r="I16" s="4">
        <v>57</v>
      </c>
      <c r="J16" s="5">
        <v>55</v>
      </c>
      <c r="K16" s="6">
        <f t="shared" si="0"/>
        <v>75.44</v>
      </c>
      <c r="L16" s="6" t="str">
        <f t="shared" si="1"/>
        <v>B</v>
      </c>
      <c r="M16" s="2" t="str">
        <f t="shared" si="2"/>
        <v>3</v>
      </c>
    </row>
    <row r="17" spans="1:13" x14ac:dyDescent="0.2">
      <c r="A17" s="2" t="s">
        <v>42</v>
      </c>
      <c r="B17" s="2" t="s">
        <v>43</v>
      </c>
      <c r="C17" s="2">
        <v>2</v>
      </c>
      <c r="D17" s="2" t="s">
        <v>25</v>
      </c>
      <c r="E17" s="3">
        <v>92.86</v>
      </c>
      <c r="F17" s="4">
        <v>86</v>
      </c>
      <c r="G17" s="4">
        <v>85</v>
      </c>
      <c r="H17" s="4">
        <v>92.86</v>
      </c>
      <c r="I17" s="4">
        <v>37</v>
      </c>
      <c r="J17" s="5">
        <v>50</v>
      </c>
      <c r="K17" s="6">
        <f t="shared" si="0"/>
        <v>74.52</v>
      </c>
      <c r="L17" s="6" t="str">
        <f t="shared" si="1"/>
        <v>BC</v>
      </c>
      <c r="M17" s="2" t="str">
        <f t="shared" si="2"/>
        <v>2.5</v>
      </c>
    </row>
    <row r="18" spans="1:13" x14ac:dyDescent="0.2">
      <c r="A18" s="2" t="s">
        <v>44</v>
      </c>
      <c r="B18" s="2" t="s">
        <v>45</v>
      </c>
      <c r="C18" s="2">
        <v>2</v>
      </c>
      <c r="D18" s="2" t="s">
        <v>25</v>
      </c>
      <c r="E18" s="3">
        <v>78.569999999999993</v>
      </c>
      <c r="F18" s="4">
        <v>86</v>
      </c>
      <c r="G18" s="4">
        <v>85</v>
      </c>
      <c r="H18" s="4">
        <v>85.71</v>
      </c>
      <c r="I18" s="4">
        <v>44</v>
      </c>
      <c r="J18" s="5">
        <v>65</v>
      </c>
      <c r="K18" s="6">
        <f t="shared" si="0"/>
        <v>75.680000000000007</v>
      </c>
      <c r="L18" s="6" t="str">
        <f t="shared" si="1"/>
        <v>B</v>
      </c>
      <c r="M18" s="2" t="str">
        <f t="shared" si="2"/>
        <v>3</v>
      </c>
    </row>
    <row r="19" spans="1:13" x14ac:dyDescent="0.2">
      <c r="A19" s="2" t="s">
        <v>46</v>
      </c>
      <c r="B19" s="2" t="s">
        <v>47</v>
      </c>
      <c r="C19" s="2">
        <v>2</v>
      </c>
      <c r="D19" s="2" t="s">
        <v>25</v>
      </c>
      <c r="E19" s="3">
        <v>85.71</v>
      </c>
      <c r="F19" s="4">
        <v>85</v>
      </c>
      <c r="G19" s="4">
        <v>86</v>
      </c>
      <c r="H19" s="4">
        <v>50</v>
      </c>
      <c r="I19" s="4">
        <v>22</v>
      </c>
      <c r="J19" s="5">
        <v>65</v>
      </c>
      <c r="K19" s="6">
        <f t="shared" si="0"/>
        <v>69.22</v>
      </c>
      <c r="L19" s="6" t="str">
        <f t="shared" si="1"/>
        <v>C</v>
      </c>
      <c r="M19" s="2" t="str">
        <f t="shared" si="2"/>
        <v>2</v>
      </c>
    </row>
    <row r="20" spans="1:13" x14ac:dyDescent="0.2">
      <c r="A20" s="2" t="s">
        <v>48</v>
      </c>
      <c r="B20" s="2" t="s">
        <v>49</v>
      </c>
      <c r="C20" s="2">
        <v>2</v>
      </c>
      <c r="D20" s="2" t="s">
        <v>25</v>
      </c>
      <c r="E20" s="3">
        <v>100</v>
      </c>
      <c r="F20" s="4">
        <v>85</v>
      </c>
      <c r="G20" s="4">
        <v>89</v>
      </c>
      <c r="H20" s="4">
        <v>97.62</v>
      </c>
      <c r="I20" s="4">
        <v>50</v>
      </c>
      <c r="J20" s="5">
        <v>55</v>
      </c>
      <c r="K20" s="6">
        <f t="shared" si="0"/>
        <v>78.41</v>
      </c>
      <c r="L20" s="6" t="str">
        <f t="shared" si="1"/>
        <v>B</v>
      </c>
      <c r="M20" s="2" t="str">
        <f t="shared" si="2"/>
        <v>3</v>
      </c>
    </row>
    <row r="21" spans="1:13" x14ac:dyDescent="0.2">
      <c r="A21" s="2" t="s">
        <v>50</v>
      </c>
      <c r="B21" s="2" t="s">
        <v>51</v>
      </c>
      <c r="C21" s="2">
        <v>2</v>
      </c>
      <c r="D21" s="2" t="s">
        <v>25</v>
      </c>
      <c r="E21" s="3">
        <v>100</v>
      </c>
      <c r="F21" s="4">
        <v>87</v>
      </c>
      <c r="G21" s="4">
        <v>86</v>
      </c>
      <c r="H21" s="4">
        <v>85.71</v>
      </c>
      <c r="I21" s="4">
        <v>23</v>
      </c>
      <c r="J21" s="5">
        <v>70</v>
      </c>
      <c r="K21" s="6">
        <f t="shared" si="0"/>
        <v>75.92</v>
      </c>
      <c r="L21" s="6" t="str">
        <f t="shared" si="1"/>
        <v>B</v>
      </c>
      <c r="M21" s="2" t="str">
        <f t="shared" si="2"/>
        <v>3</v>
      </c>
    </row>
    <row r="22" spans="1:13" x14ac:dyDescent="0.2">
      <c r="A22" s="2" t="s">
        <v>52</v>
      </c>
      <c r="B22" s="2" t="s">
        <v>53</v>
      </c>
      <c r="C22" s="2">
        <v>2</v>
      </c>
      <c r="D22" s="2" t="s">
        <v>25</v>
      </c>
      <c r="E22" s="3">
        <v>100</v>
      </c>
      <c r="F22" s="4">
        <v>85</v>
      </c>
      <c r="G22" s="4">
        <v>87</v>
      </c>
      <c r="H22" s="4">
        <v>92.86</v>
      </c>
      <c r="I22" s="4">
        <v>56</v>
      </c>
      <c r="J22" s="5">
        <v>60</v>
      </c>
      <c r="K22" s="6">
        <f t="shared" si="0"/>
        <v>79.39</v>
      </c>
      <c r="L22" s="6" t="str">
        <f t="shared" si="1"/>
        <v>B</v>
      </c>
      <c r="M22" s="2" t="str">
        <f t="shared" si="2"/>
        <v>3</v>
      </c>
    </row>
    <row r="23" spans="1:13" x14ac:dyDescent="0.2">
      <c r="A23" s="2" t="s">
        <v>54</v>
      </c>
      <c r="B23" s="2" t="s">
        <v>55</v>
      </c>
      <c r="C23" s="2">
        <v>2</v>
      </c>
      <c r="D23" s="2" t="s">
        <v>25</v>
      </c>
      <c r="E23" s="3">
        <v>85.71</v>
      </c>
      <c r="F23" s="4">
        <v>85</v>
      </c>
      <c r="G23" s="4">
        <v>89</v>
      </c>
      <c r="H23" s="4">
        <v>88.1</v>
      </c>
      <c r="I23" s="4">
        <v>44</v>
      </c>
      <c r="J23" s="5">
        <v>75</v>
      </c>
      <c r="K23" s="6">
        <f t="shared" si="0"/>
        <v>78.13</v>
      </c>
      <c r="L23" s="6" t="str">
        <f t="shared" si="1"/>
        <v>B</v>
      </c>
      <c r="M23" s="2" t="str">
        <f t="shared" si="2"/>
        <v>3</v>
      </c>
    </row>
    <row r="24" spans="1:13" x14ac:dyDescent="0.2">
      <c r="A24" s="2" t="s">
        <v>56</v>
      </c>
      <c r="B24" s="2" t="s">
        <v>57</v>
      </c>
      <c r="C24" s="2">
        <v>2</v>
      </c>
      <c r="D24" s="2" t="s">
        <v>25</v>
      </c>
      <c r="E24" s="3">
        <v>92.86</v>
      </c>
      <c r="F24" s="4">
        <v>86</v>
      </c>
      <c r="G24" s="4">
        <v>87</v>
      </c>
      <c r="H24" s="4">
        <v>70</v>
      </c>
      <c r="I24" s="4">
        <v>45</v>
      </c>
      <c r="J24" s="5">
        <v>75</v>
      </c>
      <c r="K24" s="6">
        <f t="shared" si="0"/>
        <v>77.39</v>
      </c>
      <c r="L24" s="6" t="str">
        <f t="shared" si="1"/>
        <v>B</v>
      </c>
      <c r="M24" s="2" t="str">
        <f t="shared" si="2"/>
        <v>3</v>
      </c>
    </row>
    <row r="25" spans="1:13" x14ac:dyDescent="0.2">
      <c r="A25" s="2" t="s">
        <v>58</v>
      </c>
      <c r="B25" s="2" t="s">
        <v>59</v>
      </c>
      <c r="C25" s="2">
        <v>2</v>
      </c>
      <c r="D25" s="2" t="s">
        <v>25</v>
      </c>
      <c r="E25" s="3">
        <v>100</v>
      </c>
      <c r="F25" s="4">
        <v>82</v>
      </c>
      <c r="G25" s="4">
        <v>86</v>
      </c>
      <c r="H25" s="4">
        <v>92.86</v>
      </c>
      <c r="I25" s="4">
        <v>37</v>
      </c>
      <c r="J25" s="5">
        <v>75</v>
      </c>
      <c r="K25" s="6">
        <f t="shared" si="0"/>
        <v>77.489999999999995</v>
      </c>
      <c r="L25" s="6" t="str">
        <f t="shared" si="1"/>
        <v>B</v>
      </c>
      <c r="M25" s="2" t="str">
        <f t="shared" si="2"/>
        <v>3</v>
      </c>
    </row>
    <row r="26" spans="1:13" x14ac:dyDescent="0.2">
      <c r="A26" s="2" t="s">
        <v>60</v>
      </c>
      <c r="B26" s="2" t="s">
        <v>61</v>
      </c>
      <c r="C26" s="2">
        <v>2</v>
      </c>
      <c r="D26" s="2" t="s">
        <v>25</v>
      </c>
      <c r="E26" s="3">
        <v>28.57</v>
      </c>
      <c r="F26" s="4">
        <v>86</v>
      </c>
      <c r="G26" s="4">
        <v>88</v>
      </c>
      <c r="H26" s="4">
        <v>40</v>
      </c>
      <c r="I26" s="4">
        <v>0</v>
      </c>
      <c r="J26" s="7"/>
      <c r="K26" s="6">
        <f t="shared" si="0"/>
        <v>50.06</v>
      </c>
      <c r="L26" s="6" t="str">
        <f t="shared" si="1"/>
        <v>D</v>
      </c>
      <c r="M26" s="2" t="str">
        <f t="shared" si="2"/>
        <v>1</v>
      </c>
    </row>
    <row r="27" spans="1:13" x14ac:dyDescent="0.2">
      <c r="A27" s="2" t="s">
        <v>62</v>
      </c>
      <c r="B27" s="2" t="s">
        <v>63</v>
      </c>
      <c r="C27" s="2">
        <v>2</v>
      </c>
      <c r="D27" s="2" t="s">
        <v>25</v>
      </c>
      <c r="E27" s="3">
        <v>92.86</v>
      </c>
      <c r="F27" s="4">
        <v>86</v>
      </c>
      <c r="G27" s="4">
        <v>85</v>
      </c>
      <c r="H27" s="4">
        <v>50</v>
      </c>
      <c r="I27" s="4">
        <v>21</v>
      </c>
      <c r="J27" s="5">
        <v>30</v>
      </c>
      <c r="K27" s="6">
        <f t="shared" si="0"/>
        <v>64.84</v>
      </c>
      <c r="L27" s="6" t="str">
        <f t="shared" si="1"/>
        <v>C</v>
      </c>
      <c r="M27" s="2" t="str">
        <f t="shared" si="2"/>
        <v>2</v>
      </c>
    </row>
    <row r="28" spans="1:13" x14ac:dyDescent="0.2">
      <c r="A28" s="2" t="s">
        <v>64</v>
      </c>
      <c r="B28" s="2" t="s">
        <v>65</v>
      </c>
      <c r="C28" s="2">
        <v>2</v>
      </c>
      <c r="D28" s="2" t="s">
        <v>25</v>
      </c>
      <c r="E28" s="3">
        <v>85.71</v>
      </c>
      <c r="F28" s="4">
        <v>82</v>
      </c>
      <c r="G28" s="4">
        <v>86</v>
      </c>
      <c r="H28" s="4">
        <v>92.86</v>
      </c>
      <c r="I28" s="4">
        <v>41</v>
      </c>
      <c r="J28" s="5">
        <v>50</v>
      </c>
      <c r="K28" s="6">
        <f t="shared" si="0"/>
        <v>72.91</v>
      </c>
      <c r="L28" s="6" t="str">
        <f t="shared" si="1"/>
        <v>BC</v>
      </c>
      <c r="M28" s="2" t="str">
        <f t="shared" si="2"/>
        <v>2.5</v>
      </c>
    </row>
    <row r="29" spans="1:13" x14ac:dyDescent="0.2">
      <c r="A29" s="2" t="s">
        <v>66</v>
      </c>
      <c r="B29" s="2" t="s">
        <v>67</v>
      </c>
      <c r="C29" s="2">
        <v>2</v>
      </c>
      <c r="D29" s="2" t="s">
        <v>25</v>
      </c>
      <c r="E29" s="3">
        <v>85.71</v>
      </c>
      <c r="F29" s="4">
        <v>85</v>
      </c>
      <c r="G29" s="4">
        <v>86</v>
      </c>
      <c r="H29" s="4">
        <v>80.95</v>
      </c>
      <c r="I29" s="4">
        <v>18</v>
      </c>
      <c r="J29" s="5"/>
      <c r="K29" s="6">
        <f t="shared" si="0"/>
        <v>61.97</v>
      </c>
      <c r="L29" s="6" t="str">
        <f t="shared" si="1"/>
        <v>C</v>
      </c>
      <c r="M29" s="2" t="str">
        <f t="shared" si="2"/>
        <v>2</v>
      </c>
    </row>
    <row r="30" spans="1:13" x14ac:dyDescent="0.2">
      <c r="A30" s="2" t="s">
        <v>68</v>
      </c>
      <c r="B30" s="2" t="s">
        <v>69</v>
      </c>
      <c r="C30" s="2">
        <v>2</v>
      </c>
      <c r="D30" s="2" t="s">
        <v>25</v>
      </c>
      <c r="E30" s="3">
        <v>100</v>
      </c>
      <c r="F30" s="4">
        <v>85</v>
      </c>
      <c r="G30" s="4">
        <v>88</v>
      </c>
      <c r="H30" s="4">
        <v>92.86</v>
      </c>
      <c r="I30" s="4">
        <v>42</v>
      </c>
      <c r="J30" s="5">
        <v>80</v>
      </c>
      <c r="K30" s="6">
        <f t="shared" si="0"/>
        <v>80.39</v>
      </c>
      <c r="L30" s="6" t="str">
        <f t="shared" si="1"/>
        <v>AB</v>
      </c>
      <c r="M30" s="2" t="str">
        <f t="shared" si="2"/>
        <v>3.5</v>
      </c>
    </row>
    <row r="31" spans="1:13" x14ac:dyDescent="0.2">
      <c r="A31" s="2" t="s">
        <v>70</v>
      </c>
      <c r="B31" s="2" t="s">
        <v>71</v>
      </c>
      <c r="C31" s="2">
        <v>2</v>
      </c>
      <c r="D31" s="2" t="s">
        <v>25</v>
      </c>
      <c r="E31" s="3">
        <v>85.71</v>
      </c>
      <c r="F31" s="4">
        <v>86</v>
      </c>
      <c r="G31" s="4">
        <v>86</v>
      </c>
      <c r="H31" s="4">
        <v>50</v>
      </c>
      <c r="I31" s="4">
        <v>51</v>
      </c>
      <c r="J31" s="5">
        <v>65</v>
      </c>
      <c r="K31" s="6">
        <f t="shared" si="0"/>
        <v>73.97</v>
      </c>
      <c r="L31" s="6" t="str">
        <f t="shared" si="1"/>
        <v>BC</v>
      </c>
      <c r="M31" s="2" t="str">
        <f t="shared" si="2"/>
        <v>2.5</v>
      </c>
    </row>
    <row r="32" spans="1:13" x14ac:dyDescent="0.2">
      <c r="A32" s="2" t="s">
        <v>72</v>
      </c>
      <c r="B32" s="2" t="s">
        <v>73</v>
      </c>
      <c r="C32" s="2">
        <v>2</v>
      </c>
      <c r="D32" s="2" t="s">
        <v>25</v>
      </c>
      <c r="E32" s="3">
        <v>50</v>
      </c>
      <c r="F32" s="4">
        <v>82</v>
      </c>
      <c r="G32" s="4">
        <v>88</v>
      </c>
      <c r="H32" s="4">
        <v>40</v>
      </c>
      <c r="I32" s="4">
        <v>32</v>
      </c>
      <c r="J32" s="7"/>
      <c r="K32" s="6">
        <f t="shared" si="0"/>
        <v>55.4</v>
      </c>
      <c r="L32" s="6" t="str">
        <f t="shared" si="1"/>
        <v>D</v>
      </c>
      <c r="M32" s="2" t="str">
        <f t="shared" si="2"/>
        <v>1</v>
      </c>
    </row>
    <row r="33" spans="1:13" x14ac:dyDescent="0.2">
      <c r="A33" s="2" t="s">
        <v>74</v>
      </c>
      <c r="B33" s="2" t="s">
        <v>75</v>
      </c>
      <c r="C33" s="2">
        <v>2</v>
      </c>
      <c r="D33" s="2" t="s">
        <v>25</v>
      </c>
      <c r="E33" s="3">
        <v>92.86</v>
      </c>
      <c r="F33" s="4">
        <v>86</v>
      </c>
      <c r="G33" s="4">
        <v>85</v>
      </c>
      <c r="H33" s="4">
        <v>92.86</v>
      </c>
      <c r="I33" s="4">
        <v>30</v>
      </c>
      <c r="J33" s="5">
        <v>55</v>
      </c>
      <c r="K33" s="6">
        <f t="shared" si="0"/>
        <v>74.22</v>
      </c>
      <c r="L33" s="6" t="str">
        <f t="shared" si="1"/>
        <v>BC</v>
      </c>
      <c r="M33" s="2" t="str">
        <f t="shared" si="2"/>
        <v>2.5</v>
      </c>
    </row>
    <row r="34" spans="1:13" x14ac:dyDescent="0.2">
      <c r="A34" s="2" t="s">
        <v>76</v>
      </c>
      <c r="B34" s="2" t="s">
        <v>77</v>
      </c>
      <c r="C34" s="2">
        <v>2</v>
      </c>
      <c r="D34" s="2" t="s">
        <v>25</v>
      </c>
      <c r="E34" s="3">
        <v>85.71</v>
      </c>
      <c r="F34" s="4">
        <v>86</v>
      </c>
      <c r="G34" s="4">
        <v>88</v>
      </c>
      <c r="H34" s="4">
        <v>90.48</v>
      </c>
      <c r="I34" s="4">
        <v>23</v>
      </c>
      <c r="J34" s="5">
        <v>65</v>
      </c>
      <c r="K34" s="6">
        <f t="shared" si="0"/>
        <v>74.02</v>
      </c>
      <c r="L34" s="6" t="str">
        <f t="shared" si="1"/>
        <v>BC</v>
      </c>
      <c r="M34" s="2" t="str">
        <f t="shared" si="2"/>
        <v>2.5</v>
      </c>
    </row>
    <row r="35" spans="1:13" x14ac:dyDescent="0.2">
      <c r="A35" s="2" t="s">
        <v>78</v>
      </c>
      <c r="B35" s="2" t="s">
        <v>79</v>
      </c>
      <c r="C35" s="2">
        <v>2</v>
      </c>
      <c r="D35" s="2" t="s">
        <v>25</v>
      </c>
      <c r="E35" s="3">
        <v>28.57</v>
      </c>
      <c r="F35" s="4">
        <v>81</v>
      </c>
      <c r="G35" s="4">
        <v>89</v>
      </c>
      <c r="H35" s="4">
        <v>40</v>
      </c>
      <c r="I35" s="4">
        <v>0</v>
      </c>
      <c r="J35" s="7"/>
      <c r="K35" s="6">
        <f t="shared" si="0"/>
        <v>48.16</v>
      </c>
      <c r="L35" s="6" t="str">
        <f t="shared" si="1"/>
        <v>D</v>
      </c>
      <c r="M35" s="2" t="str">
        <f t="shared" si="2"/>
        <v>1</v>
      </c>
    </row>
    <row r="36" spans="1:13" x14ac:dyDescent="0.2">
      <c r="A36" s="2" t="s">
        <v>80</v>
      </c>
      <c r="B36" s="2" t="s">
        <v>81</v>
      </c>
      <c r="C36" s="2">
        <v>2</v>
      </c>
      <c r="D36" s="2" t="s">
        <v>25</v>
      </c>
      <c r="E36" s="3">
        <v>92.86</v>
      </c>
      <c r="F36" s="4">
        <v>85</v>
      </c>
      <c r="G36" s="4">
        <v>88</v>
      </c>
      <c r="H36" s="4">
        <v>95.24</v>
      </c>
      <c r="I36" s="4">
        <v>45</v>
      </c>
      <c r="J36" s="5">
        <v>70</v>
      </c>
      <c r="K36" s="6">
        <f t="shared" si="0"/>
        <v>78.86</v>
      </c>
      <c r="L36" s="6" t="str">
        <f t="shared" si="1"/>
        <v>B</v>
      </c>
      <c r="M36" s="2" t="str">
        <f t="shared" si="2"/>
        <v>3</v>
      </c>
    </row>
    <row r="37" spans="1:13" x14ac:dyDescent="0.2">
      <c r="A37" s="2" t="s">
        <v>82</v>
      </c>
      <c r="B37" s="2" t="s">
        <v>83</v>
      </c>
      <c r="C37" s="2">
        <v>2</v>
      </c>
      <c r="D37" s="2" t="s">
        <v>25</v>
      </c>
      <c r="E37" s="3">
        <v>92.86</v>
      </c>
      <c r="F37" s="4">
        <v>86</v>
      </c>
      <c r="G37" s="4">
        <v>87</v>
      </c>
      <c r="H37" s="4">
        <v>95.24</v>
      </c>
      <c r="I37" s="4">
        <v>21</v>
      </c>
      <c r="J37" s="5">
        <v>70</v>
      </c>
      <c r="K37" s="6">
        <f t="shared" si="0"/>
        <v>75.56</v>
      </c>
      <c r="L37" s="6" t="str">
        <f t="shared" si="1"/>
        <v>B</v>
      </c>
      <c r="M37" s="2" t="str">
        <f t="shared" si="2"/>
        <v>3</v>
      </c>
    </row>
    <row r="38" spans="1:13" x14ac:dyDescent="0.2">
      <c r="A38" s="2" t="s">
        <v>84</v>
      </c>
      <c r="B38" s="2" t="s">
        <v>85</v>
      </c>
      <c r="C38" s="2">
        <v>2</v>
      </c>
      <c r="D38" s="2" t="s">
        <v>25</v>
      </c>
      <c r="E38" s="3">
        <v>78.569999999999993</v>
      </c>
      <c r="F38" s="4">
        <v>86</v>
      </c>
      <c r="G38" s="4">
        <v>87</v>
      </c>
      <c r="H38" s="4">
        <v>90.48</v>
      </c>
      <c r="I38" s="4">
        <v>28</v>
      </c>
      <c r="J38" s="5">
        <v>60</v>
      </c>
      <c r="K38" s="6">
        <f t="shared" si="0"/>
        <v>73.209999999999994</v>
      </c>
      <c r="L38" s="6" t="str">
        <f t="shared" si="1"/>
        <v>BC</v>
      </c>
      <c r="M38" s="2" t="str">
        <f t="shared" si="2"/>
        <v>2.5</v>
      </c>
    </row>
    <row r="39" spans="1:13" x14ac:dyDescent="0.2">
      <c r="A39" s="2" t="s">
        <v>86</v>
      </c>
      <c r="B39" s="2" t="s">
        <v>87</v>
      </c>
      <c r="C39" s="2">
        <v>2</v>
      </c>
      <c r="D39" s="2" t="s">
        <v>25</v>
      </c>
      <c r="E39" s="3">
        <v>100</v>
      </c>
      <c r="F39" s="4">
        <v>86</v>
      </c>
      <c r="G39" s="4">
        <v>87</v>
      </c>
      <c r="H39" s="4">
        <v>92.86</v>
      </c>
      <c r="I39" s="4">
        <v>32</v>
      </c>
      <c r="J39" s="5">
        <v>70</v>
      </c>
      <c r="K39" s="6">
        <f t="shared" si="0"/>
        <v>77.69</v>
      </c>
      <c r="L39" s="6" t="str">
        <f t="shared" si="1"/>
        <v>B</v>
      </c>
      <c r="M39" s="2" t="str">
        <f t="shared" si="2"/>
        <v>3</v>
      </c>
    </row>
    <row r="40" spans="1:13" x14ac:dyDescent="0.2">
      <c r="A40" s="2" t="s">
        <v>88</v>
      </c>
      <c r="B40" s="2" t="s">
        <v>89</v>
      </c>
      <c r="C40" s="2">
        <v>2</v>
      </c>
      <c r="D40" s="2" t="s">
        <v>25</v>
      </c>
      <c r="E40" s="3">
        <v>78.569999999999993</v>
      </c>
      <c r="F40" s="4">
        <v>82</v>
      </c>
      <c r="G40" s="4">
        <v>89</v>
      </c>
      <c r="H40" s="4">
        <v>92.86</v>
      </c>
      <c r="I40" s="4">
        <v>44</v>
      </c>
      <c r="J40" s="5">
        <v>33</v>
      </c>
      <c r="K40" s="6">
        <f t="shared" si="0"/>
        <v>70.39</v>
      </c>
      <c r="L40" s="6" t="str">
        <f t="shared" si="1"/>
        <v>BC</v>
      </c>
      <c r="M40" s="2" t="str">
        <f t="shared" si="2"/>
        <v>2.5</v>
      </c>
    </row>
    <row r="41" spans="1:13" x14ac:dyDescent="0.2">
      <c r="A41" s="2" t="s">
        <v>90</v>
      </c>
      <c r="B41" s="2" t="s">
        <v>91</v>
      </c>
      <c r="C41" s="2">
        <v>2</v>
      </c>
      <c r="D41" s="2" t="s">
        <v>25</v>
      </c>
      <c r="E41" s="3">
        <v>92.86</v>
      </c>
      <c r="F41" s="4">
        <v>86</v>
      </c>
      <c r="G41" s="4">
        <v>85</v>
      </c>
      <c r="H41" s="4">
        <v>95.24</v>
      </c>
      <c r="I41" s="4">
        <v>57</v>
      </c>
      <c r="J41" s="5">
        <v>80</v>
      </c>
      <c r="K41" s="6">
        <f t="shared" si="0"/>
        <v>82.26</v>
      </c>
      <c r="L41" s="6" t="str">
        <f t="shared" si="1"/>
        <v>AB</v>
      </c>
      <c r="M41" s="2" t="str">
        <f t="shared" si="2"/>
        <v>3.5</v>
      </c>
    </row>
    <row r="42" spans="1:13" x14ac:dyDescent="0.2">
      <c r="A42" s="2" t="s">
        <v>92</v>
      </c>
      <c r="B42" s="2" t="s">
        <v>93</v>
      </c>
      <c r="C42" s="2">
        <v>2</v>
      </c>
      <c r="D42" s="2" t="s">
        <v>25</v>
      </c>
      <c r="E42" s="3">
        <v>100</v>
      </c>
      <c r="F42" s="4">
        <v>87</v>
      </c>
      <c r="G42" s="4">
        <v>87</v>
      </c>
      <c r="H42" s="4">
        <v>88.1</v>
      </c>
      <c r="I42" s="4">
        <v>30</v>
      </c>
      <c r="J42" s="5">
        <v>85</v>
      </c>
      <c r="K42" s="6">
        <f t="shared" si="0"/>
        <v>79.56</v>
      </c>
      <c r="L42" s="6" t="str">
        <f t="shared" si="1"/>
        <v>B</v>
      </c>
      <c r="M42" s="2" t="str">
        <f t="shared" si="2"/>
        <v>3</v>
      </c>
    </row>
    <row r="43" spans="1:13" x14ac:dyDescent="0.2">
      <c r="A43" s="2" t="s">
        <v>94</v>
      </c>
      <c r="B43" s="2" t="s">
        <v>95</v>
      </c>
      <c r="C43" s="2">
        <v>2</v>
      </c>
      <c r="D43" s="2" t="s">
        <v>25</v>
      </c>
      <c r="E43" s="3">
        <v>85.71</v>
      </c>
      <c r="F43" s="4">
        <v>86</v>
      </c>
      <c r="G43" s="4">
        <v>87</v>
      </c>
      <c r="H43" s="4">
        <v>92.86</v>
      </c>
      <c r="I43" s="4">
        <v>38</v>
      </c>
      <c r="J43" s="5"/>
      <c r="K43" s="6">
        <f t="shared" si="0"/>
        <v>66.66</v>
      </c>
      <c r="L43" s="6" t="str">
        <f t="shared" si="1"/>
        <v>C</v>
      </c>
      <c r="M43" s="2" t="str">
        <f t="shared" si="2"/>
        <v>2</v>
      </c>
    </row>
    <row r="44" spans="1:13" x14ac:dyDescent="0.2">
      <c r="A44" s="2" t="s">
        <v>96</v>
      </c>
      <c r="B44" s="2" t="s">
        <v>97</v>
      </c>
      <c r="C44" s="2">
        <v>2</v>
      </c>
      <c r="D44" s="2" t="s">
        <v>25</v>
      </c>
      <c r="E44" s="3">
        <v>92.86</v>
      </c>
      <c r="F44" s="4">
        <v>85</v>
      </c>
      <c r="G44" s="4">
        <v>87</v>
      </c>
      <c r="H44" s="4">
        <v>92.86</v>
      </c>
      <c r="I44" s="4">
        <v>51</v>
      </c>
      <c r="J44" s="5">
        <v>10</v>
      </c>
      <c r="K44" s="6">
        <f t="shared" si="0"/>
        <v>70.42</v>
      </c>
      <c r="L44" s="6" t="str">
        <f t="shared" si="1"/>
        <v>BC</v>
      </c>
      <c r="M44" s="2" t="str">
        <f t="shared" si="2"/>
        <v>2.5</v>
      </c>
    </row>
    <row r="45" spans="1:13" x14ac:dyDescent="0.2">
      <c r="A45" s="2" t="s">
        <v>98</v>
      </c>
      <c r="B45" s="2" t="s">
        <v>99</v>
      </c>
      <c r="C45" s="2">
        <v>2</v>
      </c>
      <c r="D45" s="2" t="s">
        <v>25</v>
      </c>
      <c r="E45" s="3">
        <v>78.569999999999993</v>
      </c>
      <c r="F45" s="4">
        <v>87</v>
      </c>
      <c r="G45" s="4">
        <v>86</v>
      </c>
      <c r="H45" s="4">
        <v>92.86</v>
      </c>
      <c r="I45" s="4">
        <v>37</v>
      </c>
      <c r="J45" s="5">
        <v>37</v>
      </c>
      <c r="K45" s="6">
        <f t="shared" si="0"/>
        <v>71.64</v>
      </c>
      <c r="L45" s="6" t="str">
        <f t="shared" si="1"/>
        <v>BC</v>
      </c>
      <c r="M45" s="2" t="str">
        <f t="shared" si="2"/>
        <v>2.5</v>
      </c>
    </row>
    <row r="46" spans="1:13" x14ac:dyDescent="0.2">
      <c r="A46" s="2" t="s">
        <v>100</v>
      </c>
      <c r="B46" s="2" t="s">
        <v>101</v>
      </c>
      <c r="C46" s="2">
        <v>2</v>
      </c>
      <c r="D46" s="2" t="s">
        <v>25</v>
      </c>
      <c r="E46" s="3">
        <v>78.569999999999993</v>
      </c>
      <c r="F46" s="4">
        <v>86</v>
      </c>
      <c r="G46" s="4">
        <v>85</v>
      </c>
      <c r="H46" s="4">
        <v>88.1</v>
      </c>
      <c r="I46" s="4">
        <v>25</v>
      </c>
      <c r="J46" s="5">
        <v>65</v>
      </c>
      <c r="K46" s="6">
        <f t="shared" si="0"/>
        <v>73.069999999999993</v>
      </c>
      <c r="L46" s="6" t="str">
        <f t="shared" si="1"/>
        <v>BC</v>
      </c>
      <c r="M46" s="2" t="str">
        <f t="shared" si="2"/>
        <v>2.5</v>
      </c>
    </row>
    <row r="47" spans="1:13" x14ac:dyDescent="0.2">
      <c r="A47" s="2" t="s">
        <v>102</v>
      </c>
      <c r="B47" s="2" t="s">
        <v>103</v>
      </c>
      <c r="C47" s="2">
        <v>2</v>
      </c>
      <c r="D47" s="2" t="s">
        <v>25</v>
      </c>
      <c r="E47" s="3">
        <v>92.86</v>
      </c>
      <c r="F47" s="4">
        <v>86</v>
      </c>
      <c r="G47" s="4">
        <v>88</v>
      </c>
      <c r="H47" s="4">
        <v>88.1</v>
      </c>
      <c r="I47" s="4">
        <v>30</v>
      </c>
      <c r="J47" s="5">
        <v>60</v>
      </c>
      <c r="K47" s="6">
        <f t="shared" si="0"/>
        <v>74.8</v>
      </c>
      <c r="L47" s="6" t="str">
        <f t="shared" si="1"/>
        <v>BC</v>
      </c>
      <c r="M47" s="2" t="str">
        <f t="shared" si="2"/>
        <v>2.5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Henri Tantyoko</cp:lastModifiedBy>
  <dcterms:created xsi:type="dcterms:W3CDTF">2026-06-27T07:19:08Z</dcterms:created>
  <dcterms:modified xsi:type="dcterms:W3CDTF">2026-06-29T08:36:59Z</dcterms:modified>
  <cp:category>Test result file</cp:category>
</cp:coreProperties>
</file>