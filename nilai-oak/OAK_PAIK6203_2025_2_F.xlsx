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0" windowWidth="28800" windowHeight="18000" tabRatio="600" firstSheet="0" activeTab="1" autoFilterDateGrouping="1"/>
  </bookViews>
  <sheets>
    <sheet name="Worksheet" sheetId="1" state="visible" r:id="rId1"/>
    <sheet name="Sheet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rgb="FF000000"/>
      <sz val="11"/>
    </font>
    <font>
      <name val="Calibri"/>
      <family val="2"/>
      <color rgb="FFFFFFFF"/>
      <sz val="11"/>
    </font>
    <font>
      <name val="Calibri"/>
      <family val="2"/>
      <color rgb="FF000000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2" fontId="0" fillId="0" borderId="0" applyProtection="1" pivotButton="0" quotePrefix="0" xfId="0">
      <protection locked="0" hidden="0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7" sqref="A7:B11"/>
    </sheetView>
  </sheetViews>
  <sheetFormatPr baseColWidth="10" defaultColWidth="8.83203125" defaultRowHeight="15"/>
  <cols>
    <col width="17.5" bestFit="1" customWidth="1" min="1" max="1"/>
    <col width="56.5" bestFit="1" customWidth="1" min="2" max="2"/>
    <col width="10.5" bestFit="1" customWidth="1" min="3" max="3"/>
    <col width="11.6640625" bestFit="1" customWidth="1" min="4" max="4"/>
    <col width="57.6640625" bestFit="1" customWidth="1" min="5" max="5"/>
    <col width="45.83203125" bestFit="1" customWidth="1" min="6" max="6"/>
    <col width="37.6640625" bestFit="1" customWidth="1" min="7" max="7"/>
    <col width="36.5" bestFit="1" customWidth="1" min="8" max="8"/>
    <col width="35.33203125" bestFit="1" customWidth="1" min="9" max="9"/>
    <col width="31.6640625" bestFit="1" customWidth="1" min="10" max="10"/>
    <col width="37.6640625" bestFit="1" customWidth="1" min="11" max="11"/>
    <col width="35.33203125" bestFit="1" customWidth="1" min="12" max="12"/>
    <col width="21.1640625" bestFit="1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Mata Kuliah</t>
        </is>
      </c>
      <c r="B1" t="inlineStr">
        <is>
          <t>: PAIK6203 - Organisasi dan Arsitektur Komputer</t>
        </is>
      </c>
    </row>
    <row r="2">
      <c r="A2" t="inlineStr">
        <is>
          <t>Tahun Ajaran</t>
        </is>
      </c>
      <c r="B2" t="inlineStr">
        <is>
          <t>: 2025</t>
        </is>
      </c>
      <c r="I2" s="1" t="inlineStr">
        <is>
          <t>NDk4NzU0</t>
        </is>
      </c>
    </row>
    <row r="3">
      <c r="A3" t="inlineStr">
        <is>
          <t>Semester</t>
        </is>
      </c>
      <c r="B3" t="inlineStr">
        <is>
          <t>: Genap</t>
        </is>
      </c>
    </row>
    <row r="4">
      <c r="A4" t="inlineStr">
        <is>
          <t>Kelas</t>
        </is>
      </c>
      <c r="B4" t="inlineStr">
        <is>
          <t>: F</t>
        </is>
      </c>
    </row>
    <row r="5">
      <c r="A5" t="inlineStr">
        <is>
          <t>Prodi</t>
        </is>
      </c>
      <c r="B5" t="inlineStr">
        <is>
          <t>: S1-TEKNIK INFORMATIKA</t>
        </is>
      </c>
    </row>
    <row r="6"/>
    <row r="7">
      <c r="A7" t="inlineStr">
        <is>
          <t>NIM</t>
        </is>
      </c>
      <c r="B7" t="inlineStr">
        <is>
          <t>Nama Mahasiswa</t>
        </is>
      </c>
      <c r="C7" t="inlineStr">
        <is>
          <t>Semester</t>
        </is>
      </c>
      <c r="D7" t="inlineStr">
        <is>
          <t>Status</t>
        </is>
      </c>
      <c r="E7" t="inlineStr">
        <is>
          <t>Nilai Aktivitas Partisipatif (0,00-100,00) (10%)</t>
        </is>
      </c>
      <c r="F7" t="inlineStr">
        <is>
          <t>Nilai Hasil Proyek (0,00-100,00) (40%)</t>
        </is>
      </c>
      <c r="G7" t="inlineStr">
        <is>
          <t>Nilai Tugas (0,00-100,00) (10%)</t>
        </is>
      </c>
      <c r="H7" t="inlineStr">
        <is>
          <t>Nilai Quiz (0,00-100,00) (10%)</t>
        </is>
      </c>
      <c r="I7" t="inlineStr">
        <is>
          <t>Nilai UTS (0,00-100,00) (15%)</t>
        </is>
      </c>
      <c r="J7" t="inlineStr">
        <is>
          <t>Nilai UAS (0,00-100) (15%)</t>
        </is>
      </c>
      <c r="K7" t="inlineStr">
        <is>
          <t>Nilai Akhir Angka (0,00-100,00)</t>
        </is>
      </c>
      <c r="L7" t="inlineStr">
        <is>
          <t>Nilai Akhir Huruf (A/B/C/D/E)</t>
        </is>
      </c>
      <c r="M7" t="inlineStr">
        <is>
          <t>Nilai Bobot (0-4)</t>
        </is>
      </c>
      <c r="N7" s="5" t="inlineStr">
        <is>
          <t>Tugas 01 (Nilai 0-100)</t>
        </is>
      </c>
      <c r="O7" s="5" t="inlineStr">
        <is>
          <t>Tugas 02 (Nilai 0-100)</t>
        </is>
      </c>
      <c r="P7" s="5" t="inlineStr">
        <is>
          <t>Quiz (Nilai 0-100)</t>
        </is>
      </c>
    </row>
    <row r="8">
      <c r="A8" t="inlineStr">
        <is>
          <t>24060123140149</t>
        </is>
      </c>
      <c r="B8" t="inlineStr">
        <is>
          <t>KHALISA NADYA HAKIM</t>
        </is>
      </c>
      <c r="C8" t="n">
        <v>6</v>
      </c>
      <c r="D8" t="inlineStr">
        <is>
          <t>PERBAIKAN</t>
        </is>
      </c>
      <c r="E8" s="3" t="n"/>
      <c r="F8" s="3" t="n"/>
      <c r="G8" s="3" t="n">
        <v>50.4</v>
      </c>
      <c r="H8" s="3" t="n">
        <v>91.72</v>
      </c>
      <c r="I8" s="3" t="n">
        <v>78</v>
      </c>
      <c r="J8" s="3" t="n"/>
      <c r="K8" s="2">
        <f>ROUND( ((E8*10+F8*40+G8*10+H8*10+I8*15+J8*15) / 100), 2)</f>
        <v/>
      </c>
      <c r="L8" s="2">
        <f>IF(AND(K8&gt;=80, K8&lt;=100), "A", IF(AND(K8&gt;=70, K8&lt;=79.99999999999), "B", IF(AND(K8&gt;=60, K8&lt;=69.9999999999), "C", IF(AND(K8&gt;=51, K8&lt;=59.999999999), "D", IF(AND(K8&gt;=0, K8&lt;=50.999999999), "E",  "E"  )  )  )  )  )</f>
        <v/>
      </c>
      <c r="M8">
        <f>IF(AND(K8&gt;=80, K8&lt;=100), "4", IF(AND(K8&gt;=70, K8&lt;=79.99999999999), "3", IF(AND(K8&gt;=60, K8&lt;=69.9999999999), "2", IF(AND(K8&gt;=51, K8&lt;=59.999999999), "1", IF(AND(K8&gt;=0, K8&lt;=50.999999999), "0",  "0"  )  )  )  )  )</f>
        <v/>
      </c>
      <c r="N8" s="6" t="n">
        <v>0</v>
      </c>
      <c r="O8" s="6" t="n">
        <v>0</v>
      </c>
      <c r="P8" s="6" t="n">
        <v>90</v>
      </c>
    </row>
    <row r="9">
      <c r="A9" t="inlineStr">
        <is>
          <t>24060123140178</t>
        </is>
      </c>
      <c r="B9" t="inlineStr">
        <is>
          <t>KHOERUNISSA BILLAH WAHYU SARBINI</t>
        </is>
      </c>
      <c r="C9" t="n">
        <v>6</v>
      </c>
      <c r="D9" t="inlineStr">
        <is>
          <t>PERBAIKAN</t>
        </is>
      </c>
      <c r="E9" s="3" t="n"/>
      <c r="F9" s="3" t="n"/>
      <c r="G9" s="3" t="n">
        <v>49.8</v>
      </c>
      <c r="H9" s="3" t="n">
        <v>90.29000000000001</v>
      </c>
      <c r="I9" s="3" t="n">
        <v>75</v>
      </c>
      <c r="J9" s="3" t="n"/>
      <c r="K9" s="2">
        <f>ROUND( ((E9*10+F9*40+G9*10+H9*10+I9*15+J9*15) / 100), 2)</f>
        <v/>
      </c>
      <c r="L9" s="2">
        <f>IF(AND(K9&gt;=80, K9&lt;=100), "A", IF(AND(K9&gt;=70, K9&lt;=79.99999999999), "B", IF(AND(K9&gt;=60, K9&lt;=69.9999999999), "C", IF(AND(K9&gt;=51, K9&lt;=59.999999999), "D", IF(AND(K9&gt;=0, K9&lt;=50.999999999), "E",  "E"  )  )  )  )  )</f>
        <v/>
      </c>
      <c r="M9">
        <f>IF(AND(K9&gt;=80, K9&lt;=100), "4", IF(AND(K9&gt;=70, K9&lt;=79.99999999999), "3", IF(AND(K9&gt;=60, K9&lt;=69.9999999999), "2", IF(AND(K9&gt;=51, K9&lt;=59.999999999), "1", IF(AND(K9&gt;=0, K9&lt;=50.999999999), "0",  "0"  )  )  )  )  )</f>
        <v/>
      </c>
      <c r="N9" s="6" t="n">
        <v>0</v>
      </c>
      <c r="O9" s="6" t="n">
        <v>0</v>
      </c>
      <c r="P9" s="6" t="n">
        <v>90</v>
      </c>
    </row>
    <row r="10">
      <c r="A10" t="inlineStr">
        <is>
          <t>24060123140194</t>
        </is>
      </c>
      <c r="B10" t="inlineStr">
        <is>
          <t>STEPHEN ANDREW PAKPAHAN</t>
        </is>
      </c>
      <c r="C10" t="n">
        <v>6</v>
      </c>
      <c r="D10" t="inlineStr">
        <is>
          <t>PERBAIKAN</t>
        </is>
      </c>
      <c r="E10" s="3" t="n"/>
      <c r="F10" s="3" t="n"/>
      <c r="G10" s="3" t="n">
        <v>49.2</v>
      </c>
      <c r="H10" s="3" t="n">
        <v>79.72</v>
      </c>
      <c r="I10" s="3" t="n">
        <v>65</v>
      </c>
      <c r="J10" s="3" t="n"/>
      <c r="K10" s="2">
        <f>ROUND( ((E10*10+F10*40+G10*10+H10*10+I10*15+J10*15) / 100), 2)</f>
        <v/>
      </c>
      <c r="L10" s="2">
        <f>IF(AND(K10&gt;=80, K10&lt;=100), "A", IF(AND(K10&gt;=70, K10&lt;=79.99999999999), "B", IF(AND(K10&gt;=60, K10&lt;=69.9999999999), "C", IF(AND(K10&gt;=51, K10&lt;=59.999999999), "D", IF(AND(K10&gt;=0, K10&lt;=50.999999999), "E",  "E"  )  )  )  )  )</f>
        <v/>
      </c>
      <c r="M10">
        <f>IF(AND(K10&gt;=80, K10&lt;=100), "4", IF(AND(K10&gt;=70, K10&lt;=79.99999999999), "3", IF(AND(K10&gt;=60, K10&lt;=69.9999999999), "2", IF(AND(K10&gt;=51, K10&lt;=59.999999999), "1", IF(AND(K10&gt;=0, K10&lt;=50.999999999), "0",  "0"  )  )  )  )  )</f>
        <v/>
      </c>
      <c r="N10" s="6" t="n">
        <v>0</v>
      </c>
      <c r="O10" s="6" t="n">
        <v>0</v>
      </c>
      <c r="P10" s="6" t="n">
        <v>60</v>
      </c>
    </row>
    <row r="11">
      <c r="A11" t="inlineStr">
        <is>
          <t>24060123140196</t>
        </is>
      </c>
      <c r="B11" t="inlineStr">
        <is>
          <t>RANGGADYA ADITAMA RAMADHANI</t>
        </is>
      </c>
      <c r="C11" t="n">
        <v>6</v>
      </c>
      <c r="D11" t="inlineStr">
        <is>
          <t>PERBAIKAN</t>
        </is>
      </c>
      <c r="E11" s="3" t="n"/>
      <c r="F11" s="3" t="n"/>
      <c r="G11" s="3" t="n">
        <v>83.8</v>
      </c>
      <c r="H11" s="3" t="n">
        <v>79.72</v>
      </c>
      <c r="I11" s="3" t="n">
        <v>87</v>
      </c>
      <c r="J11" s="3" t="n"/>
      <c r="K11" s="2">
        <f>ROUND( ((E11*10+F11*40+G11*10+H11*10+I11*15+J11*15) / 100), 2)</f>
        <v/>
      </c>
      <c r="L11" s="2">
        <f>IF(AND(K11&gt;=80, K11&lt;=100), "A", IF(AND(K11&gt;=70, K11&lt;=79.99999999999), "B", IF(AND(K11&gt;=60, K11&lt;=69.9999999999), "C", IF(AND(K11&gt;=51, K11&lt;=59.999999999), "D", IF(AND(K11&gt;=0, K11&lt;=50.999999999), "E",  "E"  )  )  )  )  )</f>
        <v/>
      </c>
      <c r="M11">
        <f>IF(AND(K11&gt;=80, K11&lt;=100), "4", IF(AND(K11&gt;=70, K11&lt;=79.99999999999), "3", IF(AND(K11&gt;=60, K11&lt;=69.9999999999), "2", IF(AND(K11&gt;=51, K11&lt;=59.999999999), "1", IF(AND(K11&gt;=0, K11&lt;=50.999999999), "0",  "0"  )  )  )  )  )</f>
        <v/>
      </c>
      <c r="N11" s="6" t="n">
        <v>100</v>
      </c>
      <c r="O11" s="6" t="n">
        <v>10</v>
      </c>
      <c r="P11" s="6" t="n">
        <v>60</v>
      </c>
    </row>
  </sheetData>
  <sheetProtection selectLockedCells="0" selectUnlockedCells="0" sheet="1" objects="0" insertRows="0" insertHyperlinks="0" autoFilter="0" scenarios="0" formatColumns="0" deleteColumns="0" insertColumns="0" pivotTables="0" deleteRows="0" formatCells="0" formatRows="0" sort="0"/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D6"/>
  <sheetViews>
    <sheetView tabSelected="1" workbookViewId="0">
      <selection activeCell="F11" sqref="F11"/>
    </sheetView>
  </sheetViews>
  <sheetFormatPr baseColWidth="10" defaultRowHeight="15"/>
  <cols>
    <col width="3.33203125" bestFit="1" customWidth="1" min="1" max="1"/>
    <col width="15.1640625" bestFit="1" customWidth="1" min="2" max="2"/>
    <col width="30.5" bestFit="1" customWidth="1" min="3" max="3"/>
  </cols>
  <sheetData>
    <row r="2">
      <c r="A2" s="4" t="inlineStr">
        <is>
          <t>No</t>
        </is>
      </c>
      <c r="B2" t="inlineStr">
        <is>
          <t>NIM</t>
        </is>
      </c>
      <c r="C2" t="inlineStr">
        <is>
          <t>Nama Mahasiswa</t>
        </is>
      </c>
      <c r="D2" s="4" t="inlineStr">
        <is>
          <t>UTS A (40%)</t>
        </is>
      </c>
    </row>
    <row r="3">
      <c r="A3" t="n">
        <v>1</v>
      </c>
      <c r="B3" t="inlineStr">
        <is>
          <t>24060123140149</t>
        </is>
      </c>
      <c r="C3" t="inlineStr">
        <is>
          <t>KHALISA NADYA HAKIM</t>
        </is>
      </c>
      <c r="D3" t="n">
        <v>20</v>
      </c>
    </row>
    <row r="4">
      <c r="A4" t="n">
        <v>2</v>
      </c>
      <c r="B4" t="inlineStr">
        <is>
          <t>24060123140178</t>
        </is>
      </c>
      <c r="C4" t="inlineStr">
        <is>
          <t>KHOERUNISSA BILLAH WAHYU SARBINI</t>
        </is>
      </c>
      <c r="D4" t="n">
        <v>17</v>
      </c>
    </row>
    <row r="5">
      <c r="A5" t="n">
        <v>3</v>
      </c>
      <c r="B5" t="inlineStr">
        <is>
          <t>24060123140194</t>
        </is>
      </c>
      <c r="C5" t="inlineStr">
        <is>
          <t>STEPHEN ANDREW PAKPAHAN</t>
        </is>
      </c>
      <c r="D5" t="n">
        <v>27</v>
      </c>
    </row>
    <row r="6">
      <c r="A6" t="n">
        <v>4</v>
      </c>
      <c r="B6" t="inlineStr">
        <is>
          <t>24060123140196</t>
        </is>
      </c>
      <c r="C6" t="inlineStr">
        <is>
          <t>RANGGADYA ADITAMA RAMADHANI</t>
        </is>
      </c>
      <c r="D6" t="n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SIAP UNDIP</dc:creator>
  <dc:title>Office 2007 XLSX Test Document</dc:title>
  <dc:description>Test document for Office 2007 XLSX, generated using PHP classes.</dc:description>
  <dc:subject>Office 2007 XLSX Test Document</dc:subject>
  <dcterms:created xsi:type="dcterms:W3CDTF">2026-06-15T00:25:29Z</dcterms:created>
  <dcterms:modified xsi:type="dcterms:W3CDTF">2026-06-29T11:23:17Z</dcterms:modified>
  <cp:lastModifiedBy>Satriawan Rasyid Purnama</cp:lastModifiedBy>
  <cp:category>Test result file</cp:category>
  <cp:keywords>office 2007 openxml php</cp:keywords>
</cp:coreProperties>
</file>