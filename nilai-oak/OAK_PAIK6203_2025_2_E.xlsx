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09CF0938-C760-2F4D-A2E0-EB1A2011DD2F}" xr6:coauthVersionLast="47" xr6:coauthVersionMax="47" xr10:uidLastSave="{00000000-0000-0000-0000-000000000000}"/>
  <bookViews>
    <workbookView xWindow="0" yWindow="500" windowWidth="28800" windowHeight="163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K12" i="1"/>
  <c r="M12" i="1" s="1"/>
  <c r="K11" i="1"/>
  <c r="M11" i="1" s="1"/>
  <c r="M10" i="1"/>
  <c r="K10" i="1"/>
  <c r="L10" i="1" s="1"/>
  <c r="K9" i="1"/>
  <c r="M9" i="1" s="1"/>
  <c r="K8" i="1"/>
  <c r="M8" i="1" s="1"/>
  <c r="L8" i="1" l="1"/>
  <c r="L11" i="1"/>
  <c r="L9" i="1"/>
</calcChain>
</file>

<file path=xl/sharedStrings.xml><?xml version="1.0" encoding="utf-8"?>
<sst xmlns="http://schemas.openxmlformats.org/spreadsheetml/2006/main" count="53" uniqueCount="36">
  <si>
    <t>Mata Kuliah</t>
  </si>
  <si>
    <t>: PAIK6203 - Organisasi dan Arsitektur Komputer</t>
  </si>
  <si>
    <t>Tahun Ajaran</t>
  </si>
  <si>
    <t>: 2025</t>
  </si>
  <si>
    <t>NDk4NzUz</t>
  </si>
  <si>
    <t>Semester</t>
  </si>
  <si>
    <t>: Genap</t>
  </si>
  <si>
    <t>Kelas</t>
  </si>
  <si>
    <t>: E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</si>
  <si>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</si>
  <si>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</si>
  <si>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</si>
  <si>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</si>
  <si>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</si>
  <si>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</si>
  <si>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</si>
  <si>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</si>
  <si>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</si>
  <si>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</si>
  <si>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</si>
  <si>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</si>
  <si>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</si>
  <si>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</si>
  <si>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24060122130082</t>
  </si>
  <si>
    <t>FATHIA RAHMA (&lt; 75%)</t>
  </si>
  <si>
    <t>PERBAIKAN</t>
  </si>
  <si>
    <t>24060122140162</t>
  </si>
  <si>
    <t>ZAHRA NISAA' FITRIA NUR'AFIFAH (&lt; 75%)</t>
  </si>
  <si>
    <t>24060123140174</t>
  </si>
  <si>
    <t>DUTA ADI PAMUNGKAS</t>
  </si>
  <si>
    <t>24060123140207</t>
  </si>
  <si>
    <t>GIAN ZIDNI ILMAN</t>
  </si>
  <si>
    <t>24060123140210</t>
  </si>
  <si>
    <t>GHERALD ABRAHAM (&lt; 75%)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</si>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</sst>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A7" sqref="A7:B12"/>
    </sheetView>
  </sheetViews>
  <sheetFormatPr baseColWidth="10" defaultColWidth="8.83203125" defaultRowHeight="15" x14ac:dyDescent="0.2"/>
  <cols>
    <col min="1" max="1" width="17.5" bestFit="1" customWidth="1"/>
    <col min="2" max="2" width="56.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8</v>
      </c>
      <c r="D8" t="s">
        <v>25</v>
      </c>
      <c r="E8" s="3"/>
      <c r="F8" s="3"/>
      <c r="G8" s="3"/>
      <c r="H8" s="3"/>
      <c r="I8" s="3"/>
      <c r="J8" s="2"/>
      <c r="K8" s="2">
        <f>ROUND( ((E8*10+F8*40+G8*10+H8*10+I8*15+J8*15)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8</v>
      </c>
      <c r="D9" t="s">
        <v>25</v>
      </c>
      <c r="E9" s="3"/>
      <c r="F9" s="3"/>
      <c r="G9" s="3"/>
      <c r="H9" s="3"/>
      <c r="I9" s="3"/>
      <c r="J9" s="2"/>
      <c r="K9" s="2">
        <f>ROUND( ((E9*10+F9*40+G9*10+H9*10+I9*15+J9*15)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28</v>
      </c>
      <c r="B10" t="s">
        <v>29</v>
      </c>
      <c r="C10">
        <v>6</v>
      </c>
      <c r="D10" t="s">
        <v>25</v>
      </c>
      <c r="E10" s="3"/>
      <c r="F10" s="3"/>
      <c r="G10" s="3"/>
      <c r="H10" s="3"/>
      <c r="I10" s="3"/>
      <c r="J10" s="3"/>
      <c r="K10" s="2">
        <f>ROUND( ((E10*10+F10*40+G10*10+H10*10+I10*15+J10*15)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  <row r="11" spans="1:13" x14ac:dyDescent="0.2">
      <c r="A11" t="s">
        <v>30</v>
      </c>
      <c r="B11" t="s">
        <v>31</v>
      </c>
      <c r="C11">
        <v>6</v>
      </c>
      <c r="D11" t="s">
        <v>25</v>
      </c>
      <c r="E11" s="3"/>
      <c r="F11" s="3"/>
      <c r="G11" s="3"/>
      <c r="H11" s="3"/>
      <c r="I11" s="3"/>
      <c r="J11" s="3"/>
      <c r="K11" s="2">
        <f>ROUND( ((E11*10+F11*40+G11*10+H11*10+I11*15+J11*15) / 100), 2)</f>
        <v>0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</f>
        <v>0</v>
      </c>
    </row>
    <row r="12" spans="1:13" x14ac:dyDescent="0.2">
      <c r="A12" t="s">
        <v>32</v>
      </c>
      <c r="B12" t="s">
        <v>33</v>
      </c>
      <c r="C12">
        <v>6</v>
      </c>
      <c r="D12" t="s">
        <v>25</v>
      </c>
      <c r="E12" s="3"/>
      <c r="F12" s="3"/>
      <c r="G12" s="3"/>
      <c r="H12" s="3"/>
      <c r="I12" s="3"/>
      <c r="J12" s="2"/>
      <c r="K12" s="2">
        <f>ROUND( ((E12*10+F12*40+G12*10+H12*10+I12*15+J12*15) / 100), 2)</f>
        <v>0</v>
      </c>
      <c r="L12" s="2" t="str">
        <f>IF(AND(K12&gt;=80, K12&lt;=100), "A", IF(AND(K12&gt;=70, K12&lt;=79.99999999999), "B", IF(AND(K12&gt;=60, K12&lt;=69.9999999999), "C", IF(AND(K12&gt;=51, K12&lt;=59.999999999), "D", IF(AND(K12&gt;=0, K12&lt;=50.999999999), "E",  "E"  )  )  )  )  )</f>
        <v>E</v>
      </c>
      <c r="M12" t="str">
        <f>IF(AND(K12&gt;=80, K12&lt;=100), "4", IF(AND(K12&gt;=70, K12&lt;=79.99999999999), "3", IF(AND(K12&gt;=60, K12&lt;=69.9999999999), "2", IF(AND(K12&gt;=51, K12&lt;=59.999999999), "1", IF(AND(K12&gt;=0, K12&lt;=50.999999999),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0E95-74C9-E54D-B9A0-1F9F7F1A5485}">
  <dimension ref="A2:D7"/>
  <sheetViews>
    <sheetView tabSelected="1" workbookViewId="0">
      <selection activeCell="D8" sqref="D8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2.1640625" bestFit="1" customWidth="1"/>
  </cols>
  <sheetData>
    <row r="2" spans="1:4" x14ac:dyDescent="0.2">
      <c r="A2" s="4" t="s">
        <v>34</v>
      </c>
      <c r="B2" t="s">
        <v>11</v>
      </c>
      <c r="C2" t="s">
        <v>12</v>
      </c>
      <c r="D2" s="4" t="s">
        <v>35</v>
      </c>
    </row>
    <row r="3" spans="1:4" x14ac:dyDescent="0.2">
      <c r="A3">
        <v>1</v>
      </c>
      <c r="B3" t="s">
        <v>23</v>
      </c>
      <c r="C3" t="s">
        <v>24</v>
      </c>
      <c r="D3">
        <v>37</v>
      </c>
    </row>
    <row r="4" spans="1:4" x14ac:dyDescent="0.2">
      <c r="A4">
        <v>2</v>
      </c>
      <c r="B4" t="s">
        <v>26</v>
      </c>
      <c r="C4" t="s">
        <v>27</v>
      </c>
      <c r="D4">
        <v>17</v>
      </c>
    </row>
    <row r="5" spans="1:4" x14ac:dyDescent="0.2">
      <c r="A5">
        <v>3</v>
      </c>
      <c r="B5" t="s">
        <v>28</v>
      </c>
      <c r="C5" t="s">
        <v>29</v>
      </c>
      <c r="D5">
        <v>22</v>
      </c>
    </row>
    <row r="6" spans="1:4" x14ac:dyDescent="0.2">
      <c r="A6">
        <v>4</v>
      </c>
      <c r="B6" t="s">
        <v>30</v>
      </c>
      <c r="C6" t="s">
        <v>31</v>
      </c>
      <c r="D6">
        <v>15</v>
      </c>
    </row>
    <row r="7" spans="1:4" x14ac:dyDescent="0.2">
      <c r="A7">
        <v>5</v>
      </c>
      <c r="B7" t="s">
        <v>32</v>
      </c>
      <c r="C7" t="s">
        <v>33</v>
      </c>
      <c r="D7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2026-06-15T00:25:24Z</dcterms:created>
  <dcterms:modified xsi:type="dcterms:W3CDTF">2026-06-28T11:59:24Z</dcterms:modified>
  <cp:category>Test result file</cp:category>
</cp:coreProperties>
</file>