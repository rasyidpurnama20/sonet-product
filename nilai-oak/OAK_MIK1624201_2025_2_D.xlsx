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7" sqref="A7:B46"/>
    </sheetView>
  </sheetViews>
  <sheetFormatPr baseColWidth="10" defaultColWidth="8.83203125" defaultRowHeight="15"/>
  <cols>
    <col width="17.5" bestFit="1" customWidth="1" min="1" max="1"/>
    <col width="58.8320312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MIK1624201 -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NDk4NzQx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D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24060125120039</t>
        </is>
      </c>
      <c r="B8" t="inlineStr">
        <is>
          <t>ARYA FATHDILLAH ADI SAPUTRA</t>
        </is>
      </c>
      <c r="C8" t="n">
        <v>2</v>
      </c>
      <c r="D8" t="inlineStr">
        <is>
          <t>BARU</t>
        </is>
      </c>
      <c r="E8" s="3" t="n"/>
      <c r="F8" s="3" t="n"/>
      <c r="G8" s="3" t="n"/>
      <c r="H8" s="3" t="n"/>
      <c r="I8" s="3" t="n"/>
      <c r="J8" s="3" t="n"/>
      <c r="K8" s="2">
        <f>ROUND( ((E8*10+F8*40+G8*10+H8*10+I8*15+J8*15)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s="6" t="n">
        <v>96.88</v>
      </c>
      <c r="O8" s="6" t="n">
        <v>0</v>
      </c>
      <c r="P8" s="6" t="n">
        <v>90</v>
      </c>
    </row>
    <row r="9">
      <c r="A9" t="inlineStr">
        <is>
          <t>24060125120050</t>
        </is>
      </c>
      <c r="B9" t="inlineStr">
        <is>
          <t>AHLA WARDA ANGGREINI</t>
        </is>
      </c>
      <c r="C9" t="n">
        <v>2</v>
      </c>
      <c r="D9" t="inlineStr">
        <is>
          <t>BARU</t>
        </is>
      </c>
      <c r="E9" s="3" t="n"/>
      <c r="F9" s="3" t="n"/>
      <c r="G9" s="3" t="n"/>
      <c r="H9" s="3" t="n"/>
      <c r="I9" s="3" t="n"/>
      <c r="J9" s="3" t="n"/>
      <c r="K9" s="2">
        <f>ROUND( ((E9*10+F9*40+G9*10+H9*10+I9*15+J9*15)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s="6" t="n">
        <v>65.62</v>
      </c>
      <c r="O9" s="6" t="n">
        <v>20</v>
      </c>
      <c r="P9" s="6" t="n">
        <v>80</v>
      </c>
    </row>
    <row r="10">
      <c r="A10" t="inlineStr">
        <is>
          <t>24060125130055</t>
        </is>
      </c>
      <c r="B10" t="inlineStr">
        <is>
          <t>RASYID AHMAD RIZKI AL GHOZALI</t>
        </is>
      </c>
      <c r="C10" t="n">
        <v>2</v>
      </c>
      <c r="D10" t="inlineStr">
        <is>
          <t>BARU</t>
        </is>
      </c>
      <c r="E10" s="3" t="n"/>
      <c r="F10" s="3" t="n"/>
      <c r="G10" s="3" t="n"/>
      <c r="H10" s="3" t="n"/>
      <c r="I10" s="3" t="n"/>
      <c r="J10" s="3" t="n"/>
      <c r="K10" s="2">
        <f>ROUND( ((E10*10+F10*40+G10*10+H10*10+I10*15+J10*15)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  <c r="N10" s="6" t="n">
        <v>90.62</v>
      </c>
      <c r="O10" s="6" t="n">
        <v>10</v>
      </c>
      <c r="P10" s="6" t="n">
        <v>90</v>
      </c>
    </row>
    <row r="11">
      <c r="A11" t="inlineStr">
        <is>
          <t>24060125130062</t>
        </is>
      </c>
      <c r="B11" t="inlineStr">
        <is>
          <t>SALSABIL NABILAH KHOIRUNNISA</t>
        </is>
      </c>
      <c r="C11" t="n">
        <v>2</v>
      </c>
      <c r="D11" t="inlineStr">
        <is>
          <t>BARU</t>
        </is>
      </c>
      <c r="E11" s="3" t="n"/>
      <c r="F11" s="3" t="n"/>
      <c r="G11" s="3" t="n"/>
      <c r="H11" s="3" t="n"/>
      <c r="I11" s="3" t="n"/>
      <c r="J11" s="3" t="n"/>
      <c r="K11" s="2">
        <f>ROUND( ((E11*10+F11*40+G11*10+H11*10+I11*15+J11*15)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s="6" t="n">
        <v>100</v>
      </c>
      <c r="O11" s="6" t="n">
        <v>10</v>
      </c>
      <c r="P11" s="6" t="n">
        <v>90</v>
      </c>
    </row>
    <row r="12">
      <c r="A12" t="inlineStr">
        <is>
          <t>24060125130084</t>
        </is>
      </c>
      <c r="B12" t="inlineStr">
        <is>
          <t>MULYA RAH UTAMI</t>
        </is>
      </c>
      <c r="C12" t="n">
        <v>2</v>
      </c>
      <c r="D12" t="inlineStr">
        <is>
          <t>BARU</t>
        </is>
      </c>
      <c r="E12" s="3" t="n"/>
      <c r="F12" s="3" t="n"/>
      <c r="G12" s="3" t="n"/>
      <c r="H12" s="3" t="n"/>
      <c r="I12" s="3" t="n"/>
      <c r="J12" s="3" t="n"/>
      <c r="K12" s="2">
        <f>ROUND( ((E12*10+F12*40+G12*10+H12*10+I12*15+J12*15)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s="6" t="n">
        <v>75</v>
      </c>
      <c r="O12" s="6" t="n">
        <v>100</v>
      </c>
      <c r="P12" s="6" t="n">
        <v>80</v>
      </c>
    </row>
    <row r="13">
      <c r="A13" t="inlineStr">
        <is>
          <t>24060125130096</t>
        </is>
      </c>
      <c r="B13" t="inlineStr">
        <is>
          <t>DARELL MALIK NUGRAHA</t>
        </is>
      </c>
      <c r="C13" t="n">
        <v>2</v>
      </c>
      <c r="D13" t="inlineStr">
        <is>
          <t>BARU</t>
        </is>
      </c>
      <c r="E13" s="3" t="n"/>
      <c r="F13" s="3" t="n"/>
      <c r="G13" s="3" t="n"/>
      <c r="H13" s="3" t="n"/>
      <c r="I13" s="3" t="n"/>
      <c r="J13" s="3" t="n"/>
      <c r="K13" s="2">
        <f>ROUND( ((E13*10+F13*40+G13*10+H13*10+I13*15+J13*15)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s="6" t="n">
        <v>56.25</v>
      </c>
      <c r="O13" s="6" t="n">
        <v>10</v>
      </c>
      <c r="P13" s="6" t="n">
        <v>80</v>
      </c>
    </row>
    <row r="14">
      <c r="A14" t="inlineStr">
        <is>
          <t>24060125140126</t>
        </is>
      </c>
      <c r="B14" t="inlineStr">
        <is>
          <t>AMELIA DINI HANMARIZQI</t>
        </is>
      </c>
      <c r="C14" t="n">
        <v>2</v>
      </c>
      <c r="D14" t="inlineStr">
        <is>
          <t>BARU</t>
        </is>
      </c>
      <c r="E14" s="3" t="n"/>
      <c r="F14" s="3" t="n"/>
      <c r="G14" s="3" t="n"/>
      <c r="H14" s="3" t="n"/>
      <c r="I14" s="3" t="n"/>
      <c r="J14" s="3" t="n"/>
      <c r="K14" s="2">
        <f>ROUND( ((E14*10+F14*40+G14*10+H14*10+I14*15+J14*15)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s="6" t="n">
        <v>93.75</v>
      </c>
      <c r="O14" s="6" t="n">
        <v>20</v>
      </c>
      <c r="P14" s="6" t="n">
        <v>80</v>
      </c>
    </row>
    <row r="15">
      <c r="A15" t="inlineStr">
        <is>
          <t>24060125140156</t>
        </is>
      </c>
      <c r="B15" t="inlineStr">
        <is>
          <t>ATHALLAH MUHAMMAD PASYA</t>
        </is>
      </c>
      <c r="C15" t="n">
        <v>2</v>
      </c>
      <c r="D15" t="inlineStr">
        <is>
          <t>BARU</t>
        </is>
      </c>
      <c r="E15" s="3" t="n"/>
      <c r="F15" s="3" t="n"/>
      <c r="G15" s="3" t="n"/>
      <c r="H15" s="3" t="n"/>
      <c r="I15" s="3" t="n"/>
      <c r="J15" s="3" t="n"/>
      <c r="K15" s="2">
        <f>ROUND( ((E15*10+F15*40+G15*10+H15*10+I15*15+J15*15)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s="6" t="n">
        <v>100</v>
      </c>
      <c r="O15" s="6" t="n">
        <v>20</v>
      </c>
      <c r="P15" s="6" t="n">
        <v>90</v>
      </c>
    </row>
    <row r="16">
      <c r="A16" t="inlineStr">
        <is>
          <t>24060125140195</t>
        </is>
      </c>
      <c r="B16" t="inlineStr">
        <is>
          <t>KEVIN AL GUSTAFY (&lt; 75%)</t>
        </is>
      </c>
      <c r="C16" t="n">
        <v>2</v>
      </c>
      <c r="D16" t="inlineStr">
        <is>
          <t>BARU</t>
        </is>
      </c>
      <c r="E16" s="3" t="n"/>
      <c r="F16" s="3" t="n"/>
      <c r="G16" s="3" t="n"/>
      <c r="H16" s="3" t="n"/>
      <c r="I16" s="3" t="n"/>
      <c r="J16" s="2" t="n"/>
      <c r="K16" s="2">
        <f>ROUND( ((E16*10+F16*40+G16*10+H16*10+I16*15+J16*15)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s="6" t="n">
        <v>90.62</v>
      </c>
      <c r="O16" s="6" t="n">
        <v>0</v>
      </c>
      <c r="P16" s="6" t="n">
        <v>90</v>
      </c>
    </row>
    <row r="17">
      <c r="A17" t="inlineStr">
        <is>
          <t>24060125140208</t>
        </is>
      </c>
      <c r="B17" t="inlineStr">
        <is>
          <t>DIVITRIO ATA MAHDAVIKIA</t>
        </is>
      </c>
      <c r="C17" t="n">
        <v>2</v>
      </c>
      <c r="D17" t="inlineStr">
        <is>
          <t>BARU</t>
        </is>
      </c>
      <c r="E17" s="3" t="n"/>
      <c r="F17" s="3" t="n"/>
      <c r="G17" s="3" t="n"/>
      <c r="H17" s="3" t="n"/>
      <c r="I17" s="3" t="n"/>
      <c r="J17" s="3" t="n"/>
      <c r="K17" s="2">
        <f>ROUND( ((E17*10+F17*40+G17*10+H17*10+I17*15+J17*15)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s="6" t="n">
        <v>71.88</v>
      </c>
      <c r="O17" s="6" t="n">
        <v>20</v>
      </c>
      <c r="P17" s="6" t="n">
        <v>80</v>
      </c>
    </row>
    <row r="18">
      <c r="A18" t="inlineStr">
        <is>
          <t>24060125140222</t>
        </is>
      </c>
      <c r="B18" t="inlineStr">
        <is>
          <t>NAYLA DWI AFRILIA</t>
        </is>
      </c>
      <c r="C18" t="n">
        <v>2</v>
      </c>
      <c r="D18" t="inlineStr">
        <is>
          <t>BARU</t>
        </is>
      </c>
      <c r="E18" s="3" t="n"/>
      <c r="F18" s="3" t="n"/>
      <c r="G18" s="3" t="n"/>
      <c r="H18" s="3" t="n"/>
      <c r="I18" s="3" t="n"/>
      <c r="J18" s="3" t="n"/>
      <c r="K18" s="2">
        <f>ROUND( ((E18*10+F18*40+G18*10+H18*10+I18*15+J18*15)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s="6" t="n">
        <v>100</v>
      </c>
      <c r="O18" s="6" t="n">
        <v>10</v>
      </c>
      <c r="P18" s="6" t="n">
        <v>70</v>
      </c>
    </row>
    <row r="19">
      <c r="A19" t="inlineStr">
        <is>
          <t>24060125140227</t>
        </is>
      </c>
      <c r="B19" t="inlineStr">
        <is>
          <t>RIFKY BINTANG BENVITO</t>
        </is>
      </c>
      <c r="C19" t="n">
        <v>2</v>
      </c>
      <c r="D19" t="inlineStr">
        <is>
          <t>BARU</t>
        </is>
      </c>
      <c r="E19" s="3" t="n"/>
      <c r="F19" s="3" t="n"/>
      <c r="G19" s="3" t="n"/>
      <c r="H19" s="3" t="n"/>
      <c r="I19" s="3" t="n"/>
      <c r="J19" s="3" t="n"/>
      <c r="K19" s="2">
        <f>ROUND( ((E19*10+F19*40+G19*10+H19*10+I19*15+J19*15)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s="6" t="n">
        <v>0</v>
      </c>
      <c r="O19" s="6" t="n">
        <v>0</v>
      </c>
      <c r="P19" s="6" t="n">
        <v>90</v>
      </c>
    </row>
    <row r="20">
      <c r="A20" t="inlineStr">
        <is>
          <t>24060125140230</t>
        </is>
      </c>
      <c r="B20" t="inlineStr">
        <is>
          <t>SAVA AMELIA AL GANI</t>
        </is>
      </c>
      <c r="C20" t="n">
        <v>2</v>
      </c>
      <c r="D20" t="inlineStr">
        <is>
          <t>BARU</t>
        </is>
      </c>
      <c r="E20" s="3" t="n"/>
      <c r="F20" s="3" t="n"/>
      <c r="G20" s="3" t="n"/>
      <c r="H20" s="3" t="n"/>
      <c r="I20" s="3" t="n"/>
      <c r="J20" s="3" t="n"/>
      <c r="K20" s="2">
        <f>ROUND( ((E20*10+F20*40+G20*10+H20*10+I20*15+J20*15)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s="6" t="n">
        <v>87.5</v>
      </c>
      <c r="O20" s="6" t="n">
        <v>20</v>
      </c>
      <c r="P20" s="6" t="n">
        <v>80</v>
      </c>
    </row>
    <row r="21">
      <c r="A21" t="inlineStr">
        <is>
          <t>24060125140234</t>
        </is>
      </c>
      <c r="B21" t="inlineStr">
        <is>
          <t>HAKEEMADA PHILADALA AR</t>
        </is>
      </c>
      <c r="C21" t="n">
        <v>2</v>
      </c>
      <c r="D21" t="inlineStr">
        <is>
          <t>BARU</t>
        </is>
      </c>
      <c r="E21" s="3" t="n"/>
      <c r="F21" s="3" t="n"/>
      <c r="G21" s="3" t="n"/>
      <c r="H21" s="3" t="n"/>
      <c r="I21" s="3" t="n"/>
      <c r="J21" s="3" t="n"/>
      <c r="K21" s="2">
        <f>ROUND( ((E21*10+F21*40+G21*10+H21*10+I21*15+J21*15)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s="6" t="n">
        <v>87.5</v>
      </c>
      <c r="O21" s="6" t="n">
        <v>20</v>
      </c>
      <c r="P21" s="6" t="n">
        <v>70</v>
      </c>
    </row>
    <row r="22">
      <c r="A22" t="inlineStr">
        <is>
          <t>24060124130102</t>
        </is>
      </c>
      <c r="B22" t="inlineStr">
        <is>
          <t>MUHAMMAD ZAIDAN ALFARIZI</t>
        </is>
      </c>
      <c r="C22" t="n">
        <v>4</v>
      </c>
      <c r="D22" t="inlineStr">
        <is>
          <t>PERBAIKAN</t>
        </is>
      </c>
      <c r="E22" s="3" t="n"/>
      <c r="F22" s="3" t="n"/>
      <c r="G22" s="3" t="n"/>
      <c r="H22" s="3" t="n"/>
      <c r="I22" s="3" t="n"/>
      <c r="J22" s="3" t="n"/>
      <c r="K22" s="2">
        <f>ROUND( ((E22*10+F22*40+G22*10+H22*10+I22*15+J22*15)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s="6" t="n">
        <v>0</v>
      </c>
      <c r="O22" s="6" t="n">
        <v>0</v>
      </c>
      <c r="P22" s="6" t="n">
        <v>0</v>
      </c>
    </row>
    <row r="23">
      <c r="A23" t="inlineStr">
        <is>
          <t>24060125120002</t>
        </is>
      </c>
      <c r="B23" t="inlineStr">
        <is>
          <t>MUHAMMAD SIRRUL IRSYAD</t>
        </is>
      </c>
      <c r="C23" t="n">
        <v>2</v>
      </c>
      <c r="D23" t="inlineStr">
        <is>
          <t>BARU</t>
        </is>
      </c>
      <c r="E23" s="3" t="n"/>
      <c r="F23" s="3" t="n"/>
      <c r="G23" s="3" t="n"/>
      <c r="H23" s="3" t="n"/>
      <c r="I23" s="3" t="n"/>
      <c r="J23" s="3" t="n"/>
      <c r="K23" s="2">
        <f>ROUND( ((E23*10+F23*40+G23*10+H23*10+I23*15+J23*15)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s="6" t="n">
        <v>56.25</v>
      </c>
      <c r="O23" s="6" t="n">
        <v>10</v>
      </c>
      <c r="P23" s="6" t="n">
        <v>80</v>
      </c>
    </row>
    <row r="24">
      <c r="A24" t="inlineStr">
        <is>
          <t>24060125120012</t>
        </is>
      </c>
      <c r="B24" t="inlineStr">
        <is>
          <t>RATULOSA KAREN KHEISSYA MULYADIE REPUTRI</t>
        </is>
      </c>
      <c r="C24" t="n">
        <v>2</v>
      </c>
      <c r="D24" t="inlineStr">
        <is>
          <t>BARU</t>
        </is>
      </c>
      <c r="E24" s="3" t="n"/>
      <c r="F24" s="3" t="n"/>
      <c r="G24" s="3" t="n"/>
      <c r="H24" s="3" t="n"/>
      <c r="I24" s="3" t="n"/>
      <c r="J24" s="3" t="n"/>
      <c r="K24" s="2">
        <f>ROUND( ((E24*10+F24*40+G24*10+H24*10+I24*15+J24*15)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s="6" t="n">
        <v>53.12</v>
      </c>
      <c r="O24" s="6" t="n">
        <v>20</v>
      </c>
      <c r="P24" s="6" t="n">
        <v>90</v>
      </c>
    </row>
    <row r="25">
      <c r="A25" t="inlineStr">
        <is>
          <t>24060125120017</t>
        </is>
      </c>
      <c r="B25" t="inlineStr">
        <is>
          <t>DAVIN IHZA PRAMUDYA</t>
        </is>
      </c>
      <c r="C25" t="n">
        <v>2</v>
      </c>
      <c r="D25" t="inlineStr">
        <is>
          <t>BARU</t>
        </is>
      </c>
      <c r="E25" s="3" t="n"/>
      <c r="F25" s="3" t="n"/>
      <c r="G25" s="3" t="n"/>
      <c r="H25" s="3" t="n"/>
      <c r="I25" s="3" t="n"/>
      <c r="J25" s="3" t="n"/>
      <c r="K25" s="2">
        <f>ROUND( ((E25*10+F25*40+G25*10+H25*10+I25*15+J25*15)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s="6" t="n">
        <v>96.88</v>
      </c>
      <c r="O25" s="6" t="n">
        <v>10</v>
      </c>
      <c r="P25" s="6" t="n">
        <v>80</v>
      </c>
    </row>
    <row r="26">
      <c r="A26" t="inlineStr">
        <is>
          <t>24060125120024</t>
        </is>
      </c>
      <c r="B26" t="inlineStr">
        <is>
          <t>FATHA SHAUMU MUHAMMAD ALIFTHA</t>
        </is>
      </c>
      <c r="C26" t="n">
        <v>2</v>
      </c>
      <c r="D26" t="inlineStr">
        <is>
          <t>BARU</t>
        </is>
      </c>
      <c r="E26" s="3" t="n"/>
      <c r="F26" s="3" t="n"/>
      <c r="G26" s="3" t="n"/>
      <c r="H26" s="3" t="n"/>
      <c r="I26" s="3" t="n"/>
      <c r="J26" s="3" t="n"/>
      <c r="K26" s="2">
        <f>ROUND( ((E26*10+F26*40+G26*10+H26*10+I26*15+J26*15)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s="6" t="n">
        <v>96.88</v>
      </c>
      <c r="O26" s="6" t="n">
        <v>0</v>
      </c>
      <c r="P26" s="6" t="n">
        <v>70</v>
      </c>
    </row>
    <row r="27">
      <c r="A27" t="inlineStr">
        <is>
          <t>24060125130056</t>
        </is>
      </c>
      <c r="B27" t="inlineStr">
        <is>
          <t>FATHIN ARVA ALFAUSTA MARSETYO</t>
        </is>
      </c>
      <c r="C27" t="n">
        <v>2</v>
      </c>
      <c r="D27" t="inlineStr">
        <is>
          <t>BARU</t>
        </is>
      </c>
      <c r="E27" s="3" t="n"/>
      <c r="F27" s="3" t="n"/>
      <c r="G27" s="3" t="n"/>
      <c r="H27" s="3" t="n"/>
      <c r="I27" s="3" t="n"/>
      <c r="J27" s="3" t="n"/>
      <c r="K27" s="2">
        <f>ROUND( ((E27*10+F27*40+G27*10+H27*10+I27*15+J27*15)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s="6" t="n">
        <v>84.38</v>
      </c>
      <c r="O27" s="6" t="n">
        <v>10</v>
      </c>
      <c r="P27" s="6" t="n">
        <v>80</v>
      </c>
    </row>
    <row r="28">
      <c r="A28" t="inlineStr">
        <is>
          <t>24060125130069</t>
        </is>
      </c>
      <c r="B28" t="inlineStr">
        <is>
          <t>VITO ALIFFIANO ROYYANDINOVA</t>
        </is>
      </c>
      <c r="C28" t="n">
        <v>2</v>
      </c>
      <c r="D28" t="inlineStr">
        <is>
          <t>BARU</t>
        </is>
      </c>
      <c r="E28" s="3" t="n"/>
      <c r="F28" s="3" t="n"/>
      <c r="G28" s="3" t="n"/>
      <c r="H28" s="3" t="n"/>
      <c r="I28" s="3" t="n"/>
      <c r="J28" s="3" t="n"/>
      <c r="K28" s="2">
        <f>ROUND( ((E28*10+F28*40+G28*10+H28*10+I28*15+J28*15)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s="6" t="n">
        <v>65.62</v>
      </c>
      <c r="O28" s="6" t="n">
        <v>10</v>
      </c>
      <c r="P28" s="6" t="n">
        <v>80</v>
      </c>
    </row>
    <row r="29">
      <c r="A29" t="inlineStr">
        <is>
          <t>24060125130088</t>
        </is>
      </c>
      <c r="B29" t="inlineStr">
        <is>
          <t>DAFFA DHIYA ISLAMI</t>
        </is>
      </c>
      <c r="C29" t="n">
        <v>2</v>
      </c>
      <c r="D29" t="inlineStr">
        <is>
          <t>BARU</t>
        </is>
      </c>
      <c r="E29" s="3" t="n"/>
      <c r="F29" s="3" t="n"/>
      <c r="G29" s="3" t="n"/>
      <c r="H29" s="3" t="n"/>
      <c r="I29" s="3" t="n"/>
      <c r="J29" s="3" t="n"/>
      <c r="K29" s="2">
        <f>ROUND( ((E29*10+F29*40+G29*10+H29*10+I29*15+J29*15)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s="6" t="n">
        <v>93.75</v>
      </c>
      <c r="O29" s="6" t="n">
        <v>0</v>
      </c>
      <c r="P29" s="6" t="n">
        <v>80</v>
      </c>
    </row>
    <row r="30">
      <c r="A30" t="inlineStr">
        <is>
          <t>24060125130093</t>
        </is>
      </c>
      <c r="B30" t="inlineStr">
        <is>
          <t>MUHAMMAD FATHI NUR SYAFFA</t>
        </is>
      </c>
      <c r="C30" t="n">
        <v>2</v>
      </c>
      <c r="D30" t="inlineStr">
        <is>
          <t>BARU</t>
        </is>
      </c>
      <c r="E30" s="3" t="n"/>
      <c r="F30" s="3" t="n"/>
      <c r="G30" s="3" t="n"/>
      <c r="H30" s="3" t="n"/>
      <c r="I30" s="3" t="n"/>
      <c r="J30" s="3" t="n"/>
      <c r="K30" s="2">
        <f>ROUND( ((E30*10+F30*40+G30*10+H30*10+I30*15+J30*15)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s="6" t="n">
        <v>65.62</v>
      </c>
      <c r="O30" s="6" t="n">
        <v>20</v>
      </c>
      <c r="P30" s="6" t="n">
        <v>80</v>
      </c>
    </row>
    <row r="31">
      <c r="A31" t="inlineStr">
        <is>
          <t>24060125130108</t>
        </is>
      </c>
      <c r="B31" t="inlineStr">
        <is>
          <t>LANDO SUSILO WIBOWO</t>
        </is>
      </c>
      <c r="C31" t="n">
        <v>2</v>
      </c>
      <c r="D31" t="inlineStr">
        <is>
          <t>BARU</t>
        </is>
      </c>
      <c r="E31" s="3" t="n"/>
      <c r="F31" s="3" t="n"/>
      <c r="G31" s="3" t="n"/>
      <c r="H31" s="3" t="n"/>
      <c r="I31" s="3" t="n"/>
      <c r="J31" s="3" t="n"/>
      <c r="K31" s="2">
        <f>ROUND( ((E31*10+F31*40+G31*10+H31*10+I31*15+J31*15)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s="6" t="n">
        <v>71.88</v>
      </c>
      <c r="O31" s="6" t="n">
        <v>20</v>
      </c>
      <c r="P31" s="6" t="n">
        <v>90</v>
      </c>
    </row>
    <row r="32">
      <c r="A32" t="inlineStr">
        <is>
          <t>24060125130109</t>
        </is>
      </c>
      <c r="B32" t="inlineStr">
        <is>
          <t>KHALILA RAMADHANI</t>
        </is>
      </c>
      <c r="C32" t="n">
        <v>2</v>
      </c>
      <c r="D32" t="inlineStr">
        <is>
          <t>BARU</t>
        </is>
      </c>
      <c r="E32" s="3" t="n"/>
      <c r="F32" s="3" t="n"/>
      <c r="G32" s="3" t="n"/>
      <c r="H32" s="3" t="n"/>
      <c r="I32" s="3" t="n"/>
      <c r="J32" s="3" t="n"/>
      <c r="K32" s="2">
        <f>ROUND( ((E32*10+F32*40+G32*10+H32*10+I32*15+J32*15)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s="6" t="n">
        <v>84.38</v>
      </c>
      <c r="O32" s="6" t="n">
        <v>20</v>
      </c>
      <c r="P32" s="6" t="n">
        <v>80</v>
      </c>
    </row>
    <row r="33">
      <c r="A33" t="inlineStr">
        <is>
          <t>24060125130115</t>
        </is>
      </c>
      <c r="B33" t="inlineStr">
        <is>
          <t>PUTRI PERMATA SARI BUDIANTO</t>
        </is>
      </c>
      <c r="C33" t="n">
        <v>2</v>
      </c>
      <c r="D33" t="inlineStr">
        <is>
          <t>BARU</t>
        </is>
      </c>
      <c r="E33" s="3" t="n"/>
      <c r="F33" s="3" t="n"/>
      <c r="G33" s="3" t="n"/>
      <c r="H33" s="3" t="n"/>
      <c r="I33" s="3" t="n"/>
      <c r="J33" s="3" t="n"/>
      <c r="K33" s="2">
        <f>ROUND( ((E33*10+F33*40+G33*10+H33*10+I33*15+J33*15)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s="6" t="n">
        <v>87.5</v>
      </c>
      <c r="O33" s="6" t="n">
        <v>10</v>
      </c>
      <c r="P33" s="6" t="n">
        <v>90</v>
      </c>
    </row>
    <row r="34">
      <c r="A34" t="inlineStr">
        <is>
          <t>24060125140129</t>
        </is>
      </c>
      <c r="B34" t="inlineStr">
        <is>
          <t>CAHYAWAN NOUDY AL GIFFARI</t>
        </is>
      </c>
      <c r="C34" t="n">
        <v>2</v>
      </c>
      <c r="D34" t="inlineStr">
        <is>
          <t>BARU</t>
        </is>
      </c>
      <c r="E34" s="3" t="n"/>
      <c r="F34" s="3" t="n"/>
      <c r="G34" s="3" t="n"/>
      <c r="H34" s="3" t="n"/>
      <c r="I34" s="3" t="n"/>
      <c r="J34" s="3" t="n"/>
      <c r="K34" s="2">
        <f>ROUND( ((E34*10+F34*40+G34*10+H34*10+I34*15+J34*15)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s="6" t="n">
        <v>59.38</v>
      </c>
      <c r="O34" s="6" t="n">
        <v>10</v>
      </c>
      <c r="P34" s="6" t="n">
        <v>90</v>
      </c>
    </row>
    <row r="35">
      <c r="A35" t="inlineStr">
        <is>
          <t>24060125140137</t>
        </is>
      </c>
      <c r="B35" t="inlineStr">
        <is>
          <t>MUHAMMAD KENZIE PRADIPTA AINURRAHIM</t>
        </is>
      </c>
      <c r="C35" t="n">
        <v>2</v>
      </c>
      <c r="D35" t="inlineStr">
        <is>
          <t>BARU</t>
        </is>
      </c>
      <c r="E35" s="3" t="n"/>
      <c r="F35" s="3" t="n"/>
      <c r="G35" s="3" t="n"/>
      <c r="H35" s="3" t="n"/>
      <c r="I35" s="3" t="n"/>
      <c r="J35" s="3" t="n"/>
      <c r="K35" s="2">
        <f>ROUND( ((E35*10+F35*40+G35*10+H35*10+I35*15+J35*15)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s="6" t="n">
        <v>93.75</v>
      </c>
      <c r="O35" s="6" t="n">
        <v>0</v>
      </c>
      <c r="P35" s="6" t="n">
        <v>90</v>
      </c>
    </row>
    <row r="36">
      <c r="A36" t="inlineStr">
        <is>
          <t>24060125140138</t>
        </is>
      </c>
      <c r="B36" t="inlineStr">
        <is>
          <t>PIERRE MARCELINO</t>
        </is>
      </c>
      <c r="C36" t="n">
        <v>2</v>
      </c>
      <c r="D36" t="inlineStr">
        <is>
          <t>BARU</t>
        </is>
      </c>
      <c r="E36" s="3" t="n"/>
      <c r="F36" s="3" t="n"/>
      <c r="G36" s="3" t="n"/>
      <c r="H36" s="3" t="n"/>
      <c r="I36" s="3" t="n"/>
      <c r="J36" s="3" t="n"/>
      <c r="K36" s="2">
        <f>ROUND( ((E36*10+F36*40+G36*10+H36*10+I36*15+J36*15)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s="6" t="n">
        <v>93.75</v>
      </c>
      <c r="O36" s="6" t="n">
        <v>10</v>
      </c>
      <c r="P36" s="6" t="n">
        <v>100</v>
      </c>
    </row>
    <row r="37">
      <c r="A37" t="inlineStr">
        <is>
          <t>24060125140139</t>
        </is>
      </c>
      <c r="B37" t="inlineStr">
        <is>
          <t>NASYA AURYN BUNGA INDARYAN</t>
        </is>
      </c>
      <c r="C37" t="n">
        <v>2</v>
      </c>
      <c r="D37" t="inlineStr">
        <is>
          <t>BARU</t>
        </is>
      </c>
      <c r="E37" s="3" t="n"/>
      <c r="F37" s="3" t="n"/>
      <c r="G37" s="3" t="n"/>
      <c r="H37" s="3" t="n"/>
      <c r="I37" s="3" t="n"/>
      <c r="J37" s="3" t="n"/>
      <c r="K37" s="2">
        <f>ROUND( ((E37*10+F37*40+G37*10+H37*10+I37*15+J37*15)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s="6" t="n">
        <v>84.38</v>
      </c>
      <c r="O37" s="6" t="n">
        <v>100</v>
      </c>
      <c r="P37" s="6" t="n">
        <v>90</v>
      </c>
    </row>
    <row r="38">
      <c r="A38" t="inlineStr">
        <is>
          <t>24060125140152</t>
        </is>
      </c>
      <c r="B38" t="inlineStr">
        <is>
          <t>ABYASA ARKABELVA</t>
        </is>
      </c>
      <c r="C38" t="n">
        <v>2</v>
      </c>
      <c r="D38" t="inlineStr">
        <is>
          <t>BARU</t>
        </is>
      </c>
      <c r="E38" s="3" t="n"/>
      <c r="F38" s="3" t="n"/>
      <c r="G38" s="3" t="n"/>
      <c r="H38" s="3" t="n"/>
      <c r="I38" s="3" t="n"/>
      <c r="J38" s="3" t="n"/>
      <c r="K38" s="2">
        <f>ROUND( ((E38*10+F38*40+G38*10+H38*10+I38*15+J38*15)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s="6" t="n">
        <v>96.88</v>
      </c>
      <c r="O38" s="6" t="n">
        <v>20</v>
      </c>
      <c r="P38" s="6" t="n">
        <v>90</v>
      </c>
    </row>
    <row r="39">
      <c r="A39" t="inlineStr">
        <is>
          <t>24060125140154</t>
        </is>
      </c>
      <c r="B39" t="inlineStr">
        <is>
          <t>SHELMA CANTIKA PUTRI DOLENT MARBUN</t>
        </is>
      </c>
      <c r="C39" t="n">
        <v>2</v>
      </c>
      <c r="D39" t="inlineStr">
        <is>
          <t>BARU</t>
        </is>
      </c>
      <c r="E39" s="3" t="n"/>
      <c r="F39" s="3" t="n"/>
      <c r="G39" s="3" t="n"/>
      <c r="H39" s="3" t="n"/>
      <c r="I39" s="3" t="n"/>
      <c r="J39" s="3" t="n"/>
      <c r="K39" s="2">
        <f>ROUND( ((E39*10+F39*40+G39*10+H39*10+I39*15+J39*15)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s="6" t="n">
        <v>100</v>
      </c>
      <c r="O39" s="6" t="n">
        <v>20</v>
      </c>
      <c r="P39" s="6" t="n">
        <v>80</v>
      </c>
    </row>
    <row r="40">
      <c r="A40" t="inlineStr">
        <is>
          <t>24060125140159</t>
        </is>
      </c>
      <c r="B40" t="inlineStr">
        <is>
          <t>MUHAMMAD FAHRI</t>
        </is>
      </c>
      <c r="C40" t="n">
        <v>2</v>
      </c>
      <c r="D40" t="inlineStr">
        <is>
          <t>BARU</t>
        </is>
      </c>
      <c r="E40" s="3" t="n"/>
      <c r="F40" s="3" t="n"/>
      <c r="G40" s="3" t="n"/>
      <c r="H40" s="3" t="n"/>
      <c r="I40" s="3" t="n"/>
      <c r="J40" s="3" t="n"/>
      <c r="K40" s="2">
        <f>ROUND( ((E40*10+F40*40+G40*10+H40*10+I40*15+J40*15)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s="6" t="n">
        <v>68.75</v>
      </c>
      <c r="O40" s="6" t="n">
        <v>20</v>
      </c>
      <c r="P40" s="6" t="n">
        <v>90</v>
      </c>
    </row>
    <row r="41">
      <c r="A41" t="inlineStr">
        <is>
          <t>24060125140160</t>
        </is>
      </c>
      <c r="B41" t="inlineStr">
        <is>
          <t>AZKA HAMDA ABIDA</t>
        </is>
      </c>
      <c r="C41" t="n">
        <v>2</v>
      </c>
      <c r="D41" t="inlineStr">
        <is>
          <t>BARU</t>
        </is>
      </c>
      <c r="E41" s="3" t="n"/>
      <c r="F41" s="3" t="n"/>
      <c r="G41" s="3" t="n"/>
      <c r="H41" s="3" t="n"/>
      <c r="I41" s="3" t="n"/>
      <c r="J41" s="3" t="n"/>
      <c r="K41" s="2">
        <f>ROUND( ((E41*10+F41*40+G41*10+H41*10+I41*15+J41*15)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s="6" t="n">
        <v>65.62</v>
      </c>
      <c r="O41" s="6" t="n">
        <v>20</v>
      </c>
      <c r="P41" s="6" t="n">
        <v>100</v>
      </c>
    </row>
    <row r="42">
      <c r="A42" t="inlineStr">
        <is>
          <t>24060125140164</t>
        </is>
      </c>
      <c r="B42" t="inlineStr">
        <is>
          <t>MUHAMMAD DAFFA AZMI DZIKRAKA</t>
        </is>
      </c>
      <c r="C42" t="n">
        <v>2</v>
      </c>
      <c r="D42" t="inlineStr">
        <is>
          <t>BARU</t>
        </is>
      </c>
      <c r="E42" s="3" t="n"/>
      <c r="F42" s="3" t="n"/>
      <c r="G42" s="3" t="n"/>
      <c r="H42" s="3" t="n"/>
      <c r="I42" s="3" t="n"/>
      <c r="J42" s="3" t="n"/>
      <c r="K42" s="2">
        <f>ROUND( ((E42*10+F42*40+G42*10+H42*10+I42*15+J42*15)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s="6" t="n">
        <v>84.38</v>
      </c>
      <c r="O42" s="6" t="n">
        <v>10</v>
      </c>
      <c r="P42" s="6" t="n">
        <v>90</v>
      </c>
    </row>
    <row r="43">
      <c r="A43" t="inlineStr">
        <is>
          <t>24060125140185</t>
        </is>
      </c>
      <c r="B43" t="inlineStr">
        <is>
          <t>HASTANING UTARI</t>
        </is>
      </c>
      <c r="C43" t="n">
        <v>2</v>
      </c>
      <c r="D43" t="inlineStr">
        <is>
          <t>BARU</t>
        </is>
      </c>
      <c r="E43" s="3" t="n"/>
      <c r="F43" s="3" t="n"/>
      <c r="G43" s="3" t="n"/>
      <c r="H43" s="3" t="n"/>
      <c r="I43" s="3" t="n"/>
      <c r="J43" s="3" t="n"/>
      <c r="K43" s="2">
        <f>ROUND( ((E43*10+F43*40+G43*10+H43*10+I43*15+J43*15)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s="6" t="n">
        <v>65.62</v>
      </c>
      <c r="O43" s="6" t="n">
        <v>10</v>
      </c>
      <c r="P43" s="6" t="n">
        <v>70</v>
      </c>
    </row>
    <row r="44">
      <c r="A44" t="inlineStr">
        <is>
          <t>24060125140199</t>
        </is>
      </c>
      <c r="B44" t="inlineStr">
        <is>
          <t>ILHAMI RIZQY ROMADZONI ASTIKO</t>
        </is>
      </c>
      <c r="C44" t="n">
        <v>2</v>
      </c>
      <c r="D44" t="inlineStr">
        <is>
          <t>BARU</t>
        </is>
      </c>
      <c r="E44" s="3" t="n"/>
      <c r="F44" s="3" t="n"/>
      <c r="G44" s="3" t="n"/>
      <c r="H44" s="3" t="n"/>
      <c r="I44" s="3" t="n"/>
      <c r="J44" s="3" t="n"/>
      <c r="K44" s="2">
        <f>ROUND( ((E44*10+F44*40+G44*10+H44*10+I44*15+J44*15)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s="6" t="n">
        <v>96.88</v>
      </c>
      <c r="O44" s="6" t="n">
        <v>0</v>
      </c>
      <c r="P44" s="6" t="n">
        <v>90</v>
      </c>
    </row>
    <row r="45">
      <c r="A45" t="inlineStr">
        <is>
          <t>24060125140206</t>
        </is>
      </c>
      <c r="B45" t="inlineStr">
        <is>
          <t>MUHAMMAD ZAIDAN ILMI</t>
        </is>
      </c>
      <c r="C45" t="n">
        <v>2</v>
      </c>
      <c r="D45" t="inlineStr">
        <is>
          <t>BARU</t>
        </is>
      </c>
      <c r="E45" s="3" t="n"/>
      <c r="F45" s="3" t="n"/>
      <c r="G45" s="3" t="n"/>
      <c r="H45" s="3" t="n"/>
      <c r="I45" s="3" t="n"/>
      <c r="J45" s="3" t="n"/>
      <c r="K45" s="2">
        <f>ROUND( ((E45*10+F45*40+G45*10+H45*10+I45*15+J45*15)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s="6" t="n">
        <v>87.5</v>
      </c>
      <c r="O45" s="6" t="n">
        <v>10</v>
      </c>
      <c r="P45" s="6" t="n">
        <v>90</v>
      </c>
    </row>
    <row r="46">
      <c r="A46" t="inlineStr">
        <is>
          <t>24060125140240</t>
        </is>
      </c>
      <c r="B46" t="inlineStr">
        <is>
          <t>ARDEN RAFA GANI</t>
        </is>
      </c>
      <c r="C46" t="n">
        <v>2</v>
      </c>
      <c r="D46" t="inlineStr">
        <is>
          <t>BARU</t>
        </is>
      </c>
      <c r="E46" s="3" t="n"/>
      <c r="F46" s="3" t="n"/>
      <c r="G46" s="3" t="n"/>
      <c r="H46" s="3" t="n"/>
      <c r="I46" s="3" t="n"/>
      <c r="J46" s="3" t="n"/>
      <c r="K46" s="2">
        <f>ROUND( ((E46*10+F46*40+G46*10+H46*10+I46*15+J46*15) / 100), 2)</f>
        <v/>
      </c>
      <c r="L46" s="2">
        <f>IF(AND(K46&gt;=85, K46&lt;=100), "A", IF(AND(K46&gt;=80, K46&lt;=84.999999999), "AB", IF(AND(K46&gt;=75, K46&lt;=79.999999999), "B", IF(AND(K46&gt;=70, K46&lt;=74.999999999), "BC", IF(AND(K46&gt;=60, K46&lt;=69.9999999999), "C", IF(AND(K46&gt;=40, K46&lt;=59.999999999), "D", IF(AND(K46&gt;=0, K46&lt;=39.999999999), "E", "E" ) ) ) ) ) ) )</f>
        <v/>
      </c>
      <c r="M46">
        <f>IF(AND(K46&gt;=85, K46&lt;=100), "4", IF(AND(K46&gt;=80, K46&lt;=84.999999999), "3.5", IF(AND(K46&gt;=75, K46&lt;=79.999999999), "3", IF(AND(K46&gt;=70, K46&lt;=74.999999999), "2.5", IF(AND(K46&gt;=60, K46&lt;=69.9999999999), "2", IF(AND(K46&gt;=40, K46&lt;=59.999999999), "1", IF(AND(K46&gt;=0, K46&lt;=39.999999999), "0", "0" ) ) ) ) ) ) )</f>
        <v/>
      </c>
      <c r="N46" s="6" t="n">
        <v>90.62</v>
      </c>
      <c r="O46" s="6" t="n">
        <v>10</v>
      </c>
      <c r="P46" s="6" t="n">
        <v>90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1"/>
  <sheetViews>
    <sheetView tabSelected="1" workbookViewId="0">
      <selection activeCell="F17" sqref="F17"/>
    </sheetView>
  </sheetViews>
  <sheetFormatPr baseColWidth="10" defaultRowHeight="15"/>
  <cols>
    <col width="3.33203125" bestFit="1" customWidth="1" min="1" max="1"/>
    <col width="15.1640625" bestFit="1" customWidth="1" min="2" max="2"/>
    <col width="37.3320312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24060125120039</t>
        </is>
      </c>
      <c r="C3" t="inlineStr">
        <is>
          <t>ARYA FATHDILLAH ADI SAPUTRA</t>
        </is>
      </c>
      <c r="D3" t="n">
        <v>30</v>
      </c>
    </row>
    <row r="4">
      <c r="A4" t="n">
        <v>2</v>
      </c>
      <c r="B4" t="inlineStr">
        <is>
          <t>24060125120050</t>
        </is>
      </c>
      <c r="C4" t="inlineStr">
        <is>
          <t>AHLA WARDA ANGGREINI</t>
        </is>
      </c>
      <c r="D4" t="n">
        <v>30</v>
      </c>
    </row>
    <row r="5">
      <c r="A5" t="n">
        <v>3</v>
      </c>
      <c r="B5" t="inlineStr">
        <is>
          <t>24060125130055</t>
        </is>
      </c>
      <c r="C5" t="inlineStr">
        <is>
          <t>RASYID AHMAD RIZKI AL GHOZALI</t>
        </is>
      </c>
      <c r="D5" t="n">
        <v>33</v>
      </c>
    </row>
    <row r="6">
      <c r="A6" t="n">
        <v>4</v>
      </c>
      <c r="B6" t="inlineStr">
        <is>
          <t>24060125130062</t>
        </is>
      </c>
      <c r="C6" t="inlineStr">
        <is>
          <t>SALSABIL NABILAH KHOIRUNNISA</t>
        </is>
      </c>
      <c r="D6" t="n">
        <v>17</v>
      </c>
    </row>
    <row r="7">
      <c r="A7" t="n">
        <v>5</v>
      </c>
      <c r="B7" t="inlineStr">
        <is>
          <t>24060125130084</t>
        </is>
      </c>
      <c r="C7" t="inlineStr">
        <is>
          <t>MULYA RAH UTAMI</t>
        </is>
      </c>
      <c r="D7" t="n">
        <v>20</v>
      </c>
    </row>
    <row r="8">
      <c r="A8" t="n">
        <v>6</v>
      </c>
      <c r="B8" t="inlineStr">
        <is>
          <t>24060125130096</t>
        </is>
      </c>
      <c r="C8" t="inlineStr">
        <is>
          <t>DARELL MALIK NUGRAHA</t>
        </is>
      </c>
      <c r="D8" t="n">
        <v>25</v>
      </c>
    </row>
    <row r="9">
      <c r="A9" t="n">
        <v>7</v>
      </c>
      <c r="B9" t="inlineStr">
        <is>
          <t>24060125140126</t>
        </is>
      </c>
      <c r="C9" t="inlineStr">
        <is>
          <t>AMELIA DINI HANMARIZQI</t>
        </is>
      </c>
      <c r="D9" t="n">
        <v>27</v>
      </c>
    </row>
    <row r="10">
      <c r="A10" t="n">
        <v>8</v>
      </c>
      <c r="B10" t="inlineStr">
        <is>
          <t>24060125140156</t>
        </is>
      </c>
      <c r="C10" t="inlineStr">
        <is>
          <t>ATHALLAH MUHAMMAD PASYA</t>
        </is>
      </c>
      <c r="D10" t="n">
        <v>13</v>
      </c>
    </row>
    <row r="11">
      <c r="A11" t="n">
        <v>9</v>
      </c>
      <c r="B11" t="inlineStr">
        <is>
          <t>24060125140195</t>
        </is>
      </c>
      <c r="C11" t="inlineStr">
        <is>
          <t>KEVIN AL GUSTAFY (&lt; 75%)</t>
        </is>
      </c>
      <c r="D11" t="n">
        <v>3</v>
      </c>
    </row>
    <row r="12">
      <c r="A12" t="n">
        <v>10</v>
      </c>
      <c r="B12" t="inlineStr">
        <is>
          <t>24060125140208</t>
        </is>
      </c>
      <c r="C12" t="inlineStr">
        <is>
          <t>DIVITRIO ATA MAHDAVIKIA</t>
        </is>
      </c>
      <c r="D12" t="n">
        <v>25</v>
      </c>
    </row>
    <row r="13">
      <c r="A13" t="n">
        <v>11</v>
      </c>
      <c r="B13" t="inlineStr">
        <is>
          <t>24060125140222</t>
        </is>
      </c>
      <c r="C13" t="inlineStr">
        <is>
          <t>NAYLA DWI AFRILIA</t>
        </is>
      </c>
      <c r="D13" t="n">
        <v>22</v>
      </c>
    </row>
    <row r="14">
      <c r="A14" t="n">
        <v>12</v>
      </c>
      <c r="B14" t="inlineStr">
        <is>
          <t>24060125140227</t>
        </is>
      </c>
      <c r="C14" t="inlineStr">
        <is>
          <t>RIFKY BINTANG BENVITO</t>
        </is>
      </c>
      <c r="D14" t="n">
        <v>17</v>
      </c>
    </row>
    <row r="15">
      <c r="A15" t="n">
        <v>13</v>
      </c>
      <c r="B15" t="inlineStr">
        <is>
          <t>24060125140230</t>
        </is>
      </c>
      <c r="C15" t="inlineStr">
        <is>
          <t>SAVA AMELIA AL GANI</t>
        </is>
      </c>
      <c r="D15" t="n">
        <v>30</v>
      </c>
    </row>
    <row r="16">
      <c r="A16" t="n">
        <v>14</v>
      </c>
      <c r="B16" t="inlineStr">
        <is>
          <t>24060125140234</t>
        </is>
      </c>
      <c r="C16" t="inlineStr">
        <is>
          <t>HAKEEMADA PHILADALA AR</t>
        </is>
      </c>
      <c r="D16" t="n">
        <v>7</v>
      </c>
    </row>
    <row r="17">
      <c r="A17" t="n">
        <v>15</v>
      </c>
      <c r="B17" t="inlineStr">
        <is>
          <t>24060124130102</t>
        </is>
      </c>
      <c r="C17" t="inlineStr">
        <is>
          <t>MUHAMMAD ZAIDAN ALFARIZI</t>
        </is>
      </c>
      <c r="D17" t="n">
        <v>25</v>
      </c>
    </row>
    <row r="18">
      <c r="A18" t="n">
        <v>16</v>
      </c>
      <c r="B18" t="inlineStr">
        <is>
          <t>24060125120002</t>
        </is>
      </c>
      <c r="C18" t="inlineStr">
        <is>
          <t>MUHAMMAD SIRRUL IRSYAD</t>
        </is>
      </c>
      <c r="D18" t="n">
        <v>33</v>
      </c>
    </row>
    <row r="19">
      <c r="A19" t="n">
        <v>17</v>
      </c>
      <c r="B19" t="inlineStr">
        <is>
          <t>24060125120012</t>
        </is>
      </c>
      <c r="C19" t="inlineStr">
        <is>
          <t>RATULOSA KAREN KHEISSYA MULYADIE REPUTRI</t>
        </is>
      </c>
      <c r="D19" t="n">
        <v>25</v>
      </c>
    </row>
    <row r="20">
      <c r="A20" t="n">
        <v>18</v>
      </c>
      <c r="B20" t="inlineStr">
        <is>
          <t>24060125120017</t>
        </is>
      </c>
      <c r="C20" t="inlineStr">
        <is>
          <t>DAVIN IHZA PRAMUDYA</t>
        </is>
      </c>
      <c r="D20" t="n">
        <v>32</v>
      </c>
    </row>
    <row r="21">
      <c r="A21" t="n">
        <v>19</v>
      </c>
      <c r="B21" t="inlineStr">
        <is>
          <t>24060125120024</t>
        </is>
      </c>
      <c r="C21" t="inlineStr">
        <is>
          <t>FATHA SHAUMU MUHAMMAD ALIFTHA</t>
        </is>
      </c>
      <c r="D21" t="n">
        <v>33</v>
      </c>
    </row>
    <row r="22">
      <c r="A22" t="n">
        <v>20</v>
      </c>
      <c r="B22" t="inlineStr">
        <is>
          <t>24060125130056</t>
        </is>
      </c>
      <c r="C22" t="inlineStr">
        <is>
          <t>FATHIN ARVA ALFAUSTA MARSETYO</t>
        </is>
      </c>
      <c r="D22" t="n">
        <v>35</v>
      </c>
    </row>
    <row r="23">
      <c r="A23" t="n">
        <v>21</v>
      </c>
      <c r="B23" t="inlineStr">
        <is>
          <t>24060125130069</t>
        </is>
      </c>
      <c r="C23" t="inlineStr">
        <is>
          <t>VITO ALIFFIANO ROYYANDINOVA</t>
        </is>
      </c>
      <c r="D23" t="n">
        <v>33</v>
      </c>
    </row>
    <row r="24">
      <c r="A24" t="n">
        <v>22</v>
      </c>
      <c r="B24" t="inlineStr">
        <is>
          <t>24060125130088</t>
        </is>
      </c>
      <c r="C24" t="inlineStr">
        <is>
          <t>DAFFA DHIYA ISLAMI</t>
        </is>
      </c>
      <c r="D24" t="n">
        <v>22</v>
      </c>
    </row>
    <row r="25">
      <c r="A25" t="n">
        <v>23</v>
      </c>
      <c r="B25" t="inlineStr">
        <is>
          <t>24060125130093</t>
        </is>
      </c>
      <c r="C25" t="inlineStr">
        <is>
          <t>MUHAMMAD FATHI NUR SYAFFA</t>
        </is>
      </c>
      <c r="D25" t="n">
        <v>31</v>
      </c>
    </row>
    <row r="26">
      <c r="A26" t="n">
        <v>24</v>
      </c>
      <c r="B26" t="inlineStr">
        <is>
          <t>24060125130108</t>
        </is>
      </c>
      <c r="C26" t="inlineStr">
        <is>
          <t>LANDO SUSILO WIBOWO</t>
        </is>
      </c>
      <c r="D26" t="n">
        <v>15</v>
      </c>
    </row>
    <row r="27">
      <c r="A27" t="n">
        <v>25</v>
      </c>
      <c r="B27" t="inlineStr">
        <is>
          <t>24060125130109</t>
        </is>
      </c>
      <c r="C27" t="inlineStr">
        <is>
          <t>KHALILA RAMADHANI</t>
        </is>
      </c>
      <c r="D27" t="n">
        <v>22</v>
      </c>
    </row>
    <row r="28">
      <c r="A28" t="n">
        <v>26</v>
      </c>
      <c r="B28" t="inlineStr">
        <is>
          <t>24060125130115</t>
        </is>
      </c>
      <c r="C28" t="inlineStr">
        <is>
          <t>PUTRI PERMATA SARI BUDIANTO</t>
        </is>
      </c>
      <c r="D28" t="n">
        <v>17</v>
      </c>
    </row>
    <row r="29">
      <c r="A29" t="n">
        <v>27</v>
      </c>
      <c r="B29" t="inlineStr">
        <is>
          <t>24060125140129</t>
        </is>
      </c>
      <c r="C29" t="inlineStr">
        <is>
          <t>CAHYAWAN NOUDY AL GIFFARI</t>
        </is>
      </c>
      <c r="D29" t="n">
        <v>5</v>
      </c>
    </row>
    <row r="30">
      <c r="A30" t="n">
        <v>28</v>
      </c>
      <c r="B30" t="inlineStr">
        <is>
          <t>24060125140137</t>
        </is>
      </c>
      <c r="C30" t="inlineStr">
        <is>
          <t>MUHAMMAD KENZIE PRADIPTA AINURRAHIM</t>
        </is>
      </c>
      <c r="D30" t="n">
        <v>12</v>
      </c>
    </row>
    <row r="31">
      <c r="A31" t="n">
        <v>29</v>
      </c>
      <c r="B31" t="inlineStr">
        <is>
          <t>24060125140138</t>
        </is>
      </c>
      <c r="C31" t="inlineStr">
        <is>
          <t>PIERRE MARCELINO</t>
        </is>
      </c>
      <c r="D31" t="n">
        <v>12</v>
      </c>
    </row>
    <row r="32">
      <c r="A32" t="n">
        <v>30</v>
      </c>
      <c r="B32" t="inlineStr">
        <is>
          <t>24060125140139</t>
        </is>
      </c>
      <c r="C32" t="inlineStr">
        <is>
          <t>NASYA AURYN BUNGA INDARYAN</t>
        </is>
      </c>
      <c r="D32" t="n">
        <v>7</v>
      </c>
    </row>
    <row r="33">
      <c r="A33" t="n">
        <v>31</v>
      </c>
      <c r="B33" t="inlineStr">
        <is>
          <t>24060125140152</t>
        </is>
      </c>
      <c r="C33" t="inlineStr">
        <is>
          <t>ABYASA ARKABELVA</t>
        </is>
      </c>
      <c r="D33" t="n">
        <v>17</v>
      </c>
    </row>
    <row r="34">
      <c r="A34" t="n">
        <v>32</v>
      </c>
      <c r="B34" t="inlineStr">
        <is>
          <t>24060125140154</t>
        </is>
      </c>
      <c r="C34" t="inlineStr">
        <is>
          <t>SHELMA CANTIKA PUTRI DOLENT MARBUN</t>
        </is>
      </c>
      <c r="D34" t="n">
        <v>10</v>
      </c>
    </row>
    <row r="35">
      <c r="A35" t="n">
        <v>33</v>
      </c>
      <c r="B35" t="inlineStr">
        <is>
          <t>24060125140159</t>
        </is>
      </c>
      <c r="C35" t="inlineStr">
        <is>
          <t>MUHAMMAD FAHRI</t>
        </is>
      </c>
      <c r="D35" t="n">
        <v>5</v>
      </c>
    </row>
    <row r="36">
      <c r="A36" t="n">
        <v>34</v>
      </c>
      <c r="B36" t="inlineStr">
        <is>
          <t>24060125140160</t>
        </is>
      </c>
      <c r="C36" t="inlineStr">
        <is>
          <t>AZKA HAMDA ABIDA</t>
        </is>
      </c>
      <c r="D36" t="n">
        <v>5</v>
      </c>
    </row>
    <row r="37">
      <c r="A37" t="n">
        <v>35</v>
      </c>
      <c r="B37" t="inlineStr">
        <is>
          <t>24060125140164</t>
        </is>
      </c>
      <c r="C37" t="inlineStr">
        <is>
          <t>MUHAMMAD DAFFA AZMI DZIKRAKA</t>
        </is>
      </c>
      <c r="D37" t="n">
        <v>15</v>
      </c>
    </row>
    <row r="38">
      <c r="A38" t="n">
        <v>36</v>
      </c>
      <c r="B38" t="inlineStr">
        <is>
          <t>24060125140185</t>
        </is>
      </c>
      <c r="C38" t="inlineStr">
        <is>
          <t>HASTANING UTARI</t>
        </is>
      </c>
      <c r="D38" t="n">
        <v>26</v>
      </c>
    </row>
    <row r="39">
      <c r="A39" t="n">
        <v>37</v>
      </c>
      <c r="B39" t="inlineStr">
        <is>
          <t>24060125140199</t>
        </is>
      </c>
      <c r="C39" t="inlineStr">
        <is>
          <t>ILHAMI RIZQY ROMADZONI ASTIKO</t>
        </is>
      </c>
      <c r="D39" t="n">
        <v>12</v>
      </c>
    </row>
    <row r="40">
      <c r="A40" t="n">
        <v>38</v>
      </c>
      <c r="B40" t="inlineStr">
        <is>
          <t>24060125140206</t>
        </is>
      </c>
      <c r="C40" t="inlineStr">
        <is>
          <t>MUHAMMAD ZAIDAN ILMI</t>
        </is>
      </c>
      <c r="D40" t="n">
        <v>15</v>
      </c>
    </row>
    <row r="41">
      <c r="A41" t="n">
        <v>39</v>
      </c>
      <c r="B41" t="inlineStr">
        <is>
          <t>24060125140240</t>
        </is>
      </c>
      <c r="C41" t="inlineStr">
        <is>
          <t>ARDEN RAFA GANI</t>
        </is>
      </c>
      <c r="D4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2026-06-15T00:17:30Z</dcterms:created>
  <dcterms:modified xsi:type="dcterms:W3CDTF">2026-06-29T10:43:21Z</dcterms:modified>
  <cp:lastModifiedBy>Satriawan Rasyid Purnama</cp:lastModifiedBy>
  <cp:category>Test result file</cp:category>
  <cp:keywords>office 2007 openxml php</cp:keywords>
</cp:coreProperties>
</file>