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nri/Downloads/OAK Nilai/"/>
    </mc:Choice>
  </mc:AlternateContent>
  <xr:revisionPtr revIDLastSave="0" documentId="13_ncr:1_{075F2822-E2E2-9D4C-9691-DD4AD544BBD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M12" i="1" s="1"/>
  <c r="K11" i="1"/>
  <c r="M11" i="1" s="1"/>
  <c r="K10" i="1"/>
  <c r="M10" i="1" s="1"/>
  <c r="K9" i="1"/>
  <c r="L9" i="1" s="1"/>
  <c r="K8" i="1"/>
  <c r="M8" i="1" s="1"/>
  <c r="L10" i="1" l="1"/>
  <c r="M9" i="1"/>
  <c r="L12" i="1"/>
  <c r="L11" i="1"/>
  <c r="L8" i="1"/>
</calcChain>
</file>

<file path=xl/sharedStrings.xml><?xml version="1.0" encoding="utf-8"?>
<sst xmlns="http://schemas.openxmlformats.org/spreadsheetml/2006/main" count="39" uniqueCount="35">
  <si>
    <t>Mata Kuliah</t>
  </si>
  <si>
    <t>: PAIK6203 - Organisasi dan Arsitektur Komputer</t>
  </si>
  <si>
    <t>Tahun Ajaran</t>
  </si>
  <si>
    <t>: 2025</t>
  </si>
  <si>
    <t>NDk4NzUy</t>
  </si>
  <si>
    <t>Semester</t>
  </si>
  <si>
    <t>: Genap</t>
  </si>
  <si>
    <t>Kelas</t>
  </si>
  <si>
    <t>: D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</si>
  <si>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</si>
  <si>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</si>
  <si>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</si>
  <si>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</si>
  <si>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</si>
  <si>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</si>
  <si>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</si>
  <si>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(10%)</t>
  </si>
  <si>
    <t>Nilai Quiz (0,00-100,00) (10%)</t>
  </si>
  <si>
    <t>Nilai UTS (0,00-100,00) (15%)</t>
  </si>
  <si>
    <t>Nilai UAS (0,00-100) (15%)</t>
  </si>
  <si>
    <t>Nilai Akhir Angka (0,00-100,00)</t>
  </si>
  <si>
    <t>Nilai Akhir Huruf (A/B/C/D/E)</t>
  </si>
  <si>
    <t>Nilai Bobot (0-4)</t>
  </si>
  <si>
    <t>24060122140135</t>
  </si>
  <si>
    <t>KANZ ALLIEF ARYAPUTRA</t>
  </si>
  <si>
    <t>PERBAIKAN</t>
  </si>
  <si>
    <t>24060122140143</t>
  </si>
  <si>
    <t>ARSYAD GRANT SAPUTRO (&lt; 75%)</t>
  </si>
  <si>
    <t>24060123120026</t>
  </si>
  <si>
    <t>JOHAN MIRACLE SIMANJUNTAK (&lt; 75%)</t>
  </si>
  <si>
    <t>ULANG</t>
  </si>
  <si>
    <t>24060123140126</t>
  </si>
  <si>
    <t>JERICO ASH SHIDDIQY PURNOMO</t>
  </si>
  <si>
    <t>24060122140181</t>
  </si>
  <si>
    <t>FARREL SYADI RAMADHAN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</si>
</sst>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Fill="1"/>
    <xf numFmtId="0" fontId="0" fillId="0" borderId="0" xfId="0" applyFill="1"/>
    <xf numFmtId="0" fontId="1" fillId="0" borderId="0" xfId="0" applyFont="1" applyFill="1"/>
    <xf numFmtId="0" fontId="0" fillId="0" borderId="0" xfId="0" applyFill="1" applyAlignment="1" applyProtection="1">
      <alignment vertical="top"/>
      <protection locked="0"/>
    </xf>
    <xf numFmtId="2" fontId="0" fillId="0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topLeftCell="G1" workbookViewId="0">
      <selection activeCell="D13" sqref="D13"/>
    </sheetView>
  </sheetViews>
  <sheetFormatPr baseColWidth="10" defaultColWidth="8.83203125" defaultRowHeight="15" x14ac:dyDescent="0.2"/>
  <cols>
    <col min="1" max="1" width="17.5" style="2" bestFit="1" customWidth="1"/>
    <col min="2" max="2" width="56.5" style="2" bestFit="1" customWidth="1"/>
    <col min="3" max="3" width="10.5" style="2" bestFit="1" customWidth="1"/>
    <col min="4" max="4" width="11.6640625" style="2" bestFit="1" customWidth="1"/>
    <col min="5" max="5" width="57.6640625" style="2" customWidth="1"/>
    <col min="6" max="6" width="45.83203125" style="2" customWidth="1"/>
    <col min="7" max="7" width="37.6640625" style="2" customWidth="1"/>
    <col min="8" max="8" width="36.5" style="2" customWidth="1"/>
    <col min="9" max="9" width="35.33203125" style="2" bestFit="1" customWidth="1"/>
    <col min="10" max="10" width="31.6640625" style="2" bestFit="1" customWidth="1"/>
    <col min="11" max="11" width="37.6640625" style="2" bestFit="1" customWidth="1"/>
    <col min="12" max="12" width="35.33203125" style="2" bestFit="1" customWidth="1"/>
    <col min="13" max="13" width="21.1640625" style="2" bestFit="1" customWidth="1"/>
    <col min="14" max="16384" width="8.83203125" style="2"/>
  </cols>
  <sheetData>
    <row r="1" spans="1:13" x14ac:dyDescent="0.2">
      <c r="A1" s="2" t="s">
        <v>0</v>
      </c>
      <c r="B1" s="2" t="s">
        <v>1</v>
      </c>
    </row>
    <row r="2" spans="1:13" x14ac:dyDescent="0.2">
      <c r="A2" s="2" t="s">
        <v>2</v>
      </c>
      <c r="B2" s="2" t="s">
        <v>3</v>
      </c>
      <c r="I2" s="3" t="s">
        <v>4</v>
      </c>
    </row>
    <row r="3" spans="1:13" x14ac:dyDescent="0.2">
      <c r="A3" s="2" t="s">
        <v>5</v>
      </c>
      <c r="B3" s="2" t="s">
        <v>6</v>
      </c>
    </row>
    <row r="4" spans="1:13" x14ac:dyDescent="0.2">
      <c r="A4" s="2" t="s">
        <v>7</v>
      </c>
      <c r="B4" s="2" t="s">
        <v>8</v>
      </c>
    </row>
    <row r="5" spans="1:13" x14ac:dyDescent="0.2">
      <c r="A5" s="2" t="s">
        <v>9</v>
      </c>
      <c r="B5" s="2" t="s">
        <v>10</v>
      </c>
    </row>
    <row r="7" spans="1:13" x14ac:dyDescent="0.2">
      <c r="A7" s="2" t="s">
        <v>11</v>
      </c>
      <c r="B7" s="2" t="s">
        <v>12</v>
      </c>
      <c r="C7" s="2" t="s">
        <v>5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20</v>
      </c>
      <c r="L7" s="2" t="s">
        <v>21</v>
      </c>
      <c r="M7" s="2" t="s">
        <v>22</v>
      </c>
    </row>
    <row r="8" spans="1:13" x14ac:dyDescent="0.2">
      <c r="A8" s="2" t="s">
        <v>23</v>
      </c>
      <c r="B8" s="2" t="s">
        <v>24</v>
      </c>
      <c r="C8" s="2">
        <v>8</v>
      </c>
      <c r="D8" s="2" t="s">
        <v>25</v>
      </c>
      <c r="E8" s="4">
        <v>78.569999999999993</v>
      </c>
      <c r="F8" s="5">
        <v>82</v>
      </c>
      <c r="G8" s="5">
        <v>85</v>
      </c>
      <c r="H8" s="5">
        <v>84</v>
      </c>
      <c r="I8" s="5">
        <v>10</v>
      </c>
      <c r="J8" s="5">
        <v>40</v>
      </c>
      <c r="K8" s="1">
        <f>ROUND( ((E8*10+F8*40+G8*10+H8*10+I8*15+J8*15) / 100), 2)</f>
        <v>65.06</v>
      </c>
      <c r="L8" s="1" t="str">
        <f>IF(AND(K8&gt;=80, K8&lt;=100), "A", IF(AND(K8&gt;=70, K8&lt;=79.99999999999), "B", IF(AND(K8&gt;=60, K8&lt;=69.9999999999), "C", IF(AND(K8&gt;=51, K8&lt;=59.999999999), "D", IF(AND(K8&gt;=0, K8&lt;=50.999999999), "E",  "E"  )  )  )  )  )</f>
        <v>C</v>
      </c>
      <c r="M8" s="2" t="str">
        <f>IF(AND(K8&gt;=80, K8&lt;=100), "4", IF(AND(K8&gt;=70, K8&lt;=79.99999999999), "3", IF(AND(K8&gt;=60, K8&lt;=69.9999999999), "2", IF(AND(K8&gt;=51, K8&lt;=59.999999999), "1", IF(AND(K8&gt;=0, K8&lt;=50.999999999), "0",  "0"  )  )  )  )  )</f>
        <v>2</v>
      </c>
    </row>
    <row r="9" spans="1:13" x14ac:dyDescent="0.2">
      <c r="A9" s="2" t="s">
        <v>26</v>
      </c>
      <c r="B9" s="2" t="s">
        <v>27</v>
      </c>
      <c r="C9" s="2">
        <v>8</v>
      </c>
      <c r="D9" s="2" t="s">
        <v>25</v>
      </c>
      <c r="E9" s="4">
        <v>28.57</v>
      </c>
      <c r="F9" s="5">
        <v>82</v>
      </c>
      <c r="G9" s="5">
        <v>85</v>
      </c>
      <c r="H9" s="5">
        <v>0</v>
      </c>
      <c r="I9" s="5">
        <v>0</v>
      </c>
      <c r="J9" s="1"/>
      <c r="K9" s="1">
        <f>ROUND( ((E9*10+F9*40+G9*10+H9*10+I9*15+J9*15) / 100), 2)</f>
        <v>44.16</v>
      </c>
      <c r="L9" s="1" t="str">
        <f>IF(AND(K9&gt;=80, K9&lt;=100), "A", IF(AND(K9&gt;=70, K9&lt;=79.99999999999), "B", IF(AND(K9&gt;=60, K9&lt;=69.9999999999), "C", IF(AND(K9&gt;=51, K9&lt;=59.999999999), "D", IF(AND(K9&gt;=0, K9&lt;=50.999999999), "E",  "E"  )  )  )  )  )</f>
        <v>E</v>
      </c>
      <c r="M9" s="2" t="str">
        <f>IF(AND(K9&gt;=80, K9&lt;=100), "4", IF(AND(K9&gt;=70, K9&lt;=79.99999999999), "3", IF(AND(K9&gt;=60, K9&lt;=69.9999999999), "2", IF(AND(K9&gt;=51, K9&lt;=59.999999999), "1", IF(AND(K9&gt;=0, K9&lt;=50.999999999), "0",  "0"  )  )  )  )  )</f>
        <v>0</v>
      </c>
    </row>
    <row r="10" spans="1:13" x14ac:dyDescent="0.2">
      <c r="A10" s="2" t="s">
        <v>28</v>
      </c>
      <c r="B10" s="2" t="s">
        <v>29</v>
      </c>
      <c r="C10" s="2">
        <v>6</v>
      </c>
      <c r="D10" s="2" t="s">
        <v>30</v>
      </c>
      <c r="E10" s="4">
        <v>71.430000000000007</v>
      </c>
      <c r="F10" s="5">
        <v>82</v>
      </c>
      <c r="G10" s="5">
        <v>85</v>
      </c>
      <c r="H10" s="5">
        <v>92</v>
      </c>
      <c r="I10" s="5">
        <v>5</v>
      </c>
      <c r="J10" s="1"/>
      <c r="K10" s="1">
        <f>ROUND( ((E10*10+F10*40+G10*10+H10*10+I10*15+J10*15) / 100), 2)</f>
        <v>58.39</v>
      </c>
      <c r="L10" s="1" t="str">
        <f>IF(AND(K10&gt;=80, K10&lt;=100), "A", IF(AND(K10&gt;=70, K10&lt;=79.99999999999), "B", IF(AND(K10&gt;=60, K10&lt;=69.9999999999), "C", IF(AND(K10&gt;=51, K10&lt;=59.999999999), "D", IF(AND(K10&gt;=0, K10&lt;=50.999999999), "E",  "E"  )  )  )  )  )</f>
        <v>D</v>
      </c>
      <c r="M10" s="2" t="str">
        <f>IF(AND(K10&gt;=80, K10&lt;=100), "4", IF(AND(K10&gt;=70, K10&lt;=79.99999999999), "3", IF(AND(K10&gt;=60, K10&lt;=69.9999999999), "2", IF(AND(K10&gt;=51, K10&lt;=59.999999999), "1", IF(AND(K10&gt;=0, K10&lt;=50.999999999), "0",  "0"  )  )  )  )  )</f>
        <v>1</v>
      </c>
    </row>
    <row r="11" spans="1:13" x14ac:dyDescent="0.2">
      <c r="A11" s="2" t="s">
        <v>31</v>
      </c>
      <c r="B11" s="2" t="s">
        <v>32</v>
      </c>
      <c r="C11" s="2">
        <v>6</v>
      </c>
      <c r="D11" s="2" t="s">
        <v>25</v>
      </c>
      <c r="E11" s="4">
        <v>78.569999999999993</v>
      </c>
      <c r="F11" s="5">
        <v>82</v>
      </c>
      <c r="G11" s="5">
        <v>85</v>
      </c>
      <c r="H11" s="5">
        <v>92</v>
      </c>
      <c r="I11" s="5">
        <v>35</v>
      </c>
      <c r="J11" s="5">
        <v>90</v>
      </c>
      <c r="K11" s="1">
        <f>ROUND( ((E11*10+F11*40+G11*10+H11*10+I11*15+J11*15) / 100), 2)</f>
        <v>77.11</v>
      </c>
      <c r="L11" s="1" t="str">
        <f>IF(AND(K11&gt;=80, K11&lt;=100), "A", IF(AND(K11&gt;=70, K11&lt;=79.99999999999), "B", IF(AND(K11&gt;=60, K11&lt;=69.9999999999), "C", IF(AND(K11&gt;=51, K11&lt;=59.999999999), "D", IF(AND(K11&gt;=0, K11&lt;=50.999999999), "E",  "E"  )  )  )  )  )</f>
        <v>B</v>
      </c>
      <c r="M11" s="2" t="str">
        <f>IF(AND(K11&gt;=80, K11&lt;=100), "4", IF(AND(K11&gt;=70, K11&lt;=79.99999999999), "3", IF(AND(K11&gt;=60, K11&lt;=69.9999999999), "2", IF(AND(K11&gt;=51, K11&lt;=59.999999999), "1", IF(AND(K11&gt;=0, K11&lt;=50.999999999), "0",  "0"  )  )  )  )  )</f>
        <v>3</v>
      </c>
    </row>
    <row r="12" spans="1:13" x14ac:dyDescent="0.2">
      <c r="A12" s="2" t="s">
        <v>33</v>
      </c>
      <c r="B12" s="2" t="s">
        <v>34</v>
      </c>
      <c r="C12" s="2">
        <v>8</v>
      </c>
      <c r="D12" s="2" t="s">
        <v>30</v>
      </c>
      <c r="E12" s="4">
        <v>78.569999999999993</v>
      </c>
      <c r="F12" s="5">
        <v>82</v>
      </c>
      <c r="G12" s="5">
        <v>85</v>
      </c>
      <c r="H12" s="5">
        <v>95</v>
      </c>
      <c r="I12" s="5">
        <v>5</v>
      </c>
      <c r="J12" s="5">
        <v>75</v>
      </c>
      <c r="K12" s="1">
        <f>ROUND( ((E12*10+F12*40+G12*10+H12*10+I12*15+J12*15) / 100), 2)</f>
        <v>70.66</v>
      </c>
      <c r="L12" s="1" t="str">
        <f>IF(AND(K12&gt;=80, K12&lt;=100), "A", IF(AND(K12&gt;=70, K12&lt;=79.99999999999), "B", IF(AND(K12&gt;=60, K12&lt;=69.9999999999), "C", IF(AND(K12&gt;=51, K12&lt;=59.999999999), "D", IF(AND(K12&gt;=0, K12&lt;=50.999999999), "E",  "E"  )  )  )  )  )</f>
        <v>B</v>
      </c>
      <c r="M12" s="2" t="str">
        <f>IF(AND(K12&gt;=80, K12&lt;=100), "4", IF(AND(K12&gt;=70, K12&lt;=79.99999999999), "3", IF(AND(K12&gt;=60, K12&lt;=69.9999999999), "2", IF(AND(K12&gt;=51, K12&lt;=59.999999999), "1", IF(AND(K12&gt;=0, K12&lt;=50.999999999), "0",  "0"  )  )  )  )  )</f>
        <v>3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Henri Tantyoko</cp:lastModifiedBy>
  <dcterms:created xsi:type="dcterms:W3CDTF">2026-06-27T07:20:13Z</dcterms:created>
  <dcterms:modified xsi:type="dcterms:W3CDTF">2026-06-29T08:39:42Z</dcterms:modified>
  <cp:category>Test result file</cp:category>
</cp:coreProperties>
</file>