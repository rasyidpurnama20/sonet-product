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ilaian PPT-2" sheetId="1" state="visible" r:id="rId1"/>
    <sheet name="Rubrik" sheetId="2" state="visible" r:id="rId2"/>
    <sheet name="Daftar Mahasiswa" sheetId="3" state="visible" r:id="rId3"/>
  </sheets>
  <definedNames>
    <definedName name="_xlnm._FilterDatabase" localSheetId="0" hidden="1">'Penilaian PPT-2'!$A$4:$L$4</definedName>
    <definedName name="_xlnm._FilterDatabase" localSheetId="2" hidden="1">'Daftar Mahasiswa'!$A$2:$E$2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9"/>
    </font>
    <font>
      <name val="Calibri"/>
      <b val="1"/>
      <color rgb="001F4E79"/>
      <sz val="11"/>
    </font>
    <font>
      <name val="Calibri"/>
      <b val="1"/>
      <color rgb="00000000"/>
      <sz val="11"/>
    </font>
    <font>
      <name val="Calibri"/>
      <i val="1"/>
      <color rgb="00444444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FDFEFE"/>
      </patternFill>
    </fill>
    <fill>
      <patternFill patternType="solid">
        <fgColor rgb="00FEFEF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BEFCC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CC0000"/>
      </patternFill>
    </fill>
    <fill>
      <patternFill patternType="solid">
        <fgColor rgb="00D5A6BD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C9C9C9"/>
      </patternFill>
    </fill>
    <fill>
      <patternFill patternType="solid">
        <fgColor rgb="009DC3E6"/>
      </patternFill>
    </fill>
    <fill>
      <patternFill patternType="solid">
        <fgColor rgb="00F2CCFF"/>
      </patternFill>
    </fill>
  </fills>
  <borders count="4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1" fontId="7" fillId="7" borderId="3" applyAlignment="1" pivotButton="0" quotePrefix="0" xfId="0">
      <alignment horizontal="center" vertical="center"/>
    </xf>
    <xf numFmtId="1" fontId="7" fillId="3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164" fontId="3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4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7" customWidth="1" min="11" max="11"/>
    <col width="60" customWidth="1" min="12" max="12"/>
  </cols>
  <sheetData>
    <row r="1" ht="28" customHeight="1">
      <c r="A1" s="1" t="inlineStr">
        <is>
          <t>PENILAIAN PPT-2 — PRESENTASI KELOMPOK  |  IoT Mat-D 2026</t>
        </is>
      </c>
    </row>
    <row r="2" ht="16" customHeight="1">
      <c r="A2" s="2" t="inlineStr">
        <is>
          <t>Rubrik: P1 Arsitektur(25) · P2 Alur Data(20) · P3 Organisasi(20) · P4 Bisnis(20) · P5 Presentasi(15)  |  A≥80 · AB 75–79 · B 70–74 · BC 65–69 · C 60–64 · CD 55–59 · D 45–54 · E&lt;45</t>
        </is>
      </c>
    </row>
    <row r="3" ht="4" customHeight="1">
      <c r="A3" s="3" t="n"/>
      <c r="B3" s="3" t="n"/>
      <c r="C3" s="3" t="n"/>
      <c r="D3" s="3" t="n"/>
      <c r="E3" s="3" t="inlineStr">
        <is>
          <t>P1
(maks 25)</t>
        </is>
      </c>
      <c r="F3" s="3" t="inlineStr">
        <is>
          <t>P2
(maks 20)</t>
        </is>
      </c>
      <c r="G3" s="3" t="inlineStr">
        <is>
          <t>P3
(maks 20)</t>
        </is>
      </c>
      <c r="H3" s="3" t="inlineStr">
        <is>
          <t>P4
(maks 20)</t>
        </is>
      </c>
      <c r="I3" s="3" t="inlineStr">
        <is>
          <t>P5
(maks 15)</t>
        </is>
      </c>
      <c r="J3" s="3" t="n"/>
      <c r="K3" s="3" t="n"/>
      <c r="L3" s="3" t="n"/>
    </row>
    <row r="4" ht="36" customHeight="1">
      <c r="A4" s="4" t="inlineStr">
        <is>
          <t>No</t>
        </is>
      </c>
      <c r="B4" s="4" t="inlineStr">
        <is>
          <t>Nama Kelompok</t>
        </is>
      </c>
      <c r="C4" s="4" t="inlineStr">
        <is>
          <t>Topik Proyek</t>
        </is>
      </c>
      <c r="D4" s="4" t="inlineStr">
        <is>
          <t>Anggota</t>
        </is>
      </c>
      <c r="E4" s="4" t="inlineStr">
        <is>
          <t>P1
Arsitektur IoT</t>
        </is>
      </c>
      <c r="F4" s="4" t="inlineStr">
        <is>
          <t>P2
Alur Data &amp; Protokol</t>
        </is>
      </c>
      <c r="G4" s="4" t="inlineStr">
        <is>
          <t>P3
Organisasi IoT</t>
        </is>
      </c>
      <c r="H4" s="4" t="inlineStr">
        <is>
          <t>P4
Bisnis IoT</t>
        </is>
      </c>
      <c r="I4" s="4" t="inlineStr">
        <is>
          <t>P5
Kualitas Presentasi</t>
        </is>
      </c>
      <c r="J4" s="4" t="inlineStr">
        <is>
          <t>Total</t>
        </is>
      </c>
      <c r="K4" s="4" t="inlineStr">
        <is>
          <t>Huruf</t>
        </is>
      </c>
      <c r="L4" s="4" t="inlineStr">
        <is>
          <t>Komentar &amp; Kekurangan</t>
        </is>
      </c>
    </row>
    <row r="5" ht="60" customHeight="1">
      <c r="A5" s="5" t="n">
        <v>1</v>
      </c>
      <c r="B5" s="6" t="inlineStr">
        <is>
          <t>Kelompok 1</t>
        </is>
      </c>
      <c r="C5" s="7" t="inlineStr">
        <is>
          <t>Smart Gas Leak Detector</t>
        </is>
      </c>
      <c r="D5" s="8" t="inlineStr">
        <is>
          <t>Khoiriyatun · Intan Tama Jessica Purba · Imelda Nuris Syifa</t>
        </is>
      </c>
      <c r="E5" s="9" t="n"/>
      <c r="F5" s="9" t="n"/>
      <c r="G5" s="9" t="n"/>
      <c r="H5" s="9" t="n"/>
      <c r="I5" s="9" t="n"/>
      <c r="J5" s="10">
        <f>E5+F5+G5+H5+I5</f>
        <v/>
      </c>
      <c r="K5" s="11">
        <f>IF(J5="","",IF(J5&gt;=80,"A",IF(J5&gt;=75,"AB",IF(J5&gt;=70,"B",IF(J5&gt;=65,"BC",IF(J5&gt;=60,"C",IF(J5&gt;=55,"CD",IF(J5&gt;=45,"D","E"))))))))</f>
        <v/>
      </c>
      <c r="L5" s="12" t="inlineStr"/>
    </row>
    <row r="6" ht="60" customHeight="1">
      <c r="A6" s="5" t="n">
        <v>2</v>
      </c>
      <c r="B6" s="6" t="inlineStr">
        <is>
          <t>Kelompok 2</t>
        </is>
      </c>
      <c r="C6" s="13" t="inlineStr">
        <is>
          <t>EWS Banjir Rob</t>
        </is>
      </c>
      <c r="D6" s="14" t="inlineStr">
        <is>
          <t>Hentrika Aji Pamungkas · Evlyna Fedora Hartanto · Nadia Bilqis</t>
        </is>
      </c>
      <c r="E6" s="9" t="n"/>
      <c r="F6" s="9" t="n"/>
      <c r="G6" s="9" t="n"/>
      <c r="H6" s="9" t="n"/>
      <c r="I6" s="9" t="n"/>
      <c r="J6" s="10">
        <f>E6+F6+G6+H6+I6</f>
        <v/>
      </c>
      <c r="K6" s="11">
        <f>IF(J6="","",IF(J6&gt;=80,"A",IF(J6&gt;=75,"AB",IF(J6&gt;=70,"B",IF(J6&gt;=65,"BC",IF(J6&gt;=60,"C",IF(J6&gt;=55,"CD",IF(J6&gt;=45,"D","E"))))))))</f>
        <v/>
      </c>
      <c r="L6" s="12" t="inlineStr"/>
    </row>
    <row r="7" ht="60" customHeight="1">
      <c r="A7" s="5" t="n">
        <v>3</v>
      </c>
      <c r="B7" s="6" t="inlineStr">
        <is>
          <t>Kelompok 3</t>
        </is>
      </c>
      <c r="C7" s="7" t="inlineStr">
        <is>
          <t>Water Level &amp; Smart Water Monitoring</t>
        </is>
      </c>
      <c r="D7" s="8" t="inlineStr">
        <is>
          <t>Agnia Faradha Listya · Lusiana Kezia Arla Gracyani · Dini Permata Anisa · Alya Kamila Lubna</t>
        </is>
      </c>
      <c r="E7" s="9" t="n"/>
      <c r="F7" s="9" t="n"/>
      <c r="G7" s="9" t="n"/>
      <c r="H7" s="9" t="n"/>
      <c r="I7" s="9" t="n"/>
      <c r="J7" s="10">
        <f>E7+F7+G7+H7+I7</f>
        <v/>
      </c>
      <c r="K7" s="11">
        <f>IF(J7="","",IF(J7&gt;=80,"A",IF(J7&gt;=75,"AB",IF(J7&gt;=70,"B",IF(J7&gt;=65,"BC",IF(J7&gt;=60,"C",IF(J7&gt;=55,"CD",IF(J7&gt;=45,"D","E"))))))))</f>
        <v/>
      </c>
      <c r="L7" s="12" t="inlineStr"/>
    </row>
    <row r="8" ht="60" customHeight="1">
      <c r="A8" s="5" t="n">
        <v>4</v>
      </c>
      <c r="B8" s="6" t="inlineStr">
        <is>
          <t>Kelompok 4</t>
        </is>
      </c>
      <c r="C8" s="13" t="inlineStr">
        <is>
          <t>Deteksi Rob &amp; Alarm Banjir</t>
        </is>
      </c>
      <c r="D8" s="14" t="inlineStr">
        <is>
          <t>Muhammad Fadel Arnanda · Ramayana Sugiyo Pranoto · Bayhaqiy Ahmad</t>
        </is>
      </c>
      <c r="E8" s="9" t="n"/>
      <c r="F8" s="9" t="n"/>
      <c r="G8" s="9" t="n"/>
      <c r="H8" s="9" t="n"/>
      <c r="I8" s="9" t="n"/>
      <c r="J8" s="10">
        <f>E8+F8+G8+H8+I8</f>
        <v/>
      </c>
      <c r="K8" s="11">
        <f>IF(J8="","",IF(J8&gt;=80,"A",IF(J8&gt;=75,"AB",IF(J8&gt;=70,"B",IF(J8&gt;=65,"BC",IF(J8&gt;=60,"C",IF(J8&gt;=55,"CD",IF(J8&gt;=45,"D","E"))))))))</f>
        <v/>
      </c>
      <c r="L8" s="12" t="inlineStr"/>
    </row>
    <row r="9" ht="60" customHeight="1">
      <c r="A9" s="5" t="n">
        <v>5</v>
      </c>
      <c r="B9" s="6" t="inlineStr">
        <is>
          <t>Kelompok 5</t>
        </is>
      </c>
      <c r="C9" s="7" t="inlineStr">
        <is>
          <t>Absensi Pintar / Presensi IoT</t>
        </is>
      </c>
      <c r="D9" s="8" t="inlineStr">
        <is>
          <t>Abdulloh Ibnu Musa · Nabila Fiesta Ramadhani · Rizki Fathiya Nur Khairunissa</t>
        </is>
      </c>
      <c r="E9" s="9" t="n"/>
      <c r="F9" s="9" t="n"/>
      <c r="G9" s="9" t="n"/>
      <c r="H9" s="9" t="n"/>
      <c r="I9" s="9" t="n"/>
      <c r="J9" s="10">
        <f>E9+F9+G9+H9+I9</f>
        <v/>
      </c>
      <c r="K9" s="11">
        <f>IF(J9="","",IF(J9&gt;=80,"A",IF(J9&gt;=75,"AB",IF(J9&gt;=70,"B",IF(J9&gt;=65,"BC",IF(J9&gt;=60,"C",IF(J9&gt;=55,"CD",IF(J9&gt;=45,"D","E"))))))))</f>
        <v/>
      </c>
      <c r="L9" s="12" t="inlineStr"/>
    </row>
    <row r="10" ht="60" customHeight="1">
      <c r="A10" s="5" t="n">
        <v>6</v>
      </c>
      <c r="B10" s="6" t="inlineStr">
        <is>
          <t>Kelompok 6</t>
        </is>
      </c>
      <c r="C10" s="13" t="inlineStr">
        <is>
          <t>AEWG — Accident Early Warning Grid</t>
        </is>
      </c>
      <c r="D10" s="14" t="inlineStr">
        <is>
          <t>Edria Filda Tsana · Nimatul Karimah · Sadira Najla Filzah Aryamanto</t>
        </is>
      </c>
      <c r="E10" s="9" t="n"/>
      <c r="F10" s="9" t="n"/>
      <c r="G10" s="9" t="n"/>
      <c r="H10" s="9" t="n"/>
      <c r="I10" s="9" t="n"/>
      <c r="J10" s="10">
        <f>E10+F10+G10+H10+I10</f>
        <v/>
      </c>
      <c r="K10" s="11">
        <f>IF(J10="","",IF(J10&gt;=80,"A",IF(J10&gt;=75,"AB",IF(J10&gt;=70,"B",IF(J10&gt;=65,"BC",IF(J10&gt;=60,"C",IF(J10&gt;=55,"CD",IF(J10&gt;=45,"D","E"))))))))</f>
        <v/>
      </c>
      <c r="L10" s="12" t="inlineStr"/>
    </row>
    <row r="11" ht="60" customHeight="1">
      <c r="A11" s="5" t="n">
        <v>7</v>
      </c>
      <c r="B11" s="6" t="inlineStr">
        <is>
          <t>Kelompok 7</t>
        </is>
      </c>
      <c r="C11" s="7" t="inlineStr">
        <is>
          <t>Odor / Wound Detector IoT</t>
        </is>
      </c>
      <c r="D11" s="8" t="inlineStr">
        <is>
          <t>Ahmad Zidane Ainul Yaqin · Ezra Aryasatya · Achmad Fachreza Aryadewa · Dafa Septa Ramadhani</t>
        </is>
      </c>
      <c r="E11" s="9" t="n"/>
      <c r="F11" s="9" t="n"/>
      <c r="G11" s="9" t="n"/>
      <c r="H11" s="9" t="n"/>
      <c r="I11" s="9" t="n"/>
      <c r="J11" s="10">
        <f>E11+F11+G11+H11+I11</f>
        <v/>
      </c>
      <c r="K11" s="11">
        <f>IF(J11="","",IF(J11&gt;=80,"A",IF(J11&gt;=75,"AB",IF(J11&gt;=70,"B",IF(J11&gt;=65,"BC",IF(J11&gt;=60,"C",IF(J11&gt;=55,"CD",IF(J11&gt;=45,"D","E"))))))))</f>
        <v/>
      </c>
      <c r="L11" s="12" t="inlineStr"/>
    </row>
    <row r="12" ht="60" customHeight="1">
      <c r="A12" s="5" t="n">
        <v>8</v>
      </c>
      <c r="B12" s="6" t="inlineStr">
        <is>
          <t>Kelompok 8</t>
        </is>
      </c>
      <c r="C12" s="13" t="inlineStr">
        <is>
          <t>Railguard — Smart Railway Safety</t>
        </is>
      </c>
      <c r="D12" s="14" t="inlineStr">
        <is>
          <t>Ryan Anggit Nugroho · Alwan Rasyid Ramadhan · Muhammad Haykal Harsya Mevki</t>
        </is>
      </c>
      <c r="E12" s="9" t="n"/>
      <c r="F12" s="9" t="n"/>
      <c r="G12" s="9" t="n"/>
      <c r="H12" s="9" t="n"/>
      <c r="I12" s="9" t="n"/>
      <c r="J12" s="10">
        <f>E12+F12+G12+H12+I12</f>
        <v/>
      </c>
      <c r="K12" s="11">
        <f>IF(J12="","",IF(J12&gt;=80,"A",IF(J12&gt;=75,"AB",IF(J12&gt;=70,"B",IF(J12&gt;=65,"BC",IF(J12&gt;=60,"C",IF(J12&gt;=55,"CD",IF(J12&gt;=45,"D","E"))))))))</f>
        <v/>
      </c>
      <c r="L12" s="12" t="inlineStr"/>
    </row>
    <row r="13" ht="60" customHeight="1">
      <c r="A13" s="5" t="n">
        <v>9</v>
      </c>
      <c r="B13" s="6" t="inlineStr">
        <is>
          <t>Kelompok 9</t>
        </is>
      </c>
      <c r="C13" s="7" t="inlineStr">
        <is>
          <t>Smart Waste / TPS Pintar</t>
        </is>
      </c>
      <c r="D13" s="8" t="inlineStr">
        <is>
          <t>Alif Alfiyansah · Shafana Puja Pitaloka · Ihsan Izzat Ibrahim · Lestari Kopipah Mandasari</t>
        </is>
      </c>
      <c r="E13" s="9" t="n"/>
      <c r="F13" s="9" t="n"/>
      <c r="G13" s="9" t="n"/>
      <c r="H13" s="9" t="n"/>
      <c r="I13" s="9" t="n"/>
      <c r="J13" s="10">
        <f>E13+F13+G13+H13+I13</f>
        <v/>
      </c>
      <c r="K13" s="11">
        <f>IF(J13="","",IF(J13&gt;=80,"A",IF(J13&gt;=75,"AB",IF(J13&gt;=70,"B",IF(J13&gt;=65,"BC",IF(J13&gt;=60,"C",IF(J13&gt;=55,"CD",IF(J13&gt;=45,"D","E"))))))))</f>
        <v/>
      </c>
      <c r="L13" s="12" t="inlineStr"/>
    </row>
    <row r="14" ht="60" customHeight="1">
      <c r="A14" s="5" t="n">
        <v>10</v>
      </c>
      <c r="B14" s="6" t="inlineStr">
        <is>
          <t>Kelompok 10</t>
        </is>
      </c>
      <c r="C14" s="13" t="inlineStr">
        <is>
          <t>TPS Smart Sampah &amp; Deteksi Sampah</t>
        </is>
      </c>
      <c r="D14" s="14" t="inlineStr">
        <is>
          <t>Mahira Layina Raisha Azhar · Diah Pertiwi Difa Nur Ilmaini · Rahma Nabila Ramadhani · Nadyatul Aulia · Amanda Marchelia C. Putri</t>
        </is>
      </c>
      <c r="E14" s="9" t="n"/>
      <c r="F14" s="9" t="n"/>
      <c r="G14" s="9" t="n"/>
      <c r="H14" s="9" t="n"/>
      <c r="I14" s="9" t="n"/>
      <c r="J14" s="10">
        <f>E14+F14+G14+H14+I14</f>
        <v/>
      </c>
      <c r="K14" s="11">
        <f>IF(J14="","",IF(J14&gt;=80,"A",IF(J14&gt;=75,"AB",IF(J14&gt;=70,"B",IF(J14&gt;=65,"BC",IF(J14&gt;=60,"C",IF(J14&gt;=55,"CD",IF(J14&gt;=45,"D","E"))))))))</f>
        <v/>
      </c>
      <c r="L14" s="12" t="inlineStr"/>
    </row>
    <row r="15" ht="60" customHeight="1">
      <c r="A15" s="5" t="n">
        <v>11</v>
      </c>
      <c r="B15" s="6" t="inlineStr">
        <is>
          <t>Kelompok 11</t>
        </is>
      </c>
      <c r="C15" s="7" t="inlineStr">
        <is>
          <t>PantauKu — Smart Wearable &amp; Child Safety</t>
        </is>
      </c>
      <c r="D15" s="8" t="inlineStr">
        <is>
          <t>Wiwi Lindawati Misnadin · Syifa Ayudya Nurhafiza · Cantika Putri Maharani</t>
        </is>
      </c>
      <c r="E15" s="9" t="n"/>
      <c r="F15" s="9" t="n"/>
      <c r="G15" s="9" t="n"/>
      <c r="H15" s="9" t="n"/>
      <c r="I15" s="9" t="n"/>
      <c r="J15" s="10">
        <f>E15+F15+G15+H15+I15</f>
        <v/>
      </c>
      <c r="K15" s="11">
        <f>IF(J15="","",IF(J15&gt;=80,"A",IF(J15&gt;=75,"AB",IF(J15&gt;=70,"B",IF(J15&gt;=65,"BC",IF(J15&gt;=60,"C",IF(J15&gt;=55,"CD",IF(J15&gt;=45,"D","E"))))))))</f>
        <v/>
      </c>
      <c r="L15" s="12" t="inlineStr"/>
    </row>
    <row r="16" ht="60" customHeight="1">
      <c r="A16" s="5" t="n">
        <v>12</v>
      </c>
      <c r="B16" s="6" t="inlineStr">
        <is>
          <t>Kelompok 12</t>
        </is>
      </c>
      <c r="C16" s="13" t="inlineStr">
        <is>
          <t>AeroSentry — Pemantauan Kualitas Udara</t>
        </is>
      </c>
      <c r="D16" s="14" t="inlineStr">
        <is>
          <t>Orva Luttayya Ananditasuntoro · Rieska Annisa Salsabilla · Abyan Hilmy Fikri Sagala</t>
        </is>
      </c>
      <c r="E16" s="9" t="n"/>
      <c r="F16" s="9" t="n"/>
      <c r="G16" s="9" t="n"/>
      <c r="H16" s="9" t="n"/>
      <c r="I16" s="9" t="n"/>
      <c r="J16" s="10">
        <f>E16+F16+G16+H16+I16</f>
        <v/>
      </c>
      <c r="K16" s="11">
        <f>IF(J16="","",IF(J16&gt;=80,"A",IF(J16&gt;=75,"AB",IF(J16&gt;=70,"B",IF(J16&gt;=65,"BC",IF(J16&gt;=60,"C",IF(J16&gt;=55,"CD",IF(J16&gt;=45,"D","E"))))))))</f>
        <v/>
      </c>
      <c r="L16" s="12" t="inlineStr"/>
    </row>
    <row r="17" ht="60" customHeight="1">
      <c r="A17" s="5" t="n">
        <v>13</v>
      </c>
      <c r="B17" s="6" t="inlineStr">
        <is>
          <t>Kelompok 13</t>
        </is>
      </c>
      <c r="C17" s="7" t="inlineStr">
        <is>
          <t>Smart Air &amp; Pollution Monitoring</t>
        </is>
      </c>
      <c r="D17" s="8" t="inlineStr">
        <is>
          <t>Fanny Laviqnia Lova · Bagoes Satria Jagad Dhita · Zaskia Hayatunufus · Muhammad Najmi Fathoni · Defan Atara Fahrezy · Hazel Ihsan Fadillah · Ananda Setiawan · Dira Artafirasha</t>
        </is>
      </c>
      <c r="E17" s="9" t="n"/>
      <c r="F17" s="9" t="n"/>
      <c r="G17" s="9" t="n"/>
      <c r="H17" s="9" t="n"/>
      <c r="I17" s="9" t="n"/>
      <c r="J17" s="10">
        <f>E17+F17+G17+H17+I17</f>
        <v/>
      </c>
      <c r="K17" s="11">
        <f>IF(J17="","",IF(J17&gt;=80,"A",IF(J17&gt;=75,"AB",IF(J17&gt;=70,"B",IF(J17&gt;=65,"BC",IF(J17&gt;=60,"C",IF(J17&gt;=55,"CD",IF(J17&gt;=45,"D","E"))))))))</f>
        <v/>
      </c>
      <c r="L17" s="12" t="inlineStr"/>
    </row>
    <row r="18" ht="22" customHeight="1">
      <c r="A18" s="15" t="inlineStr">
        <is>
          <t>Rata-rata Kelas</t>
        </is>
      </c>
      <c r="B18" s="16" t="n"/>
      <c r="C18" s="16" t="n"/>
      <c r="D18" s="16" t="n"/>
      <c r="E18" s="17">
        <f>IFERROR(AVERAGEIF(E5:E17,"&lt;&gt;",E5:E17),"—")</f>
        <v/>
      </c>
      <c r="F18" s="17">
        <f>IFERROR(AVERAGEIF(F5:F17,"&lt;&gt;",F5:F17),"—")</f>
        <v/>
      </c>
      <c r="G18" s="17">
        <f>IFERROR(AVERAGEIF(G5:G17,"&lt;&gt;",G5:G17),"—")</f>
        <v/>
      </c>
      <c r="H18" s="17">
        <f>IFERROR(AVERAGEIF(H5:H17,"&lt;&gt;",H5:H17),"—")</f>
        <v/>
      </c>
      <c r="I18" s="17">
        <f>IFERROR(AVERAGEIF(I5:I17,"&lt;&gt;",I5:I17),"—")</f>
        <v/>
      </c>
      <c r="J18" s="17">
        <f>IFERROR(AVERAGEIF(J5:J17,"&lt;&gt;",J5:J17),"—")</f>
        <v/>
      </c>
    </row>
  </sheetData>
  <autoFilter ref="A4:L4"/>
  <mergeCells count="3">
    <mergeCell ref="A2:L2"/>
    <mergeCell ref="A18:D18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8" t="inlineStr">
        <is>
          <t>RUBRIK PENILAIAN PPT-2  —  IoT Mat-D 2026</t>
        </is>
      </c>
    </row>
    <row r="2" ht="36" customHeight="1">
      <c r="A2" s="4" t="inlineStr">
        <is>
          <t>Kode</t>
        </is>
      </c>
      <c r="B2" s="4" t="inlineStr">
        <is>
          <t>Kriteria</t>
        </is>
      </c>
      <c r="C2" s="4" t="inlineStr">
        <is>
          <t>Bobot</t>
        </is>
      </c>
      <c r="D2" s="4" t="inlineStr">
        <is>
          <t>Deskripsi</t>
        </is>
      </c>
      <c r="E2" s="4" t="inlineStr">
        <is>
          <t>Sangat Baik
(88–100%)</t>
        </is>
      </c>
      <c r="F2" s="4" t="inlineStr">
        <is>
          <t>Baik
(75–87%)</t>
        </is>
      </c>
      <c r="G2" s="4" t="inlineStr">
        <is>
          <t>Cukup
(60–74%)</t>
        </is>
      </c>
      <c r="H2" s="4" t="inlineStr">
        <is>
          <t>Kurang
(40–59%)</t>
        </is>
      </c>
      <c r="I2" s="4" t="inlineStr">
        <is>
          <t>Sangat Kurang
(0–39%)</t>
        </is>
      </c>
    </row>
    <row r="3" ht="55" customHeight="1">
      <c r="A3" s="19" t="inlineStr">
        <is>
          <t>P1</t>
        </is>
      </c>
      <c r="B3" s="19" t="inlineStr">
        <is>
          <t>Arsitektur IoT</t>
        </is>
      </c>
      <c r="C3" s="20" t="n">
        <v>25</v>
      </c>
      <c r="D3" s="21" t="inlineStr">
        <is>
          <t>Ketepatan layer (Perception→Network→Application / 3–5 layer), pemilihan hardware (sensor, MCU, gateway, cloud), kesesuaian komponen dengan proyek.</t>
        </is>
      </c>
      <c r="E3" s="20" t="inlineStr">
        <is>
          <t>22–25</t>
        </is>
      </c>
      <c r="F3" s="20" t="inlineStr">
        <is>
          <t>19–21</t>
        </is>
      </c>
      <c r="G3" s="20" t="inlineStr">
        <is>
          <t>15–18</t>
        </is>
      </c>
      <c r="H3" s="20" t="inlineStr">
        <is>
          <t>10–14</t>
        </is>
      </c>
      <c r="I3" s="20" t="inlineStr">
        <is>
          <t>0–9</t>
        </is>
      </c>
    </row>
    <row r="4" ht="55" customHeight="1">
      <c r="A4" s="22" t="inlineStr">
        <is>
          <t>P2</t>
        </is>
      </c>
      <c r="B4" s="22" t="inlineStr">
        <is>
          <t>Alur Data &amp; Protokol</t>
        </is>
      </c>
      <c r="C4" s="23" t="n">
        <v>20</v>
      </c>
      <c r="D4" s="24" t="inlineStr">
        <is>
          <t>Kejelasan alur data (input→proses→output), protokol komunikasi (MQTT/HTTP/LoRa/dsb.), integrasi antar-layer, dan justifikasi pilihan protokol.</t>
        </is>
      </c>
      <c r="E4" s="23" t="inlineStr">
        <is>
          <t>18–20</t>
        </is>
      </c>
      <c r="F4" s="23" t="inlineStr">
        <is>
          <t>15–17</t>
        </is>
      </c>
      <c r="G4" s="23" t="inlineStr">
        <is>
          <t>12–14</t>
        </is>
      </c>
      <c r="H4" s="23" t="inlineStr">
        <is>
          <t>8–11</t>
        </is>
      </c>
      <c r="I4" s="23" t="inlineStr">
        <is>
          <t>0–7</t>
        </is>
      </c>
    </row>
    <row r="5" ht="55" customHeight="1">
      <c r="A5" s="19" t="inlineStr">
        <is>
          <t>P3</t>
        </is>
      </c>
      <c r="B5" s="19" t="inlineStr">
        <is>
          <t>Organisasi &amp; Manajemen IoT</t>
        </is>
      </c>
      <c r="C5" s="20" t="n">
        <v>20</v>
      </c>
      <c r="D5" s="21" t="inlineStr">
        <is>
          <t>Peran stakeholder (pengguna, operator, mitra), tata kelola data (kepemilikan, akses, tanggung jawab), pembagian tugas tim.</t>
        </is>
      </c>
      <c r="E5" s="20" t="inlineStr">
        <is>
          <t>18–20</t>
        </is>
      </c>
      <c r="F5" s="20" t="inlineStr">
        <is>
          <t>15–17</t>
        </is>
      </c>
      <c r="G5" s="20" t="inlineStr">
        <is>
          <t>12–14</t>
        </is>
      </c>
      <c r="H5" s="20" t="inlineStr">
        <is>
          <t>8–11</t>
        </is>
      </c>
      <c r="I5" s="20" t="inlineStr">
        <is>
          <t>0–7</t>
        </is>
      </c>
    </row>
    <row r="6" ht="55" customHeight="1">
      <c r="A6" s="22" t="inlineStr">
        <is>
          <t>P4</t>
        </is>
      </c>
      <c r="B6" s="22" t="inlineStr">
        <is>
          <t>Bisnis IoT</t>
        </is>
      </c>
      <c r="C6" s="23" t="n">
        <v>20</v>
      </c>
      <c r="D6" s="24" t="inlineStr">
        <is>
          <t>Target pasar spesifik, model bisnis / revenue stream, minimal 2 aspek TLBMC (Ekonomi, Lingkungan, Sosial), value proposition.</t>
        </is>
      </c>
      <c r="E6" s="23" t="inlineStr">
        <is>
          <t>18–20</t>
        </is>
      </c>
      <c r="F6" s="23" t="inlineStr">
        <is>
          <t>15–17</t>
        </is>
      </c>
      <c r="G6" s="23" t="inlineStr">
        <is>
          <t>12–14</t>
        </is>
      </c>
      <c r="H6" s="23" t="inlineStr">
        <is>
          <t>8–11</t>
        </is>
      </c>
      <c r="I6" s="23" t="inlineStr">
        <is>
          <t>0–7</t>
        </is>
      </c>
    </row>
    <row r="7" ht="55" customHeight="1">
      <c r="A7" s="19" t="inlineStr">
        <is>
          <t>P5</t>
        </is>
      </c>
      <c r="B7" s="19" t="inlineStr">
        <is>
          <t>Kualitas Presentasi</t>
        </is>
      </c>
      <c r="C7" s="20" t="n">
        <v>15</v>
      </c>
      <c r="D7" s="21" t="inlineStr">
        <is>
          <t>Slide terstruktur &amp; terbaca, penyampaian lancar, mampu menjawab pertanyaan, ketepatan waktu.</t>
        </is>
      </c>
      <c r="E7" s="20" t="inlineStr">
        <is>
          <t>13–15</t>
        </is>
      </c>
      <c r="F7" s="20" t="inlineStr">
        <is>
          <t>11–12</t>
        </is>
      </c>
      <c r="G7" s="20" t="inlineStr">
        <is>
          <t>9–10</t>
        </is>
      </c>
      <c r="H7" s="20" t="inlineStr">
        <is>
          <t>6–8</t>
        </is>
      </c>
      <c r="I7" s="20" t="inlineStr">
        <is>
          <t>0–5</t>
        </is>
      </c>
    </row>
    <row r="9" ht="20" customHeight="1">
      <c r="A9" s="25" t="inlineStr">
        <is>
          <t>Skala Huruf (Standar Undip)</t>
        </is>
      </c>
    </row>
    <row r="10" ht="18" customHeight="1">
      <c r="A10" s="26" t="inlineStr">
        <is>
          <t>A</t>
        </is>
      </c>
      <c r="D10" s="27" t="inlineStr">
        <is>
          <t>80–100</t>
        </is>
      </c>
      <c r="F10" s="28" t="inlineStr">
        <is>
          <t>Sangat Baik</t>
        </is>
      </c>
    </row>
    <row r="11" ht="18" customHeight="1">
      <c r="A11" s="29" t="inlineStr">
        <is>
          <t>AB</t>
        </is>
      </c>
      <c r="D11" s="30" t="inlineStr">
        <is>
          <t>75–79</t>
        </is>
      </c>
      <c r="F11" s="31" t="inlineStr">
        <is>
          <t>Baik Sekali</t>
        </is>
      </c>
    </row>
    <row r="12" ht="18" customHeight="1">
      <c r="A12" s="32" t="inlineStr">
        <is>
          <t>B</t>
        </is>
      </c>
      <c r="D12" s="33" t="inlineStr">
        <is>
          <t>70–74</t>
        </is>
      </c>
      <c r="F12" s="34" t="inlineStr">
        <is>
          <t>Baik</t>
        </is>
      </c>
    </row>
    <row r="13" ht="18" customHeight="1">
      <c r="A13" s="35" t="inlineStr">
        <is>
          <t>BC</t>
        </is>
      </c>
      <c r="D13" s="36" t="inlineStr">
        <is>
          <t>65–69</t>
        </is>
      </c>
      <c r="F13" s="37" t="inlineStr">
        <is>
          <t>Cukup Baik</t>
        </is>
      </c>
    </row>
    <row r="14" ht="18" customHeight="1">
      <c r="A14" s="38" t="inlineStr">
        <is>
          <t>C</t>
        </is>
      </c>
      <c r="D14" s="39" t="inlineStr">
        <is>
          <t>60–64</t>
        </is>
      </c>
      <c r="F14" s="40" t="inlineStr">
        <is>
          <t>Cukup</t>
        </is>
      </c>
    </row>
    <row r="15" ht="18" customHeight="1">
      <c r="A15" s="41" t="inlineStr">
        <is>
          <t>CD</t>
        </is>
      </c>
      <c r="D15" s="42" t="inlineStr">
        <is>
          <t>55–59</t>
        </is>
      </c>
      <c r="F15" s="43" t="inlineStr">
        <is>
          <t>Kurang Cukup</t>
        </is>
      </c>
    </row>
    <row r="16" ht="18" customHeight="1">
      <c r="A16" s="44" t="inlineStr">
        <is>
          <t>D</t>
        </is>
      </c>
      <c r="D16" s="45" t="inlineStr">
        <is>
          <t>45–54</t>
        </is>
      </c>
      <c r="F16" s="46" t="inlineStr">
        <is>
          <t>Kurang</t>
        </is>
      </c>
    </row>
    <row r="17" ht="18" customHeight="1">
      <c r="A17" s="47" t="inlineStr">
        <is>
          <t>E</t>
        </is>
      </c>
      <c r="D17" s="48" t="inlineStr">
        <is>
          <t>&lt;45</t>
        </is>
      </c>
      <c r="F17" s="49" t="inlineStr">
        <is>
          <t>Sangat Kurang</t>
        </is>
      </c>
    </row>
  </sheetData>
  <mergeCells count="26">
    <mergeCell ref="F13:I13"/>
    <mergeCell ref="D10:E10"/>
    <mergeCell ref="A12:C12"/>
    <mergeCell ref="F14:I14"/>
    <mergeCell ref="D11:E11"/>
    <mergeCell ref="D13:E13"/>
    <mergeCell ref="A14:C14"/>
    <mergeCell ref="F11:I11"/>
    <mergeCell ref="A17:C17"/>
    <mergeCell ref="F16:I16"/>
    <mergeCell ref="D17:E17"/>
    <mergeCell ref="F10:I10"/>
    <mergeCell ref="A10:C10"/>
    <mergeCell ref="A1:J1"/>
    <mergeCell ref="D16:E16"/>
    <mergeCell ref="A13:C13"/>
    <mergeCell ref="F12:I12"/>
    <mergeCell ref="A9:I9"/>
    <mergeCell ref="F15:I15"/>
    <mergeCell ref="A15:C15"/>
    <mergeCell ref="D12:E12"/>
    <mergeCell ref="A11:C11"/>
    <mergeCell ref="F17:I17"/>
    <mergeCell ref="D15:E15"/>
    <mergeCell ref="D14:E1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0" customWidth="1" min="4" max="4"/>
    <col width="32" customWidth="1" min="5" max="5"/>
  </cols>
  <sheetData>
    <row r="1" ht="24" customHeight="1">
      <c r="A1" s="50" t="inlineStr">
        <is>
          <t>DAFTAR MAHASISWA — Referensi Kelompok  |  IoT Mat-D 2026</t>
        </is>
      </c>
    </row>
    <row r="2" ht="28" customHeight="1">
      <c r="A2" s="51" t="inlineStr">
        <is>
          <t>No</t>
        </is>
      </c>
      <c r="B2" s="51" t="inlineStr">
        <is>
          <t>NIM</t>
        </is>
      </c>
      <c r="C2" s="51" t="inlineStr">
        <is>
          <t>Nama Mahasiswa</t>
        </is>
      </c>
      <c r="D2" s="51" t="inlineStr">
        <is>
          <t>No
Kelompok</t>
        </is>
      </c>
      <c r="E2" s="51" t="inlineStr">
        <is>
          <t>Nama Kelompok</t>
        </is>
      </c>
    </row>
    <row r="3" ht="18" customHeight="1">
      <c r="A3" s="52" t="n">
        <v>1</v>
      </c>
      <c r="B3" s="52" t="inlineStr">
        <is>
          <t>...120004</t>
        </is>
      </c>
      <c r="C3" s="53" t="inlineStr">
        <is>
          <t>Khoiriyatun</t>
        </is>
      </c>
      <c r="D3" s="27" t="n">
        <v>1</v>
      </c>
      <c r="E3" s="27" t="inlineStr">
        <is>
          <t>Kelompok 1</t>
        </is>
      </c>
    </row>
    <row r="4" ht="18" customHeight="1">
      <c r="A4" s="54" t="n">
        <v>2</v>
      </c>
      <c r="B4" s="54" t="inlineStr">
        <is>
          <t>...120010</t>
        </is>
      </c>
      <c r="C4" s="55" t="inlineStr">
        <is>
          <t>Intan Tama Jessica Purba</t>
        </is>
      </c>
      <c r="D4" s="27" t="n">
        <v>1</v>
      </c>
      <c r="E4" s="27" t="inlineStr">
        <is>
          <t>Kelompok 1</t>
        </is>
      </c>
    </row>
    <row r="5" ht="18" customHeight="1">
      <c r="A5" s="52" t="n">
        <v>3</v>
      </c>
      <c r="B5" s="52" t="inlineStr">
        <is>
          <t>...120016</t>
        </is>
      </c>
      <c r="C5" s="53" t="inlineStr">
        <is>
          <t>Imelda Nuris Syifa</t>
        </is>
      </c>
      <c r="D5" s="27" t="n">
        <v>1</v>
      </c>
      <c r="E5" s="27" t="inlineStr">
        <is>
          <t>Kelompok 1</t>
        </is>
      </c>
    </row>
    <row r="6" ht="18" customHeight="1">
      <c r="A6" s="54" t="n">
        <v>4</v>
      </c>
      <c r="B6" s="54" t="inlineStr">
        <is>
          <t>...120020</t>
        </is>
      </c>
      <c r="C6" s="55" t="inlineStr">
        <is>
          <t>Hentrika Aji Pamungkas</t>
        </is>
      </c>
      <c r="D6" s="30" t="n">
        <v>2</v>
      </c>
      <c r="E6" s="30" t="inlineStr">
        <is>
          <t>Kelompok 2</t>
        </is>
      </c>
    </row>
    <row r="7" ht="18" customHeight="1">
      <c r="A7" s="52" t="n">
        <v>5</v>
      </c>
      <c r="B7" s="52" t="inlineStr">
        <is>
          <t>...120022</t>
        </is>
      </c>
      <c r="C7" s="53" t="inlineStr">
        <is>
          <t>Evlyna Fedora Hartanto</t>
        </is>
      </c>
      <c r="D7" s="30" t="n">
        <v>2</v>
      </c>
      <c r="E7" s="30" t="inlineStr">
        <is>
          <t>Kelompok 2</t>
        </is>
      </c>
    </row>
    <row r="8" ht="18" customHeight="1">
      <c r="A8" s="54" t="n">
        <v>6</v>
      </c>
      <c r="B8" s="54" t="inlineStr">
        <is>
          <t>...120028</t>
        </is>
      </c>
      <c r="C8" s="55" t="inlineStr">
        <is>
          <t>Nadia Bilqis</t>
        </is>
      </c>
      <c r="D8" s="30" t="n">
        <v>2</v>
      </c>
      <c r="E8" s="30" t="inlineStr">
        <is>
          <t>Kelompok 2</t>
        </is>
      </c>
    </row>
    <row r="9" ht="18" customHeight="1">
      <c r="A9" s="52" t="n">
        <v>7</v>
      </c>
      <c r="B9" s="52" t="inlineStr">
        <is>
          <t>...120032</t>
        </is>
      </c>
      <c r="C9" s="53" t="inlineStr">
        <is>
          <t>Agnia Faradha Listya</t>
        </is>
      </c>
      <c r="D9" s="33" t="n">
        <v>3</v>
      </c>
      <c r="E9" s="33" t="inlineStr">
        <is>
          <t>Kelompok 3</t>
        </is>
      </c>
    </row>
    <row r="10" ht="18" customHeight="1">
      <c r="A10" s="54" t="n">
        <v>8</v>
      </c>
      <c r="B10" s="54" t="inlineStr">
        <is>
          <t>...120036</t>
        </is>
      </c>
      <c r="C10" s="55" t="inlineStr">
        <is>
          <t>Lusiana Kezia Arla Gracyani</t>
        </is>
      </c>
      <c r="D10" s="33" t="n">
        <v>3</v>
      </c>
      <c r="E10" s="33" t="inlineStr">
        <is>
          <t>Kelompok 3</t>
        </is>
      </c>
    </row>
    <row r="11" ht="18" customHeight="1">
      <c r="A11" s="52" t="n">
        <v>9</v>
      </c>
      <c r="B11" s="52" t="inlineStr">
        <is>
          <t>...120040</t>
        </is>
      </c>
      <c r="C11" s="53" t="inlineStr">
        <is>
          <t>Muhammad Fadel Arnanda</t>
        </is>
      </c>
      <c r="D11" s="36" t="n">
        <v>4</v>
      </c>
      <c r="E11" s="36" t="inlineStr">
        <is>
          <t>Kelompok 4</t>
        </is>
      </c>
    </row>
    <row r="12" ht="18" customHeight="1">
      <c r="A12" s="54" t="n">
        <v>10</v>
      </c>
      <c r="B12" s="54" t="inlineStr">
        <is>
          <t>...120046</t>
        </is>
      </c>
      <c r="C12" s="55" t="inlineStr">
        <is>
          <t>Ramayana Sugiyo Pranoto</t>
        </is>
      </c>
      <c r="D12" s="36" t="n">
        <v>4</v>
      </c>
      <c r="E12" s="36" t="inlineStr">
        <is>
          <t>Kelompok 4</t>
        </is>
      </c>
    </row>
    <row r="13" ht="18" customHeight="1">
      <c r="A13" s="52" t="n">
        <v>11</v>
      </c>
      <c r="B13" s="52" t="inlineStr">
        <is>
          <t>...120056</t>
        </is>
      </c>
      <c r="C13" s="53" t="inlineStr">
        <is>
          <t>Abdulloh Ibnu Musa</t>
        </is>
      </c>
      <c r="D13" s="39" t="n">
        <v>5</v>
      </c>
      <c r="E13" s="39" t="inlineStr">
        <is>
          <t>Kelompok 5</t>
        </is>
      </c>
    </row>
    <row r="14" ht="18" customHeight="1">
      <c r="A14" s="54" t="n">
        <v>12</v>
      </c>
      <c r="B14" s="54" t="inlineStr">
        <is>
          <t>...120060</t>
        </is>
      </c>
      <c r="C14" s="55" t="inlineStr">
        <is>
          <t>Nabila Fiesta Ramadhani</t>
        </is>
      </c>
      <c r="D14" s="39" t="n">
        <v>5</v>
      </c>
      <c r="E14" s="39" t="inlineStr">
        <is>
          <t>Kelompok 5</t>
        </is>
      </c>
    </row>
    <row r="15" ht="18" customHeight="1">
      <c r="A15" s="52" t="n">
        <v>13</v>
      </c>
      <c r="B15" s="52" t="inlineStr">
        <is>
          <t>...120062</t>
        </is>
      </c>
      <c r="C15" s="53" t="inlineStr">
        <is>
          <t>Edria Filda Tsana</t>
        </is>
      </c>
      <c r="D15" s="42" t="n">
        <v>6</v>
      </c>
      <c r="E15" s="42" t="inlineStr">
        <is>
          <t>Kelompok 6</t>
        </is>
      </c>
    </row>
    <row r="16" ht="18" customHeight="1">
      <c r="A16" s="54" t="n">
        <v>14</v>
      </c>
      <c r="B16" s="54" t="inlineStr">
        <is>
          <t>...130064</t>
        </is>
      </c>
      <c r="C16" s="55" t="inlineStr">
        <is>
          <t>Ahmad Zidane Ainul Yaqin</t>
        </is>
      </c>
      <c r="D16" s="45" t="n">
        <v>7</v>
      </c>
      <c r="E16" s="45" t="inlineStr">
        <is>
          <t>Kelompok 7</t>
        </is>
      </c>
    </row>
    <row r="17" ht="18" customHeight="1">
      <c r="A17" s="52" t="n">
        <v>15</v>
      </c>
      <c r="B17" s="52" t="inlineStr">
        <is>
          <t>...130076</t>
        </is>
      </c>
      <c r="C17" s="53" t="inlineStr">
        <is>
          <t>Ezra Aryasatya</t>
        </is>
      </c>
      <c r="D17" s="45" t="n">
        <v>7</v>
      </c>
      <c r="E17" s="45" t="inlineStr">
        <is>
          <t>Kelompok 7</t>
        </is>
      </c>
    </row>
    <row r="18" ht="18" customHeight="1">
      <c r="A18" s="54" t="n">
        <v>16</v>
      </c>
      <c r="B18" s="54" t="inlineStr">
        <is>
          <t>...130078</t>
        </is>
      </c>
      <c r="C18" s="55" t="inlineStr">
        <is>
          <t>Bayhaqiy Ahmad</t>
        </is>
      </c>
      <c r="D18" s="36" t="n">
        <v>4</v>
      </c>
      <c r="E18" s="36" t="inlineStr">
        <is>
          <t>Kelompok 4</t>
        </is>
      </c>
    </row>
    <row r="19" ht="18" customHeight="1">
      <c r="A19" s="52" t="n">
        <v>17</v>
      </c>
      <c r="B19" s="52" t="inlineStr">
        <is>
          <t>...130080</t>
        </is>
      </c>
      <c r="C19" s="53" t="inlineStr">
        <is>
          <t>Dini Permata Anisa</t>
        </is>
      </c>
      <c r="D19" s="33" t="n">
        <v>3</v>
      </c>
      <c r="E19" s="33" t="inlineStr">
        <is>
          <t>Kelompok 3</t>
        </is>
      </c>
    </row>
    <row r="20" ht="18" customHeight="1">
      <c r="A20" s="54" t="n">
        <v>18</v>
      </c>
      <c r="B20" s="54" t="inlineStr">
        <is>
          <t>...130082</t>
        </is>
      </c>
      <c r="C20" s="55" t="inlineStr">
        <is>
          <t>Achmad Fachreza Aryadewa</t>
        </is>
      </c>
      <c r="D20" s="45" t="n">
        <v>7</v>
      </c>
      <c r="E20" s="45" t="inlineStr">
        <is>
          <t>Kelompok 7</t>
        </is>
      </c>
    </row>
    <row r="21" ht="18" customHeight="1">
      <c r="A21" s="52" t="n">
        <v>19</v>
      </c>
      <c r="B21" s="52" t="inlineStr">
        <is>
          <t>...130084</t>
        </is>
      </c>
      <c r="C21" s="53" t="inlineStr">
        <is>
          <t>Nimatul Karimah</t>
        </is>
      </c>
      <c r="D21" s="42" t="n">
        <v>6</v>
      </c>
      <c r="E21" s="42" t="inlineStr">
        <is>
          <t>Kelompok 6</t>
        </is>
      </c>
    </row>
    <row r="22" ht="18" customHeight="1">
      <c r="A22" s="54" t="n">
        <v>20</v>
      </c>
      <c r="B22" s="54" t="inlineStr">
        <is>
          <t>...130097</t>
        </is>
      </c>
      <c r="C22" s="55" t="inlineStr">
        <is>
          <t>Dafa Septa Ramadhani</t>
        </is>
      </c>
      <c r="D22" s="45" t="n">
        <v>7</v>
      </c>
      <c r="E22" s="45" t="inlineStr">
        <is>
          <t>Kelompok 7</t>
        </is>
      </c>
    </row>
    <row r="23" ht="18" customHeight="1">
      <c r="A23" s="52" t="n">
        <v>21</v>
      </c>
      <c r="B23" s="52" t="inlineStr">
        <is>
          <t>...130100</t>
        </is>
      </c>
      <c r="C23" s="53" t="inlineStr">
        <is>
          <t>Rizki Fathiya Nur Khairunissa</t>
        </is>
      </c>
      <c r="D23" s="39" t="n">
        <v>5</v>
      </c>
      <c r="E23" s="39" t="inlineStr">
        <is>
          <t>Kelompok 5</t>
        </is>
      </c>
    </row>
    <row r="24" ht="18" customHeight="1">
      <c r="A24" s="54" t="n">
        <v>22</v>
      </c>
      <c r="B24" s="54" t="inlineStr">
        <is>
          <t>...130106</t>
        </is>
      </c>
      <c r="C24" s="55" t="inlineStr">
        <is>
          <t>Alya Kamila Lubna</t>
        </is>
      </c>
      <c r="D24" s="33" t="n">
        <v>3</v>
      </c>
      <c r="E24" s="33" t="inlineStr">
        <is>
          <t>Kelompok 3</t>
        </is>
      </c>
    </row>
    <row r="25" ht="18" customHeight="1">
      <c r="A25" s="52" t="n">
        <v>23</v>
      </c>
      <c r="B25" s="52" t="inlineStr">
        <is>
          <t>...130110</t>
        </is>
      </c>
      <c r="C25" s="53" t="inlineStr">
        <is>
          <t>Ryan Anggit Nugroho</t>
        </is>
      </c>
      <c r="D25" s="56" t="n">
        <v>8</v>
      </c>
      <c r="E25" s="56" t="inlineStr">
        <is>
          <t>Kelompok 8</t>
        </is>
      </c>
    </row>
    <row r="26" ht="18" customHeight="1">
      <c r="A26" s="54" t="n">
        <v>24</v>
      </c>
      <c r="B26" s="54" t="inlineStr">
        <is>
          <t>...130112</t>
        </is>
      </c>
      <c r="C26" s="55" t="inlineStr">
        <is>
          <t>Sadira Najla Filzah Aryamanto</t>
        </is>
      </c>
      <c r="D26" s="42" t="n">
        <v>6</v>
      </c>
      <c r="E26" s="42" t="inlineStr">
        <is>
          <t>Kelompok 6</t>
        </is>
      </c>
    </row>
    <row r="27" ht="18" customHeight="1">
      <c r="A27" s="52" t="n">
        <v>25</v>
      </c>
      <c r="B27" s="52" t="inlineStr">
        <is>
          <t>...130116</t>
        </is>
      </c>
      <c r="C27" s="53" t="inlineStr">
        <is>
          <t>Alwan Rasyid Ramadhan</t>
        </is>
      </c>
      <c r="D27" s="56" t="n">
        <v>8</v>
      </c>
      <c r="E27" s="56" t="inlineStr">
        <is>
          <t>Kelompok 8</t>
        </is>
      </c>
    </row>
    <row r="28" ht="18" customHeight="1">
      <c r="A28" s="54" t="n">
        <v>26</v>
      </c>
      <c r="B28" s="54" t="inlineStr">
        <is>
          <t>...130122</t>
        </is>
      </c>
      <c r="C28" s="55" t="inlineStr">
        <is>
          <t>Ihsan Izzat Ibrahim</t>
        </is>
      </c>
      <c r="D28" s="57" t="n">
        <v>9</v>
      </c>
      <c r="E28" s="57" t="inlineStr">
        <is>
          <t>Kelompok 9</t>
        </is>
      </c>
    </row>
    <row r="29" ht="18" customHeight="1">
      <c r="A29" s="52" t="n">
        <v>27</v>
      </c>
      <c r="B29" s="52" t="inlineStr">
        <is>
          <t>...130126</t>
        </is>
      </c>
      <c r="C29" s="53" t="inlineStr">
        <is>
          <t>Alif Alfiyansah</t>
        </is>
      </c>
      <c r="D29" s="57" t="n">
        <v>9</v>
      </c>
      <c r="E29" s="57" t="inlineStr">
        <is>
          <t>Kelompok 9</t>
        </is>
      </c>
    </row>
    <row r="30" ht="18" customHeight="1">
      <c r="A30" s="54" t="n">
        <v>28</v>
      </c>
      <c r="B30" s="54" t="inlineStr">
        <is>
          <t>...130128</t>
        </is>
      </c>
      <c r="C30" s="55" t="inlineStr">
        <is>
          <t>Shafana Puja Pitaloka</t>
        </is>
      </c>
      <c r="D30" s="57" t="n">
        <v>9</v>
      </c>
      <c r="E30" s="57" t="inlineStr">
        <is>
          <t>Kelompok 9</t>
        </is>
      </c>
    </row>
    <row r="31" ht="18" customHeight="1">
      <c r="A31" s="52" t="n">
        <v>29</v>
      </c>
      <c r="B31" s="52" t="inlineStr">
        <is>
          <t>...140132</t>
        </is>
      </c>
      <c r="C31" s="53" t="inlineStr">
        <is>
          <t>Fanny Laviqnia Lova</t>
        </is>
      </c>
      <c r="D31" s="58" t="n">
        <v>13</v>
      </c>
      <c r="E31" s="58" t="inlineStr">
        <is>
          <t>Kelompok 13</t>
        </is>
      </c>
    </row>
    <row r="32" ht="18" customHeight="1">
      <c r="A32" s="54" t="n">
        <v>30</v>
      </c>
      <c r="B32" s="54" t="inlineStr">
        <is>
          <t>...140134</t>
        </is>
      </c>
      <c r="C32" s="55" t="inlineStr">
        <is>
          <t>Bagoes Satria Jagad Dhita</t>
        </is>
      </c>
      <c r="D32" s="58" t="n">
        <v>13</v>
      </c>
      <c r="E32" s="58" t="inlineStr">
        <is>
          <t>Kelompok 13</t>
        </is>
      </c>
    </row>
    <row r="33" ht="18" customHeight="1">
      <c r="A33" s="52" t="n">
        <v>31</v>
      </c>
      <c r="B33" s="52" t="inlineStr">
        <is>
          <t>...140136</t>
        </is>
      </c>
      <c r="C33" s="53" t="inlineStr">
        <is>
          <t>Zaskia Hayatunufus</t>
        </is>
      </c>
      <c r="D33" s="58" t="n">
        <v>13</v>
      </c>
      <c r="E33" s="58" t="inlineStr">
        <is>
          <t>Kelompok 13</t>
        </is>
      </c>
    </row>
    <row r="34" ht="18" customHeight="1">
      <c r="A34" s="54" t="n">
        <v>32</v>
      </c>
      <c r="B34" s="54" t="inlineStr">
        <is>
          <t>...140142</t>
        </is>
      </c>
      <c r="C34" s="55" t="inlineStr">
        <is>
          <t>Wiwi Lindawati Misnadin</t>
        </is>
      </c>
      <c r="D34" s="59" t="n">
        <v>11</v>
      </c>
      <c r="E34" s="59" t="inlineStr">
        <is>
          <t>Kelompok 11</t>
        </is>
      </c>
    </row>
    <row r="35" ht="18" customHeight="1">
      <c r="A35" s="52" t="n">
        <v>33</v>
      </c>
      <c r="B35" s="52" t="inlineStr">
        <is>
          <t>...140144</t>
        </is>
      </c>
      <c r="C35" s="53" t="inlineStr">
        <is>
          <t>Syifa Ayudya Nurhafiza</t>
        </is>
      </c>
      <c r="D35" s="59" t="n">
        <v>11</v>
      </c>
      <c r="E35" s="59" t="inlineStr">
        <is>
          <t>Kelompok 11</t>
        </is>
      </c>
    </row>
    <row r="36" ht="18" customHeight="1">
      <c r="A36" s="54" t="n">
        <v>34</v>
      </c>
      <c r="B36" s="54" t="inlineStr">
        <is>
          <t>...140146</t>
        </is>
      </c>
      <c r="C36" s="55" t="inlineStr">
        <is>
          <t>Lestari Kopipah Mandasari</t>
        </is>
      </c>
      <c r="D36" s="57" t="n">
        <v>9</v>
      </c>
      <c r="E36" s="57" t="inlineStr">
        <is>
          <t>Kelompok 9</t>
        </is>
      </c>
    </row>
    <row r="37" ht="18" customHeight="1">
      <c r="A37" s="52" t="n">
        <v>35</v>
      </c>
      <c r="B37" s="52" t="inlineStr">
        <is>
          <t>...140148</t>
        </is>
      </c>
      <c r="C37" s="53" t="inlineStr">
        <is>
          <t>Muhammad Haykal Harsya Mevki</t>
        </is>
      </c>
      <c r="D37" s="56" t="n">
        <v>8</v>
      </c>
      <c r="E37" s="56" t="inlineStr">
        <is>
          <t>Kelompok 8</t>
        </is>
      </c>
    </row>
    <row r="38" ht="18" customHeight="1">
      <c r="A38" s="54" t="n">
        <v>36</v>
      </c>
      <c r="B38" s="54" t="inlineStr">
        <is>
          <t>...140150</t>
        </is>
      </c>
      <c r="C38" s="55" t="inlineStr">
        <is>
          <t>Muhammad Alif Luthfi</t>
        </is>
      </c>
      <c r="D38" s="58" t="n">
        <v>13</v>
      </c>
      <c r="E38" s="58" t="inlineStr">
        <is>
          <t>Kelompok 13</t>
        </is>
      </c>
    </row>
    <row r="39" ht="18" customHeight="1">
      <c r="A39" s="52" t="n">
        <v>37</v>
      </c>
      <c r="B39" s="52" t="inlineStr">
        <is>
          <t>...140152</t>
        </is>
      </c>
      <c r="C39" s="53" t="inlineStr">
        <is>
          <t>Cantika Putri Maharani</t>
        </is>
      </c>
      <c r="D39" s="59" t="n">
        <v>11</v>
      </c>
      <c r="E39" s="59" t="inlineStr">
        <is>
          <t>Kelompok 11</t>
        </is>
      </c>
    </row>
    <row r="40" ht="18" customHeight="1">
      <c r="A40" s="54" t="n">
        <v>38</v>
      </c>
      <c r="B40" s="54" t="inlineStr">
        <is>
          <t>...140160</t>
        </is>
      </c>
      <c r="C40" s="55" t="inlineStr">
        <is>
          <t>Amanda Marchelia C. Putri</t>
        </is>
      </c>
      <c r="D40" s="60" t="n">
        <v>10</v>
      </c>
      <c r="E40" s="60" t="inlineStr">
        <is>
          <t>Kelompok 10</t>
        </is>
      </c>
    </row>
    <row r="41" ht="18" customHeight="1">
      <c r="A41" s="52" t="n">
        <v>39</v>
      </c>
      <c r="B41" s="52" t="inlineStr">
        <is>
          <t>...140164</t>
        </is>
      </c>
      <c r="C41" s="53" t="inlineStr">
        <is>
          <t>Defan Atara Fahrezy</t>
        </is>
      </c>
      <c r="D41" s="58" t="n">
        <v>13</v>
      </c>
      <c r="E41" s="58" t="inlineStr">
        <is>
          <t>Kelompok 13</t>
        </is>
      </c>
    </row>
    <row r="42" ht="18" customHeight="1">
      <c r="A42" s="54" t="n">
        <v>40</v>
      </c>
      <c r="B42" s="54" t="inlineStr">
        <is>
          <t>...140166</t>
        </is>
      </c>
      <c r="C42" s="55" t="inlineStr">
        <is>
          <t>Hazel Ihsan Fadillah</t>
        </is>
      </c>
      <c r="D42" s="58" t="n">
        <v>13</v>
      </c>
      <c r="E42" s="58" t="inlineStr">
        <is>
          <t>Kelompok 13</t>
        </is>
      </c>
    </row>
    <row r="43" ht="18" customHeight="1">
      <c r="A43" s="52" t="n">
        <v>41</v>
      </c>
      <c r="B43" s="52" t="inlineStr">
        <is>
          <t>...140172</t>
        </is>
      </c>
      <c r="C43" s="53" t="inlineStr">
        <is>
          <t>Rahma Nabila Ramadhani</t>
        </is>
      </c>
      <c r="D43" s="60" t="n">
        <v>10</v>
      </c>
      <c r="E43" s="60" t="inlineStr">
        <is>
          <t>Kelompok 10</t>
        </is>
      </c>
    </row>
    <row r="44" ht="18" customHeight="1">
      <c r="A44" s="54" t="n">
        <v>42</v>
      </c>
      <c r="B44" s="54" t="inlineStr">
        <is>
          <t>...140174</t>
        </is>
      </c>
      <c r="C44" s="55" t="inlineStr">
        <is>
          <t>Mahira Layina Raisha Azhar</t>
        </is>
      </c>
      <c r="D44" s="60" t="n">
        <v>10</v>
      </c>
      <c r="E44" s="60" t="inlineStr">
        <is>
          <t>Kelompok 10</t>
        </is>
      </c>
    </row>
    <row r="45" ht="18" customHeight="1">
      <c r="A45" s="52" t="n">
        <v>43</v>
      </c>
      <c r="B45" s="52" t="inlineStr">
        <is>
          <t>...140176</t>
        </is>
      </c>
      <c r="C45" s="53" t="inlineStr">
        <is>
          <t>Abyan Hilmy Fikri Sagala</t>
        </is>
      </c>
      <c r="D45" s="61" t="n">
        <v>12</v>
      </c>
      <c r="E45" s="61" t="inlineStr">
        <is>
          <t>Kelompok 12</t>
        </is>
      </c>
    </row>
    <row r="46" ht="18" customHeight="1">
      <c r="A46" s="54" t="n">
        <v>44</v>
      </c>
      <c r="B46" s="54" t="inlineStr">
        <is>
          <t>...140178</t>
        </is>
      </c>
      <c r="C46" s="55" t="inlineStr">
        <is>
          <t>Diah Pertiwi Difa Nur Ilmaini</t>
        </is>
      </c>
      <c r="D46" s="60" t="n">
        <v>10</v>
      </c>
      <c r="E46" s="60" t="inlineStr">
        <is>
          <t>Kelompok 10</t>
        </is>
      </c>
    </row>
    <row r="47" ht="18" customHeight="1">
      <c r="A47" s="52" t="n">
        <v>45</v>
      </c>
      <c r="B47" s="52" t="inlineStr">
        <is>
          <t>...140180</t>
        </is>
      </c>
      <c r="C47" s="53" t="inlineStr">
        <is>
          <t>Muhammad Najmi Fathoni</t>
        </is>
      </c>
      <c r="D47" s="58" t="n">
        <v>13</v>
      </c>
      <c r="E47" s="58" t="inlineStr">
        <is>
          <t>Kelompok 13</t>
        </is>
      </c>
    </row>
    <row r="48" ht="18" customHeight="1">
      <c r="A48" s="54" t="n">
        <v>46</v>
      </c>
      <c r="B48" s="54" t="inlineStr">
        <is>
          <t>...140194</t>
        </is>
      </c>
      <c r="C48" s="55" t="inlineStr">
        <is>
          <t>Nadyatul Aulia</t>
        </is>
      </c>
      <c r="D48" s="60" t="n">
        <v>10</v>
      </c>
      <c r="E48" s="60" t="inlineStr">
        <is>
          <t>Kelompok 10</t>
        </is>
      </c>
    </row>
    <row r="49" ht="18" customHeight="1">
      <c r="A49" s="52" t="n">
        <v>47</v>
      </c>
      <c r="B49" s="52" t="inlineStr">
        <is>
          <t>...140196</t>
        </is>
      </c>
      <c r="C49" s="53" t="inlineStr">
        <is>
          <t>Orva Luttayya Ananditasuntoro</t>
        </is>
      </c>
      <c r="D49" s="61" t="n">
        <v>12</v>
      </c>
      <c r="E49" s="61" t="inlineStr">
        <is>
          <t>Kelompok 12</t>
        </is>
      </c>
    </row>
    <row r="50" ht="18" customHeight="1">
      <c r="A50" s="54" t="n">
        <v>48</v>
      </c>
      <c r="B50" s="54" t="inlineStr">
        <is>
          <t>...140198</t>
        </is>
      </c>
      <c r="C50" s="55" t="inlineStr">
        <is>
          <t>Rieska Annisa Salsabilla</t>
        </is>
      </c>
      <c r="D50" s="61" t="n">
        <v>12</v>
      </c>
      <c r="E50" s="61" t="inlineStr">
        <is>
          <t>Kelompok 12</t>
        </is>
      </c>
    </row>
    <row r="51" ht="18" customHeight="1">
      <c r="A51" s="52" t="n">
        <v>49</v>
      </c>
      <c r="B51" s="52" t="inlineStr">
        <is>
          <t>...140208</t>
        </is>
      </c>
      <c r="C51" s="53" t="inlineStr">
        <is>
          <t>Ananda Setiawan</t>
        </is>
      </c>
      <c r="D51" s="58" t="n">
        <v>13</v>
      </c>
      <c r="E51" s="58" t="inlineStr">
        <is>
          <t>Kelompok 13</t>
        </is>
      </c>
    </row>
    <row r="52" ht="18" customHeight="1">
      <c r="A52" s="54" t="n">
        <v>50</v>
      </c>
      <c r="B52" s="54" t="inlineStr">
        <is>
          <t>...140210</t>
        </is>
      </c>
      <c r="C52" s="55" t="inlineStr">
        <is>
          <t>Dira Artafirasha</t>
        </is>
      </c>
      <c r="D52" s="58" t="n">
        <v>13</v>
      </c>
      <c r="E52" s="58" t="inlineStr">
        <is>
          <t>Kelompok 13</t>
        </is>
      </c>
    </row>
  </sheetData>
  <autoFilter ref="A2:E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2026-06-14T14:40:09Z</dcterms:created>
  <dcterms:modified xsi:type="dcterms:W3CDTF">2026-06-14T14:40:09Z</dcterms:modified>
</cp:coreProperties>
</file>